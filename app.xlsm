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326" codeName="{00CF4601-37BD-836D-55AB-7E336CB4BC7A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git\excel_vba_app_01\"/>
    </mc:Choice>
  </mc:AlternateContent>
  <bookViews>
    <workbookView xWindow="0" yWindow="0" windowWidth="18300" windowHeight="6684" xr2:uid="{00000000-000D-0000-FFFF-FFFF00000000}"/>
  </bookViews>
  <sheets>
    <sheet name="dashboard" sheetId="1" r:id="rId1"/>
    <sheet name="kau_total" sheetId="12" r:id="rId2"/>
    <sheet name="KCU15_실적" sheetId="9" r:id="rId3"/>
    <sheet name="KCU16_실적" sheetId="11" r:id="rId4"/>
    <sheet name="KCU17_실적" sheetId="6" r:id="rId5"/>
    <sheet name="KOC_실적" sheetId="7" r:id="rId6"/>
    <sheet name="Sheet1" sheetId="4" r:id="rId7"/>
    <sheet name="db1" sheetId="2" r:id="rId8"/>
    <sheet name="db2" sheetId="3" r:id="rId9"/>
  </sheets>
  <externalReferences>
    <externalReference r:id="rId10"/>
  </externalReferences>
  <definedNames>
    <definedName name="_xlnm._FilterDatabase" localSheetId="2" hidden="1">KCU15_실적!$C$5:$P$311</definedName>
    <definedName name="_xlnm._FilterDatabase" localSheetId="3" hidden="1">KCU16_실적!$C$5:$Q$363</definedName>
    <definedName name="_xlnm._FilterDatabase" localSheetId="4" hidden="1">KCU17_실적!$C$5:$Q$147</definedName>
    <definedName name="_xlnm._FilterDatabase" localSheetId="5" hidden="1">KOC_실적!$C$5:$Q$369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674" i="12" l="1"/>
  <c r="N674" i="12"/>
  <c r="J674" i="12"/>
  <c r="M674" i="12" s="1"/>
  <c r="G674" i="12"/>
  <c r="O673" i="12"/>
  <c r="N673" i="12"/>
  <c r="J673" i="12"/>
  <c r="M673" i="12" s="1"/>
  <c r="G673" i="12"/>
  <c r="O672" i="12"/>
  <c r="N672" i="12"/>
  <c r="J672" i="12"/>
  <c r="M672" i="12" s="1"/>
  <c r="G672" i="12"/>
  <c r="O671" i="12"/>
  <c r="N671" i="12"/>
  <c r="J671" i="12"/>
  <c r="G671" i="12"/>
  <c r="P670" i="12"/>
  <c r="O670" i="12"/>
  <c r="N670" i="12"/>
  <c r="J670" i="12"/>
  <c r="G670" i="12"/>
  <c r="O669" i="12"/>
  <c r="N669" i="12"/>
  <c r="J669" i="12"/>
  <c r="M669" i="12" s="1"/>
  <c r="G669" i="12"/>
  <c r="O668" i="12"/>
  <c r="N668" i="12"/>
  <c r="J668" i="12"/>
  <c r="G668" i="12"/>
  <c r="O667" i="12"/>
  <c r="N667" i="12"/>
  <c r="J667" i="12"/>
  <c r="M667" i="12" s="1"/>
  <c r="G667" i="12"/>
  <c r="O666" i="12"/>
  <c r="N666" i="12"/>
  <c r="J666" i="12"/>
  <c r="M666" i="12" s="1"/>
  <c r="G666" i="12"/>
  <c r="P665" i="12"/>
  <c r="O665" i="12"/>
  <c r="N665" i="12"/>
  <c r="J665" i="12"/>
  <c r="M665" i="12" s="1"/>
  <c r="G665" i="12"/>
  <c r="O664" i="12"/>
  <c r="N664" i="12"/>
  <c r="J664" i="12"/>
  <c r="G664" i="12"/>
  <c r="O663" i="12"/>
  <c r="N663" i="12"/>
  <c r="J663" i="12"/>
  <c r="M663" i="12" s="1"/>
  <c r="G663" i="12"/>
  <c r="O662" i="12"/>
  <c r="N662" i="12"/>
  <c r="M662" i="12"/>
  <c r="J662" i="12"/>
  <c r="G662" i="12"/>
  <c r="O661" i="12"/>
  <c r="N661" i="12"/>
  <c r="J661" i="12"/>
  <c r="M661" i="12" s="1"/>
  <c r="G661" i="12"/>
  <c r="P660" i="12"/>
  <c r="O660" i="12"/>
  <c r="N660" i="12"/>
  <c r="J660" i="12"/>
  <c r="G660" i="12"/>
  <c r="O659" i="12"/>
  <c r="N659" i="12"/>
  <c r="J659" i="12"/>
  <c r="M659" i="12" s="1"/>
  <c r="G659" i="12"/>
  <c r="O658" i="12"/>
  <c r="N658" i="12"/>
  <c r="J658" i="12"/>
  <c r="M658" i="12" s="1"/>
  <c r="G658" i="12"/>
  <c r="O657" i="12"/>
  <c r="N657" i="12"/>
  <c r="J657" i="12"/>
  <c r="G657" i="12"/>
  <c r="O656" i="12"/>
  <c r="N656" i="12"/>
  <c r="J656" i="12"/>
  <c r="M656" i="12" s="1"/>
  <c r="G656" i="12"/>
  <c r="P655" i="12"/>
  <c r="O655" i="12"/>
  <c r="N655" i="12"/>
  <c r="J655" i="12"/>
  <c r="M655" i="12" s="1"/>
  <c r="G655" i="12"/>
  <c r="O654" i="12"/>
  <c r="N654" i="12"/>
  <c r="J654" i="12"/>
  <c r="G654" i="12"/>
  <c r="O653" i="12"/>
  <c r="N653" i="12"/>
  <c r="J653" i="12"/>
  <c r="M653" i="12" s="1"/>
  <c r="G653" i="12"/>
  <c r="O652" i="12"/>
  <c r="N652" i="12"/>
  <c r="M652" i="12"/>
  <c r="J652" i="12"/>
  <c r="G652" i="12"/>
  <c r="O651" i="12"/>
  <c r="N651" i="12"/>
  <c r="J651" i="12"/>
  <c r="M651" i="12" s="1"/>
  <c r="G651" i="12"/>
  <c r="P650" i="12"/>
  <c r="O650" i="12"/>
  <c r="N650" i="12"/>
  <c r="J650" i="12"/>
  <c r="G650" i="12"/>
  <c r="O649" i="12"/>
  <c r="N649" i="12"/>
  <c r="J649" i="12"/>
  <c r="M649" i="12" s="1"/>
  <c r="G649" i="12"/>
  <c r="O648" i="12"/>
  <c r="N648" i="12"/>
  <c r="J648" i="12"/>
  <c r="M648" i="12" s="1"/>
  <c r="G648" i="12"/>
  <c r="O647" i="12"/>
  <c r="N647" i="12"/>
  <c r="J647" i="12"/>
  <c r="G647" i="12"/>
  <c r="O646" i="12"/>
  <c r="N646" i="12"/>
  <c r="J646" i="12"/>
  <c r="M646" i="12" s="1"/>
  <c r="G646" i="12"/>
  <c r="P645" i="12"/>
  <c r="O645" i="12"/>
  <c r="N645" i="12"/>
  <c r="J645" i="12"/>
  <c r="M645" i="12" s="1"/>
  <c r="G645" i="12"/>
  <c r="O644" i="12"/>
  <c r="N644" i="12"/>
  <c r="J644" i="12"/>
  <c r="G644" i="12"/>
  <c r="O643" i="12"/>
  <c r="N643" i="12"/>
  <c r="J643" i="12"/>
  <c r="M643" i="12" s="1"/>
  <c r="G643" i="12"/>
  <c r="O642" i="12"/>
  <c r="N642" i="12"/>
  <c r="M642" i="12"/>
  <c r="J642" i="12"/>
  <c r="G642" i="12"/>
  <c r="P641" i="12"/>
  <c r="O641" i="12"/>
  <c r="N641" i="12"/>
  <c r="J641" i="12"/>
  <c r="G641" i="12"/>
  <c r="M641" i="12" s="1"/>
  <c r="O640" i="12"/>
  <c r="N640" i="12"/>
  <c r="J640" i="12"/>
  <c r="G640" i="12"/>
  <c r="O639" i="12"/>
  <c r="N639" i="12"/>
  <c r="J639" i="12"/>
  <c r="M639" i="12" s="1"/>
  <c r="G639" i="12"/>
  <c r="O638" i="12"/>
  <c r="N638" i="12"/>
  <c r="J638" i="12"/>
  <c r="M638" i="12" s="1"/>
  <c r="G638" i="12"/>
  <c r="O637" i="12"/>
  <c r="N637" i="12"/>
  <c r="J637" i="12"/>
  <c r="G637" i="12"/>
  <c r="P636" i="12"/>
  <c r="O636" i="12"/>
  <c r="N636" i="12"/>
  <c r="M636" i="12"/>
  <c r="J636" i="12"/>
  <c r="G636" i="12"/>
  <c r="O635" i="12"/>
  <c r="N635" i="12"/>
  <c r="J635" i="12"/>
  <c r="M635" i="12" s="1"/>
  <c r="G635" i="12"/>
  <c r="O634" i="12"/>
  <c r="N634" i="12"/>
  <c r="J634" i="12"/>
  <c r="G634" i="12"/>
  <c r="O633" i="12"/>
  <c r="N633" i="12"/>
  <c r="J633" i="12"/>
  <c r="M633" i="12" s="1"/>
  <c r="G633" i="12"/>
  <c r="O632" i="12"/>
  <c r="N632" i="12"/>
  <c r="J632" i="12"/>
  <c r="G632" i="12"/>
  <c r="M632" i="12" s="1"/>
  <c r="P631" i="12"/>
  <c r="O631" i="12"/>
  <c r="N631" i="12"/>
  <c r="J631" i="12"/>
  <c r="M631" i="12" s="1"/>
  <c r="G631" i="12"/>
  <c r="O630" i="12"/>
  <c r="N630" i="12"/>
  <c r="J630" i="12"/>
  <c r="M630" i="12" s="1"/>
  <c r="G630" i="12"/>
  <c r="O629" i="12"/>
  <c r="N629" i="12"/>
  <c r="M629" i="12"/>
  <c r="J629" i="12"/>
  <c r="G629" i="12"/>
  <c r="O628" i="12"/>
  <c r="N628" i="12"/>
  <c r="J628" i="12"/>
  <c r="M628" i="12" s="1"/>
  <c r="G628" i="12"/>
  <c r="O627" i="12"/>
  <c r="N627" i="12"/>
  <c r="J627" i="12"/>
  <c r="M627" i="12" s="1"/>
  <c r="G627" i="12"/>
  <c r="P626" i="12"/>
  <c r="O626" i="12"/>
  <c r="N626" i="12"/>
  <c r="J626" i="12"/>
  <c r="G626" i="12"/>
  <c r="M626" i="12" s="1"/>
  <c r="O625" i="12"/>
  <c r="N625" i="12"/>
  <c r="J625" i="12"/>
  <c r="G625" i="12"/>
  <c r="O624" i="12"/>
  <c r="N624" i="12"/>
  <c r="J624" i="12"/>
  <c r="G624" i="12"/>
  <c r="O623" i="12"/>
  <c r="N623" i="12"/>
  <c r="J623" i="12"/>
  <c r="G623" i="12"/>
  <c r="O622" i="12"/>
  <c r="N622" i="12"/>
  <c r="J622" i="12"/>
  <c r="M622" i="12" s="1"/>
  <c r="G622" i="12"/>
  <c r="P621" i="12"/>
  <c r="O621" i="12"/>
  <c r="N621" i="12"/>
  <c r="J621" i="12"/>
  <c r="M621" i="12" s="1"/>
  <c r="G621" i="12"/>
  <c r="O620" i="12"/>
  <c r="N620" i="12"/>
  <c r="J620" i="12"/>
  <c r="M620" i="12" s="1"/>
  <c r="G620" i="12"/>
  <c r="O619" i="12"/>
  <c r="N619" i="12"/>
  <c r="M619" i="12"/>
  <c r="J619" i="12"/>
  <c r="G619" i="12"/>
  <c r="O618" i="12"/>
  <c r="N618" i="12"/>
  <c r="J618" i="12"/>
  <c r="M618" i="12" s="1"/>
  <c r="G618" i="12"/>
  <c r="O617" i="12"/>
  <c r="N617" i="12"/>
  <c r="J617" i="12"/>
  <c r="M617" i="12" s="1"/>
  <c r="G617" i="12"/>
  <c r="P616" i="12"/>
  <c r="O616" i="12"/>
  <c r="N616" i="12"/>
  <c r="J616" i="12"/>
  <c r="M616" i="12" s="1"/>
  <c r="G616" i="12"/>
  <c r="O615" i="12"/>
  <c r="N615" i="12"/>
  <c r="J615" i="12"/>
  <c r="M615" i="12" s="1"/>
  <c r="G615" i="12"/>
  <c r="O614" i="12"/>
  <c r="N614" i="12"/>
  <c r="J614" i="12"/>
  <c r="M614" i="12" s="1"/>
  <c r="G614" i="12"/>
  <c r="O613" i="12"/>
  <c r="N613" i="12"/>
  <c r="J613" i="12"/>
  <c r="M613" i="12" s="1"/>
  <c r="G613" i="12"/>
  <c r="O612" i="12"/>
  <c r="N612" i="12"/>
  <c r="M612" i="12"/>
  <c r="J612" i="12"/>
  <c r="G612" i="12"/>
  <c r="O364" i="12"/>
  <c r="N364" i="12"/>
  <c r="J364" i="12"/>
  <c r="M364" i="12" s="1"/>
  <c r="G364" i="12"/>
  <c r="O363" i="12"/>
  <c r="N363" i="12"/>
  <c r="J363" i="12"/>
  <c r="G363" i="12"/>
  <c r="O362" i="12"/>
  <c r="N362" i="12"/>
  <c r="J362" i="12"/>
  <c r="G362" i="12"/>
  <c r="O361" i="12"/>
  <c r="N361" i="12"/>
  <c r="J361" i="12"/>
  <c r="G361" i="12"/>
  <c r="O360" i="12"/>
  <c r="N360" i="12"/>
  <c r="J360" i="12"/>
  <c r="G360" i="12"/>
  <c r="O359" i="12"/>
  <c r="N359" i="12"/>
  <c r="J359" i="12"/>
  <c r="G359" i="12"/>
  <c r="O358" i="12"/>
  <c r="N358" i="12"/>
  <c r="J358" i="12"/>
  <c r="G358" i="12"/>
  <c r="O357" i="12"/>
  <c r="K357" i="12"/>
  <c r="N357" i="12" s="1"/>
  <c r="G357" i="12"/>
  <c r="O356" i="12"/>
  <c r="N356" i="12"/>
  <c r="J356" i="12"/>
  <c r="M356" i="12" s="1"/>
  <c r="G356" i="12"/>
  <c r="O355" i="12"/>
  <c r="N355" i="12"/>
  <c r="J355" i="12"/>
  <c r="M355" i="12" s="1"/>
  <c r="G355" i="12"/>
  <c r="O354" i="12"/>
  <c r="N354" i="12"/>
  <c r="J354" i="12"/>
  <c r="M354" i="12" s="1"/>
  <c r="G354" i="12"/>
  <c r="O353" i="12"/>
  <c r="N353" i="12"/>
  <c r="M353" i="12"/>
  <c r="J353" i="12"/>
  <c r="G353" i="12"/>
  <c r="O352" i="12"/>
  <c r="N352" i="12"/>
  <c r="J352" i="12"/>
  <c r="G352" i="12"/>
  <c r="O351" i="12"/>
  <c r="N351" i="12"/>
  <c r="J351" i="12"/>
  <c r="G351" i="12"/>
  <c r="O350" i="12"/>
  <c r="N350" i="12"/>
  <c r="J350" i="12"/>
  <c r="G350" i="12"/>
  <c r="O349" i="12"/>
  <c r="N349" i="12"/>
  <c r="J349" i="12"/>
  <c r="M349" i="12" s="1"/>
  <c r="G349" i="12"/>
  <c r="O348" i="12"/>
  <c r="N348" i="12"/>
  <c r="J348" i="12"/>
  <c r="G348" i="12"/>
  <c r="O347" i="12"/>
  <c r="J347" i="12"/>
  <c r="G347" i="12"/>
  <c r="O346" i="12"/>
  <c r="J346" i="12"/>
  <c r="K346" i="12" s="1"/>
  <c r="N346" i="12" s="1"/>
  <c r="G346" i="12"/>
  <c r="O345" i="12"/>
  <c r="J345" i="12"/>
  <c r="G345" i="12"/>
  <c r="O344" i="12"/>
  <c r="K344" i="12"/>
  <c r="G344" i="12"/>
  <c r="O343" i="12"/>
  <c r="N343" i="12"/>
  <c r="J343" i="12"/>
  <c r="G343" i="12"/>
  <c r="O342" i="12"/>
  <c r="K342" i="12"/>
  <c r="J342" i="12" s="1"/>
  <c r="G342" i="12"/>
  <c r="O341" i="12"/>
  <c r="N341" i="12"/>
  <c r="J341" i="12"/>
  <c r="G341" i="12"/>
  <c r="O340" i="12"/>
  <c r="N340" i="12"/>
  <c r="J340" i="12"/>
  <c r="M340" i="12" s="1"/>
  <c r="G340" i="12"/>
  <c r="O339" i="12"/>
  <c r="N339" i="12"/>
  <c r="J339" i="12"/>
  <c r="M339" i="12" s="1"/>
  <c r="G339" i="12"/>
  <c r="O338" i="12"/>
  <c r="N338" i="12"/>
  <c r="J338" i="12"/>
  <c r="M338" i="12" s="1"/>
  <c r="G338" i="12"/>
  <c r="O337" i="12"/>
  <c r="N337" i="12"/>
  <c r="J337" i="12"/>
  <c r="G337" i="12"/>
  <c r="O336" i="12"/>
  <c r="N336" i="12"/>
  <c r="J336" i="12"/>
  <c r="M336" i="12" s="1"/>
  <c r="G336" i="12"/>
  <c r="O335" i="12"/>
  <c r="N335" i="12"/>
  <c r="J335" i="12"/>
  <c r="G335" i="12"/>
  <c r="O334" i="12"/>
  <c r="N334" i="12"/>
  <c r="J334" i="12"/>
  <c r="G334" i="12"/>
  <c r="O333" i="12"/>
  <c r="N333" i="12"/>
  <c r="J333" i="12"/>
  <c r="M333" i="12" s="1"/>
  <c r="G333" i="12"/>
  <c r="O332" i="12"/>
  <c r="N332" i="12"/>
  <c r="M332" i="12"/>
  <c r="J332" i="12"/>
  <c r="G332" i="12"/>
  <c r="O331" i="12"/>
  <c r="N331" i="12"/>
  <c r="J331" i="12"/>
  <c r="G331" i="12"/>
  <c r="O330" i="12"/>
  <c r="N330" i="12"/>
  <c r="J330" i="12"/>
  <c r="G330" i="12"/>
  <c r="O329" i="12"/>
  <c r="N329" i="12"/>
  <c r="J329" i="12"/>
  <c r="G329" i="12"/>
  <c r="O328" i="12"/>
  <c r="N328" i="12"/>
  <c r="J328" i="12"/>
  <c r="G328" i="12"/>
  <c r="O327" i="12"/>
  <c r="N327" i="12"/>
  <c r="J327" i="12"/>
  <c r="G327" i="12"/>
  <c r="O326" i="12"/>
  <c r="N326" i="12"/>
  <c r="J326" i="12"/>
  <c r="G326" i="12"/>
  <c r="O325" i="12"/>
  <c r="N325" i="12"/>
  <c r="J325" i="12"/>
  <c r="G325" i="12"/>
  <c r="O324" i="12"/>
  <c r="N324" i="12"/>
  <c r="J324" i="12"/>
  <c r="G324" i="12"/>
  <c r="O323" i="12"/>
  <c r="N323" i="12"/>
  <c r="J323" i="12"/>
  <c r="G323" i="12"/>
  <c r="O322" i="12"/>
  <c r="N322" i="12"/>
  <c r="J322" i="12"/>
  <c r="G322" i="12"/>
  <c r="O321" i="12"/>
  <c r="N321" i="12"/>
  <c r="J321" i="12"/>
  <c r="G321" i="12"/>
  <c r="O320" i="12"/>
  <c r="N320" i="12"/>
  <c r="J320" i="12"/>
  <c r="G320" i="12"/>
  <c r="O319" i="12"/>
  <c r="N319" i="12"/>
  <c r="J319" i="12"/>
  <c r="G319" i="12"/>
  <c r="O318" i="12"/>
  <c r="N318" i="12"/>
  <c r="J318" i="12"/>
  <c r="G318" i="12"/>
  <c r="O317" i="12"/>
  <c r="N317" i="12"/>
  <c r="J317" i="12"/>
  <c r="M317" i="12" s="1"/>
  <c r="G317" i="12"/>
  <c r="O316" i="12"/>
  <c r="N316" i="12"/>
  <c r="J316" i="12"/>
  <c r="G316" i="12"/>
  <c r="O315" i="12"/>
  <c r="N315" i="12"/>
  <c r="J315" i="12"/>
  <c r="G315" i="12"/>
  <c r="O314" i="12"/>
  <c r="N314" i="12"/>
  <c r="J314" i="12"/>
  <c r="G314" i="12"/>
  <c r="O313" i="12"/>
  <c r="N313" i="12"/>
  <c r="J313" i="12"/>
  <c r="G313" i="12"/>
  <c r="O312" i="12"/>
  <c r="N312" i="12"/>
  <c r="J312" i="12"/>
  <c r="G312" i="12"/>
  <c r="O311" i="12"/>
  <c r="N311" i="12"/>
  <c r="J311" i="12"/>
  <c r="G311" i="12"/>
  <c r="O310" i="12"/>
  <c r="K310" i="12"/>
  <c r="G310" i="12"/>
  <c r="O309" i="12"/>
  <c r="N309" i="12"/>
  <c r="J309" i="12"/>
  <c r="M309" i="12" s="1"/>
  <c r="G309" i="12"/>
  <c r="O308" i="12"/>
  <c r="N308" i="12"/>
  <c r="J308" i="12"/>
  <c r="G308" i="12"/>
  <c r="O307" i="12"/>
  <c r="N307" i="12"/>
  <c r="J307" i="12"/>
  <c r="G307" i="12"/>
  <c r="O306" i="12"/>
  <c r="N306" i="12"/>
  <c r="J306" i="12"/>
  <c r="M306" i="12" s="1"/>
  <c r="G306" i="12"/>
  <c r="O305" i="12"/>
  <c r="N305" i="12"/>
  <c r="J305" i="12"/>
  <c r="G305" i="12"/>
  <c r="O304" i="12"/>
  <c r="N304" i="12"/>
  <c r="J304" i="12"/>
  <c r="G304" i="12"/>
  <c r="O303" i="12"/>
  <c r="N303" i="12"/>
  <c r="J303" i="12"/>
  <c r="G303" i="12"/>
  <c r="O302" i="12"/>
  <c r="N302" i="12"/>
  <c r="J302" i="12"/>
  <c r="M302" i="12" s="1"/>
  <c r="G302" i="12"/>
  <c r="O301" i="12"/>
  <c r="N301" i="12"/>
  <c r="J301" i="12"/>
  <c r="G301" i="12"/>
  <c r="O300" i="12"/>
  <c r="N300" i="12"/>
  <c r="J300" i="12"/>
  <c r="G300" i="12"/>
  <c r="O299" i="12"/>
  <c r="N299" i="12"/>
  <c r="J299" i="12"/>
  <c r="G299" i="12"/>
  <c r="O298" i="12"/>
  <c r="N298" i="12"/>
  <c r="J298" i="12"/>
  <c r="G298" i="12"/>
  <c r="O297" i="12"/>
  <c r="N297" i="12"/>
  <c r="J297" i="12"/>
  <c r="G297" i="12"/>
  <c r="O296" i="12"/>
  <c r="N296" i="12"/>
  <c r="J296" i="12"/>
  <c r="G296" i="12"/>
  <c r="O295" i="12"/>
  <c r="N295" i="12"/>
  <c r="J295" i="12"/>
  <c r="G295" i="12"/>
  <c r="O294" i="12"/>
  <c r="K294" i="12"/>
  <c r="G294" i="12"/>
  <c r="O293" i="12"/>
  <c r="N293" i="12"/>
  <c r="J293" i="12"/>
  <c r="G293" i="12"/>
  <c r="O292" i="12"/>
  <c r="N292" i="12"/>
  <c r="J292" i="12"/>
  <c r="G292" i="12"/>
  <c r="O291" i="12"/>
  <c r="G291" i="12"/>
  <c r="J291" i="12" s="1"/>
  <c r="K291" i="12" s="1"/>
  <c r="N291" i="12" s="1"/>
  <c r="O290" i="12"/>
  <c r="N290" i="12"/>
  <c r="J290" i="12"/>
  <c r="M290" i="12" s="1"/>
  <c r="G290" i="12"/>
  <c r="O289" i="12"/>
  <c r="N289" i="12"/>
  <c r="J289" i="12"/>
  <c r="G289" i="12"/>
  <c r="O288" i="12"/>
  <c r="N288" i="12"/>
  <c r="J288" i="12"/>
  <c r="G288" i="12"/>
  <c r="O287" i="12"/>
  <c r="N287" i="12"/>
  <c r="J287" i="12"/>
  <c r="G287" i="12"/>
  <c r="O286" i="12"/>
  <c r="N286" i="12"/>
  <c r="J286" i="12"/>
  <c r="M286" i="12" s="1"/>
  <c r="G286" i="12"/>
  <c r="O285" i="12"/>
  <c r="N285" i="12"/>
  <c r="J285" i="12"/>
  <c r="G285" i="12"/>
  <c r="O284" i="12"/>
  <c r="N284" i="12"/>
  <c r="J284" i="12"/>
  <c r="G284" i="12"/>
  <c r="O283" i="12"/>
  <c r="N283" i="12"/>
  <c r="J283" i="12"/>
  <c r="M283" i="12" s="1"/>
  <c r="G283" i="12"/>
  <c r="O282" i="12"/>
  <c r="N282" i="12"/>
  <c r="J282" i="12"/>
  <c r="G282" i="12"/>
  <c r="O281" i="12"/>
  <c r="N281" i="12"/>
  <c r="J281" i="12"/>
  <c r="G281" i="12"/>
  <c r="O280" i="12"/>
  <c r="N280" i="12"/>
  <c r="J280" i="12"/>
  <c r="G280" i="12"/>
  <c r="O279" i="12"/>
  <c r="N279" i="12"/>
  <c r="J279" i="12"/>
  <c r="G279" i="12"/>
  <c r="O278" i="12"/>
  <c r="N278" i="12"/>
  <c r="J278" i="12"/>
  <c r="M278" i="12" s="1"/>
  <c r="G278" i="12"/>
  <c r="O277" i="12"/>
  <c r="N277" i="12"/>
  <c r="J277" i="12"/>
  <c r="M277" i="12" s="1"/>
  <c r="G277" i="12"/>
  <c r="O276" i="12"/>
  <c r="N276" i="12"/>
  <c r="J276" i="12"/>
  <c r="M276" i="12" s="1"/>
  <c r="G276" i="12"/>
  <c r="O275" i="12"/>
  <c r="N275" i="12"/>
  <c r="M275" i="12"/>
  <c r="J275" i="12"/>
  <c r="G275" i="12"/>
  <c r="O274" i="12"/>
  <c r="N274" i="12"/>
  <c r="J274" i="12"/>
  <c r="G274" i="12"/>
  <c r="O273" i="12"/>
  <c r="N273" i="12"/>
  <c r="J273" i="12"/>
  <c r="G273" i="12"/>
  <c r="O272" i="12"/>
  <c r="N272" i="12"/>
  <c r="J272" i="12"/>
  <c r="G272" i="12"/>
  <c r="O271" i="12"/>
  <c r="N271" i="12"/>
  <c r="J271" i="12"/>
  <c r="M271" i="12" s="1"/>
  <c r="G271" i="12"/>
  <c r="O270" i="12"/>
  <c r="N270" i="12"/>
  <c r="J270" i="12"/>
  <c r="G270" i="12"/>
  <c r="O269" i="12"/>
  <c r="N269" i="12"/>
  <c r="J269" i="12"/>
  <c r="G269" i="12"/>
  <c r="O268" i="12"/>
  <c r="N268" i="12"/>
  <c r="J268" i="12"/>
  <c r="G268" i="12"/>
  <c r="O267" i="12"/>
  <c r="N267" i="12"/>
  <c r="J267" i="12"/>
  <c r="G267" i="12"/>
  <c r="O266" i="12"/>
  <c r="N266" i="12"/>
  <c r="J266" i="12"/>
  <c r="M266" i="12" s="1"/>
  <c r="G266" i="12"/>
  <c r="O265" i="12"/>
  <c r="N265" i="12"/>
  <c r="J265" i="12"/>
  <c r="G265" i="12"/>
  <c r="O264" i="12"/>
  <c r="N264" i="12"/>
  <c r="J264" i="12"/>
  <c r="G264" i="12"/>
  <c r="O263" i="12"/>
  <c r="N263" i="12"/>
  <c r="J263" i="12"/>
  <c r="M263" i="12" s="1"/>
  <c r="G263" i="12"/>
  <c r="O262" i="12"/>
  <c r="N262" i="12"/>
  <c r="J262" i="12"/>
  <c r="G262" i="12"/>
  <c r="M262" i="12" s="1"/>
  <c r="O261" i="12"/>
  <c r="N261" i="12"/>
  <c r="J261" i="12"/>
  <c r="G261" i="12"/>
  <c r="O260" i="12"/>
  <c r="N260" i="12"/>
  <c r="J260" i="12"/>
  <c r="G260" i="12"/>
  <c r="O259" i="12"/>
  <c r="N259" i="12"/>
  <c r="J259" i="12"/>
  <c r="G259" i="12"/>
  <c r="O258" i="12"/>
  <c r="N258" i="12"/>
  <c r="J258" i="12"/>
  <c r="G258" i="12"/>
  <c r="O257" i="12"/>
  <c r="N257" i="12"/>
  <c r="J257" i="12"/>
  <c r="G257" i="12"/>
  <c r="O256" i="12"/>
  <c r="N256" i="12"/>
  <c r="J256" i="12"/>
  <c r="G256" i="12"/>
  <c r="O255" i="12"/>
  <c r="N255" i="12"/>
  <c r="J255" i="12"/>
  <c r="G255" i="12"/>
  <c r="O254" i="12"/>
  <c r="N254" i="12"/>
  <c r="J254" i="12"/>
  <c r="G254" i="12"/>
  <c r="O253" i="12"/>
  <c r="N253" i="12"/>
  <c r="J253" i="12"/>
  <c r="G253" i="12"/>
  <c r="O252" i="12"/>
  <c r="N252" i="12"/>
  <c r="J252" i="12"/>
  <c r="G252" i="12"/>
  <c r="O251" i="12"/>
  <c r="N251" i="12"/>
  <c r="J251" i="12"/>
  <c r="G251" i="12"/>
  <c r="O250" i="12"/>
  <c r="N250" i="12"/>
  <c r="J250" i="12"/>
  <c r="G250" i="12"/>
  <c r="O249" i="12"/>
  <c r="N249" i="12"/>
  <c r="J249" i="12"/>
  <c r="G249" i="12"/>
  <c r="O248" i="12"/>
  <c r="N248" i="12"/>
  <c r="J248" i="12"/>
  <c r="G248" i="12"/>
  <c r="O247" i="12"/>
  <c r="N247" i="12"/>
  <c r="J247" i="12"/>
  <c r="G247" i="12"/>
  <c r="O246" i="12"/>
  <c r="N246" i="12"/>
  <c r="J246" i="12"/>
  <c r="M246" i="12" s="1"/>
  <c r="G246" i="12"/>
  <c r="O245" i="12"/>
  <c r="N245" i="12"/>
  <c r="J245" i="12"/>
  <c r="G245" i="12"/>
  <c r="O244" i="12"/>
  <c r="N244" i="12"/>
  <c r="J244" i="12"/>
  <c r="G244" i="12"/>
  <c r="O243" i="12"/>
  <c r="N243" i="12"/>
  <c r="J243" i="12"/>
  <c r="G243" i="12"/>
  <c r="O242" i="12"/>
  <c r="N242" i="12"/>
  <c r="J242" i="12"/>
  <c r="G242" i="12"/>
  <c r="O241" i="12"/>
  <c r="N241" i="12"/>
  <c r="J241" i="12"/>
  <c r="G241" i="12"/>
  <c r="O240" i="12"/>
  <c r="N240" i="12"/>
  <c r="J240" i="12"/>
  <c r="G240" i="12"/>
  <c r="O239" i="12"/>
  <c r="N239" i="12"/>
  <c r="J239" i="12"/>
  <c r="G239" i="12"/>
  <c r="O238" i="12"/>
  <c r="N238" i="12"/>
  <c r="J238" i="12"/>
  <c r="G238" i="12"/>
  <c r="O237" i="12"/>
  <c r="N237" i="12"/>
  <c r="J237" i="12"/>
  <c r="G237" i="12"/>
  <c r="O236" i="12"/>
  <c r="N236" i="12"/>
  <c r="J236" i="12"/>
  <c r="G236" i="12"/>
  <c r="O235" i="12"/>
  <c r="N235" i="12"/>
  <c r="J235" i="12"/>
  <c r="G235" i="12"/>
  <c r="O234" i="12"/>
  <c r="N234" i="12"/>
  <c r="J234" i="12"/>
  <c r="M234" i="12" s="1"/>
  <c r="G234" i="12"/>
  <c r="O233" i="12"/>
  <c r="N233" i="12"/>
  <c r="J233" i="12"/>
  <c r="G233" i="12"/>
  <c r="O232" i="12"/>
  <c r="N232" i="12"/>
  <c r="J232" i="12"/>
  <c r="G232" i="12"/>
  <c r="O231" i="12"/>
  <c r="N231" i="12"/>
  <c r="J231" i="12"/>
  <c r="G231" i="12"/>
  <c r="O230" i="12"/>
  <c r="K230" i="12"/>
  <c r="J230" i="12" s="1"/>
  <c r="G230" i="12"/>
  <c r="O229" i="12"/>
  <c r="K229" i="12"/>
  <c r="N229" i="12" s="1"/>
  <c r="G229" i="12"/>
  <c r="O228" i="12"/>
  <c r="N228" i="12"/>
  <c r="J228" i="12"/>
  <c r="G228" i="12"/>
  <c r="O227" i="12"/>
  <c r="N227" i="12"/>
  <c r="J227" i="12"/>
  <c r="G227" i="12"/>
  <c r="O226" i="12"/>
  <c r="N226" i="12"/>
  <c r="J226" i="12"/>
  <c r="G226" i="12"/>
  <c r="O225" i="12"/>
  <c r="N225" i="12"/>
  <c r="J225" i="12"/>
  <c r="G225" i="12"/>
  <c r="O224" i="12"/>
  <c r="N224" i="12"/>
  <c r="J224" i="12"/>
  <c r="M224" i="12" s="1"/>
  <c r="G224" i="12"/>
  <c r="O223" i="12"/>
  <c r="N223" i="12"/>
  <c r="J223" i="12"/>
  <c r="G223" i="12"/>
  <c r="O222" i="12"/>
  <c r="N222" i="12"/>
  <c r="J222" i="12"/>
  <c r="G222" i="12"/>
  <c r="O221" i="12"/>
  <c r="N221" i="12"/>
  <c r="J221" i="12"/>
  <c r="G221" i="12"/>
  <c r="O220" i="12"/>
  <c r="N220" i="12"/>
  <c r="J220" i="12"/>
  <c r="G220" i="12"/>
  <c r="O219" i="12"/>
  <c r="N219" i="12"/>
  <c r="J219" i="12"/>
  <c r="G219" i="12"/>
  <c r="O218" i="12"/>
  <c r="N218" i="12"/>
  <c r="J218" i="12"/>
  <c r="G218" i="12"/>
  <c r="O217" i="12"/>
  <c r="N217" i="12"/>
  <c r="J217" i="12"/>
  <c r="G217" i="12"/>
  <c r="O216" i="12"/>
  <c r="N216" i="12"/>
  <c r="J216" i="12"/>
  <c r="G216" i="12"/>
  <c r="O215" i="12"/>
  <c r="N215" i="12"/>
  <c r="J215" i="12"/>
  <c r="G215" i="12"/>
  <c r="O214" i="12"/>
  <c r="N214" i="12"/>
  <c r="J214" i="12"/>
  <c r="G214" i="12"/>
  <c r="O213" i="12"/>
  <c r="N213" i="12"/>
  <c r="J213" i="12"/>
  <c r="G213" i="12"/>
  <c r="O212" i="12"/>
  <c r="N212" i="12"/>
  <c r="J212" i="12"/>
  <c r="M212" i="12" s="1"/>
  <c r="G212" i="12"/>
  <c r="O211" i="12"/>
  <c r="N211" i="12"/>
  <c r="J211" i="12"/>
  <c r="G211" i="12"/>
  <c r="O210" i="12"/>
  <c r="N210" i="12"/>
  <c r="J210" i="12"/>
  <c r="G210" i="12"/>
  <c r="O209" i="12"/>
  <c r="N209" i="12"/>
  <c r="J209" i="12"/>
  <c r="G209" i="12"/>
  <c r="O208" i="12"/>
  <c r="N208" i="12"/>
  <c r="J208" i="12"/>
  <c r="M208" i="12" s="1"/>
  <c r="G208" i="12"/>
  <c r="O207" i="12"/>
  <c r="N207" i="12"/>
  <c r="J207" i="12"/>
  <c r="M207" i="12" s="1"/>
  <c r="G207" i="12"/>
  <c r="O206" i="12"/>
  <c r="N206" i="12"/>
  <c r="J206" i="12"/>
  <c r="G206" i="12"/>
  <c r="O205" i="12"/>
  <c r="N205" i="12"/>
  <c r="J205" i="12"/>
  <c r="G205" i="12"/>
  <c r="O204" i="12"/>
  <c r="N204" i="12"/>
  <c r="J204" i="12"/>
  <c r="G204" i="12"/>
  <c r="O203" i="12"/>
  <c r="N203" i="12"/>
  <c r="J203" i="12"/>
  <c r="G203" i="12"/>
  <c r="O202" i="12"/>
  <c r="N202" i="12"/>
  <c r="J202" i="12"/>
  <c r="M202" i="12" s="1"/>
  <c r="G202" i="12"/>
  <c r="O201" i="12"/>
  <c r="N201" i="12"/>
  <c r="J201" i="12"/>
  <c r="G201" i="12"/>
  <c r="O200" i="12"/>
  <c r="N200" i="12"/>
  <c r="J200" i="12"/>
  <c r="G200" i="12"/>
  <c r="O199" i="12"/>
  <c r="N199" i="12"/>
  <c r="J199" i="12"/>
  <c r="G199" i="12"/>
  <c r="O198" i="12"/>
  <c r="N198" i="12"/>
  <c r="J198" i="12"/>
  <c r="G198" i="12"/>
  <c r="O197" i="12"/>
  <c r="N197" i="12"/>
  <c r="J197" i="12"/>
  <c r="G197" i="12"/>
  <c r="O196" i="12"/>
  <c r="N196" i="12"/>
  <c r="J196" i="12"/>
  <c r="G196" i="12"/>
  <c r="O195" i="12"/>
  <c r="N195" i="12"/>
  <c r="J195" i="12"/>
  <c r="G195" i="12"/>
  <c r="O194" i="12"/>
  <c r="N194" i="12"/>
  <c r="J194" i="12"/>
  <c r="G194" i="12"/>
  <c r="O193" i="12"/>
  <c r="N193" i="12"/>
  <c r="J193" i="12"/>
  <c r="G193" i="12"/>
  <c r="O192" i="12"/>
  <c r="N192" i="12"/>
  <c r="J192" i="12"/>
  <c r="G192" i="12"/>
  <c r="O191" i="12"/>
  <c r="N191" i="12"/>
  <c r="J191" i="12"/>
  <c r="G191" i="12"/>
  <c r="O190" i="12"/>
  <c r="N190" i="12"/>
  <c r="J190" i="12"/>
  <c r="G190" i="12"/>
  <c r="O189" i="12"/>
  <c r="N189" i="12"/>
  <c r="J189" i="12"/>
  <c r="G189" i="12"/>
  <c r="O188" i="12"/>
  <c r="N188" i="12"/>
  <c r="J188" i="12"/>
  <c r="G188" i="12"/>
  <c r="O187" i="12"/>
  <c r="N187" i="12"/>
  <c r="J187" i="12"/>
  <c r="G187" i="12"/>
  <c r="O186" i="12"/>
  <c r="K186" i="12"/>
  <c r="N186" i="12" s="1"/>
  <c r="J186" i="12"/>
  <c r="M186" i="12" s="1"/>
  <c r="G186" i="12"/>
  <c r="O185" i="12"/>
  <c r="N185" i="12"/>
  <c r="J185" i="12"/>
  <c r="M185" i="12" s="1"/>
  <c r="G185" i="12"/>
  <c r="O184" i="12"/>
  <c r="N184" i="12"/>
  <c r="J184" i="12"/>
  <c r="G184" i="12"/>
  <c r="O183" i="12"/>
  <c r="N183" i="12"/>
  <c r="J183" i="12"/>
  <c r="G183" i="12"/>
  <c r="O182" i="12"/>
  <c r="N182" i="12"/>
  <c r="J182" i="12"/>
  <c r="G182" i="12"/>
  <c r="O181" i="12"/>
  <c r="N181" i="12"/>
  <c r="J181" i="12"/>
  <c r="M181" i="12" s="1"/>
  <c r="G181" i="12"/>
  <c r="O180" i="12"/>
  <c r="N180" i="12"/>
  <c r="J180" i="12"/>
  <c r="M180" i="12" s="1"/>
  <c r="G180" i="12"/>
  <c r="O179" i="12"/>
  <c r="N179" i="12"/>
  <c r="J179" i="12"/>
  <c r="G179" i="12"/>
  <c r="O178" i="12"/>
  <c r="N178" i="12"/>
  <c r="J178" i="12"/>
  <c r="G178" i="12"/>
  <c r="O177" i="12"/>
  <c r="N177" i="12"/>
  <c r="J177" i="12"/>
  <c r="G177" i="12"/>
  <c r="O176" i="12"/>
  <c r="N176" i="12"/>
  <c r="J176" i="12"/>
  <c r="G176" i="12"/>
  <c r="O175" i="12"/>
  <c r="N175" i="12"/>
  <c r="J175" i="12"/>
  <c r="G175" i="12"/>
  <c r="O174" i="12"/>
  <c r="N174" i="12"/>
  <c r="J174" i="12"/>
  <c r="M174" i="12" s="1"/>
  <c r="G174" i="12"/>
  <c r="O173" i="12"/>
  <c r="N173" i="12"/>
  <c r="J173" i="12"/>
  <c r="G173" i="12"/>
  <c r="O172" i="12"/>
  <c r="N172" i="12"/>
  <c r="J172" i="12"/>
  <c r="G172" i="12"/>
  <c r="O171" i="12"/>
  <c r="N171" i="12"/>
  <c r="J171" i="12"/>
  <c r="G171" i="12"/>
  <c r="O170" i="12"/>
  <c r="N170" i="12"/>
  <c r="J170" i="12"/>
  <c r="M170" i="12" s="1"/>
  <c r="G170" i="12"/>
  <c r="O169" i="12"/>
  <c r="N169" i="12"/>
  <c r="M169" i="12"/>
  <c r="J169" i="12"/>
  <c r="G169" i="12"/>
  <c r="O168" i="12"/>
  <c r="N168" i="12"/>
  <c r="J168" i="12"/>
  <c r="G168" i="12"/>
  <c r="O167" i="12"/>
  <c r="N167" i="12"/>
  <c r="J167" i="12"/>
  <c r="G167" i="12"/>
  <c r="O166" i="12"/>
  <c r="N166" i="12"/>
  <c r="J166" i="12"/>
  <c r="G166" i="12"/>
  <c r="O165" i="12"/>
  <c r="N165" i="12"/>
  <c r="J165" i="12"/>
  <c r="G165" i="12"/>
  <c r="O164" i="12"/>
  <c r="N164" i="12"/>
  <c r="J164" i="12"/>
  <c r="G164" i="12"/>
  <c r="O163" i="12"/>
  <c r="N163" i="12"/>
  <c r="J163" i="12"/>
  <c r="G163" i="12"/>
  <c r="O162" i="12"/>
  <c r="N162" i="12"/>
  <c r="J162" i="12"/>
  <c r="G162" i="12"/>
  <c r="O161" i="12"/>
  <c r="N161" i="12"/>
  <c r="J161" i="12"/>
  <c r="G161" i="12"/>
  <c r="O160" i="12"/>
  <c r="N160" i="12"/>
  <c r="J160" i="12"/>
  <c r="G160" i="12"/>
  <c r="O159" i="12"/>
  <c r="N159" i="12"/>
  <c r="J159" i="12"/>
  <c r="G159" i="12"/>
  <c r="O158" i="12"/>
  <c r="N158" i="12"/>
  <c r="J158" i="12"/>
  <c r="M158" i="12" s="1"/>
  <c r="G158" i="12"/>
  <c r="O157" i="12"/>
  <c r="N157" i="12"/>
  <c r="J157" i="12"/>
  <c r="G157" i="12"/>
  <c r="O156" i="12"/>
  <c r="N156" i="12"/>
  <c r="J156" i="12"/>
  <c r="G156" i="12"/>
  <c r="O155" i="12"/>
  <c r="N155" i="12"/>
  <c r="J155" i="12"/>
  <c r="G155" i="12"/>
  <c r="O154" i="12"/>
  <c r="N154" i="12"/>
  <c r="J154" i="12"/>
  <c r="M154" i="12" s="1"/>
  <c r="G154" i="12"/>
  <c r="O153" i="12"/>
  <c r="N153" i="12"/>
  <c r="J153" i="12"/>
  <c r="G153" i="12"/>
  <c r="O152" i="12"/>
  <c r="N152" i="12"/>
  <c r="J152" i="12"/>
  <c r="G152" i="12"/>
  <c r="O151" i="12"/>
  <c r="N151" i="12"/>
  <c r="J151" i="12"/>
  <c r="G151" i="12"/>
  <c r="O150" i="12"/>
  <c r="N150" i="12"/>
  <c r="J150" i="12"/>
  <c r="G150" i="12"/>
  <c r="O149" i="12"/>
  <c r="N149" i="12"/>
  <c r="J149" i="12"/>
  <c r="M149" i="12" s="1"/>
  <c r="G149" i="12"/>
  <c r="O148" i="12"/>
  <c r="N148" i="12"/>
  <c r="J148" i="12"/>
  <c r="M148" i="12" s="1"/>
  <c r="G148" i="12"/>
  <c r="O147" i="12"/>
  <c r="N147" i="12"/>
  <c r="J147" i="12"/>
  <c r="G147" i="12"/>
  <c r="O146" i="12"/>
  <c r="N146" i="12"/>
  <c r="J146" i="12"/>
  <c r="G146" i="12"/>
  <c r="O145" i="12"/>
  <c r="N145" i="12"/>
  <c r="J145" i="12"/>
  <c r="G145" i="12"/>
  <c r="O144" i="12"/>
  <c r="N144" i="12"/>
  <c r="J144" i="12"/>
  <c r="G144" i="12"/>
  <c r="O143" i="12"/>
  <c r="N143" i="12"/>
  <c r="J143" i="12"/>
  <c r="G143" i="12"/>
  <c r="O142" i="12"/>
  <c r="N142" i="12"/>
  <c r="J142" i="12"/>
  <c r="M142" i="12" s="1"/>
  <c r="G142" i="12"/>
  <c r="O141" i="12"/>
  <c r="N141" i="12"/>
  <c r="J141" i="12"/>
  <c r="G141" i="12"/>
  <c r="O140" i="12"/>
  <c r="N140" i="12"/>
  <c r="J140" i="12"/>
  <c r="G140" i="12"/>
  <c r="O139" i="12"/>
  <c r="N139" i="12"/>
  <c r="J139" i="12"/>
  <c r="G139" i="12"/>
  <c r="O138" i="12"/>
  <c r="N138" i="12"/>
  <c r="J138" i="12"/>
  <c r="M138" i="12" s="1"/>
  <c r="G138" i="12"/>
  <c r="O137" i="12"/>
  <c r="N137" i="12"/>
  <c r="J137" i="12"/>
  <c r="G137" i="12"/>
  <c r="O136" i="12"/>
  <c r="N136" i="12"/>
  <c r="J136" i="12"/>
  <c r="G136" i="12"/>
  <c r="O135" i="12"/>
  <c r="N135" i="12"/>
  <c r="J135" i="12"/>
  <c r="G135" i="12"/>
  <c r="O134" i="12"/>
  <c r="N134" i="12"/>
  <c r="J134" i="12"/>
  <c r="G134" i="12"/>
  <c r="O133" i="12"/>
  <c r="N133" i="12"/>
  <c r="J133" i="12"/>
  <c r="G133" i="12"/>
  <c r="O132" i="12"/>
  <c r="N132" i="12"/>
  <c r="J132" i="12"/>
  <c r="G132" i="12"/>
  <c r="O131" i="12"/>
  <c r="N131" i="12"/>
  <c r="J131" i="12"/>
  <c r="G131" i="12"/>
  <c r="O130" i="12"/>
  <c r="N130" i="12"/>
  <c r="J130" i="12"/>
  <c r="G130" i="12"/>
  <c r="O129" i="12"/>
  <c r="N129" i="12"/>
  <c r="J129" i="12"/>
  <c r="G129" i="12"/>
  <c r="O128" i="12"/>
  <c r="N128" i="12"/>
  <c r="J128" i="12"/>
  <c r="G128" i="12"/>
  <c r="O127" i="12"/>
  <c r="N127" i="12"/>
  <c r="J127" i="12"/>
  <c r="G127" i="12"/>
  <c r="O126" i="12"/>
  <c r="N126" i="12"/>
  <c r="J126" i="12"/>
  <c r="G126" i="12"/>
  <c r="O125" i="12"/>
  <c r="N125" i="12"/>
  <c r="J125" i="12"/>
  <c r="G125" i="12"/>
  <c r="O124" i="12"/>
  <c r="N124" i="12"/>
  <c r="J124" i="12"/>
  <c r="G124" i="12"/>
  <c r="O123" i="12"/>
  <c r="N123" i="12"/>
  <c r="J123" i="12"/>
  <c r="G123" i="12"/>
  <c r="O122" i="12"/>
  <c r="N122" i="12"/>
  <c r="J122" i="12"/>
  <c r="G122" i="12"/>
  <c r="O121" i="12"/>
  <c r="N121" i="12"/>
  <c r="J121" i="12"/>
  <c r="M121" i="12" s="1"/>
  <c r="G121" i="12"/>
  <c r="O120" i="12"/>
  <c r="N120" i="12"/>
  <c r="J120" i="12"/>
  <c r="G120" i="12"/>
  <c r="O119" i="12"/>
  <c r="N119" i="12"/>
  <c r="J119" i="12"/>
  <c r="G119" i="12"/>
  <c r="O118" i="12"/>
  <c r="N118" i="12"/>
  <c r="J118" i="12"/>
  <c r="G118" i="12"/>
  <c r="O117" i="12"/>
  <c r="N117" i="12"/>
  <c r="J117" i="12"/>
  <c r="M117" i="12" s="1"/>
  <c r="G117" i="12"/>
  <c r="O116" i="12"/>
  <c r="N116" i="12"/>
  <c r="J116" i="12"/>
  <c r="M116" i="12" s="1"/>
  <c r="G116" i="12"/>
  <c r="O115" i="12"/>
  <c r="N115" i="12"/>
  <c r="J115" i="12"/>
  <c r="G115" i="12"/>
  <c r="O114" i="12"/>
  <c r="N114" i="12"/>
  <c r="J114" i="12"/>
  <c r="G114" i="12"/>
  <c r="O113" i="12"/>
  <c r="N113" i="12"/>
  <c r="J113" i="12"/>
  <c r="G113" i="12"/>
  <c r="O112" i="12"/>
  <c r="N112" i="12"/>
  <c r="J112" i="12"/>
  <c r="G112" i="12"/>
  <c r="O111" i="12"/>
  <c r="N111" i="12"/>
  <c r="J111" i="12"/>
  <c r="G111" i="12"/>
  <c r="O110" i="12"/>
  <c r="N110" i="12"/>
  <c r="J110" i="12"/>
  <c r="M110" i="12" s="1"/>
  <c r="G110" i="12"/>
  <c r="O109" i="12"/>
  <c r="N109" i="12"/>
  <c r="J109" i="12"/>
  <c r="G109" i="12"/>
  <c r="O108" i="12"/>
  <c r="N108" i="12"/>
  <c r="J108" i="12"/>
  <c r="G108" i="12"/>
  <c r="O107" i="12"/>
  <c r="N107" i="12"/>
  <c r="J107" i="12"/>
  <c r="G107" i="12"/>
  <c r="O106" i="12"/>
  <c r="N106" i="12"/>
  <c r="J106" i="12"/>
  <c r="M106" i="12" s="1"/>
  <c r="G106" i="12"/>
  <c r="O105" i="12"/>
  <c r="N105" i="12"/>
  <c r="M105" i="12"/>
  <c r="J105" i="12"/>
  <c r="G105" i="12"/>
  <c r="O104" i="12"/>
  <c r="N104" i="12"/>
  <c r="J104" i="12"/>
  <c r="G104" i="12"/>
  <c r="O103" i="12"/>
  <c r="N103" i="12"/>
  <c r="J103" i="12"/>
  <c r="G103" i="12"/>
  <c r="O102" i="12"/>
  <c r="N102" i="12"/>
  <c r="J102" i="12"/>
  <c r="G102" i="12"/>
  <c r="O101" i="12"/>
  <c r="N101" i="12"/>
  <c r="J101" i="12"/>
  <c r="G101" i="12"/>
  <c r="O100" i="12"/>
  <c r="N100" i="12"/>
  <c r="J100" i="12"/>
  <c r="G100" i="12"/>
  <c r="O99" i="12"/>
  <c r="N99" i="12"/>
  <c r="J99" i="12"/>
  <c r="G99" i="12"/>
  <c r="O98" i="12"/>
  <c r="N98" i="12"/>
  <c r="J98" i="12"/>
  <c r="G98" i="12"/>
  <c r="O97" i="12"/>
  <c r="N97" i="12"/>
  <c r="J97" i="12"/>
  <c r="G97" i="12"/>
  <c r="O96" i="12"/>
  <c r="N96" i="12"/>
  <c r="J96" i="12"/>
  <c r="G96" i="12"/>
  <c r="O95" i="12"/>
  <c r="N95" i="12"/>
  <c r="J95" i="12"/>
  <c r="G95" i="12"/>
  <c r="O94" i="12"/>
  <c r="N94" i="12"/>
  <c r="J94" i="12"/>
  <c r="G94" i="12"/>
  <c r="O93" i="12"/>
  <c r="N93" i="12"/>
  <c r="J93" i="12"/>
  <c r="G93" i="12"/>
  <c r="O92" i="12"/>
  <c r="N92" i="12"/>
  <c r="J92" i="12"/>
  <c r="G92" i="12"/>
  <c r="O91" i="12"/>
  <c r="N91" i="12"/>
  <c r="J91" i="12"/>
  <c r="G91" i="12"/>
  <c r="O90" i="12"/>
  <c r="N90" i="12"/>
  <c r="J90" i="12"/>
  <c r="G90" i="12"/>
  <c r="O89" i="12"/>
  <c r="N89" i="12"/>
  <c r="J89" i="12"/>
  <c r="M89" i="12" s="1"/>
  <c r="G89" i="12"/>
  <c r="O88" i="12"/>
  <c r="N88" i="12"/>
  <c r="J88" i="12"/>
  <c r="G88" i="12"/>
  <c r="O87" i="12"/>
  <c r="N87" i="12"/>
  <c r="J87" i="12"/>
  <c r="G87" i="12"/>
  <c r="O86" i="12"/>
  <c r="N86" i="12"/>
  <c r="J86" i="12"/>
  <c r="G86" i="12"/>
  <c r="O85" i="12"/>
  <c r="N85" i="12"/>
  <c r="J85" i="12"/>
  <c r="M85" i="12" s="1"/>
  <c r="G85" i="12"/>
  <c r="O84" i="12"/>
  <c r="N84" i="12"/>
  <c r="J84" i="12"/>
  <c r="M84" i="12" s="1"/>
  <c r="G84" i="12"/>
  <c r="O83" i="12"/>
  <c r="N83" i="12"/>
  <c r="J83" i="12"/>
  <c r="G83" i="12"/>
  <c r="O82" i="12"/>
  <c r="N82" i="12"/>
  <c r="J82" i="12"/>
  <c r="G82" i="12"/>
  <c r="O81" i="12"/>
  <c r="N81" i="12"/>
  <c r="J81" i="12"/>
  <c r="G81" i="12"/>
  <c r="O80" i="12"/>
  <c r="N80" i="12"/>
  <c r="J80" i="12"/>
  <c r="G80" i="12"/>
  <c r="O79" i="12"/>
  <c r="N79" i="12"/>
  <c r="J79" i="12"/>
  <c r="G79" i="12"/>
  <c r="O78" i="12"/>
  <c r="N78" i="12"/>
  <c r="J78" i="12"/>
  <c r="M78" i="12" s="1"/>
  <c r="G78" i="12"/>
  <c r="O77" i="12"/>
  <c r="N77" i="12"/>
  <c r="J77" i="12"/>
  <c r="G77" i="12"/>
  <c r="O76" i="12"/>
  <c r="N76" i="12"/>
  <c r="J76" i="12"/>
  <c r="G76" i="12"/>
  <c r="O75" i="12"/>
  <c r="N75" i="12"/>
  <c r="J75" i="12"/>
  <c r="G75" i="12"/>
  <c r="O74" i="12"/>
  <c r="N74" i="12"/>
  <c r="J74" i="12"/>
  <c r="M74" i="12" s="1"/>
  <c r="G74" i="12"/>
  <c r="O73" i="12"/>
  <c r="N73" i="12"/>
  <c r="J73" i="12"/>
  <c r="G73" i="12"/>
  <c r="M73" i="12" s="1"/>
  <c r="O72" i="12"/>
  <c r="N72" i="12"/>
  <c r="J72" i="12"/>
  <c r="G72" i="12"/>
  <c r="O71" i="12"/>
  <c r="N71" i="12"/>
  <c r="J71" i="12"/>
  <c r="G71" i="12"/>
  <c r="O70" i="12"/>
  <c r="N70" i="12"/>
  <c r="J70" i="12"/>
  <c r="G70" i="12"/>
  <c r="O69" i="12"/>
  <c r="N69" i="12"/>
  <c r="J69" i="12"/>
  <c r="G69" i="12"/>
  <c r="O68" i="12"/>
  <c r="N68" i="12"/>
  <c r="J68" i="12"/>
  <c r="G68" i="12"/>
  <c r="O67" i="12"/>
  <c r="N67" i="12"/>
  <c r="J67" i="12"/>
  <c r="G67" i="12"/>
  <c r="O66" i="12"/>
  <c r="N66" i="12"/>
  <c r="J66" i="12"/>
  <c r="G66" i="12"/>
  <c r="O65" i="12"/>
  <c r="N65" i="12"/>
  <c r="J65" i="12"/>
  <c r="G65" i="12"/>
  <c r="O64" i="12"/>
  <c r="N64" i="12"/>
  <c r="J64" i="12"/>
  <c r="G64" i="12"/>
  <c r="O63" i="12"/>
  <c r="N63" i="12"/>
  <c r="J63" i="12"/>
  <c r="G63" i="12"/>
  <c r="O62" i="12"/>
  <c r="N62" i="12"/>
  <c r="J62" i="12"/>
  <c r="G62" i="12"/>
  <c r="O61" i="12"/>
  <c r="N61" i="12"/>
  <c r="J61" i="12"/>
  <c r="G61" i="12"/>
  <c r="O60" i="12"/>
  <c r="N60" i="12"/>
  <c r="J60" i="12"/>
  <c r="G60" i="12"/>
  <c r="O59" i="12"/>
  <c r="N59" i="12"/>
  <c r="J59" i="12"/>
  <c r="G59" i="12"/>
  <c r="O58" i="12"/>
  <c r="N58" i="12"/>
  <c r="J58" i="12"/>
  <c r="G58" i="12"/>
  <c r="O57" i="12"/>
  <c r="N57" i="12"/>
  <c r="J57" i="12"/>
  <c r="G57" i="12"/>
  <c r="O56" i="12"/>
  <c r="N56" i="12"/>
  <c r="J56" i="12"/>
  <c r="M56" i="12" s="1"/>
  <c r="G56" i="12"/>
  <c r="O55" i="12"/>
  <c r="N55" i="12"/>
  <c r="J55" i="12"/>
  <c r="G55" i="12"/>
  <c r="O54" i="12"/>
  <c r="N54" i="12"/>
  <c r="J54" i="12"/>
  <c r="G54" i="12"/>
  <c r="O53" i="12"/>
  <c r="N53" i="12"/>
  <c r="J53" i="12"/>
  <c r="G53" i="12"/>
  <c r="O52" i="12"/>
  <c r="N52" i="12"/>
  <c r="J52" i="12"/>
  <c r="M52" i="12" s="1"/>
  <c r="G52" i="12"/>
  <c r="O51" i="12"/>
  <c r="N51" i="12"/>
  <c r="J51" i="12"/>
  <c r="M51" i="12" s="1"/>
  <c r="G51" i="12"/>
  <c r="O50" i="12"/>
  <c r="N50" i="12"/>
  <c r="J50" i="12"/>
  <c r="G50" i="12"/>
  <c r="O49" i="12"/>
  <c r="N49" i="12"/>
  <c r="J49" i="12"/>
  <c r="G49" i="12"/>
  <c r="O48" i="12"/>
  <c r="N48" i="12"/>
  <c r="J48" i="12"/>
  <c r="G48" i="12"/>
  <c r="O47" i="12"/>
  <c r="N47" i="12"/>
  <c r="J47" i="12"/>
  <c r="G47" i="12"/>
  <c r="O46" i="12"/>
  <c r="N46" i="12"/>
  <c r="J46" i="12"/>
  <c r="G46" i="12"/>
  <c r="O45" i="12"/>
  <c r="N45" i="12"/>
  <c r="J45" i="12"/>
  <c r="M45" i="12" s="1"/>
  <c r="G45" i="12"/>
  <c r="O44" i="12"/>
  <c r="N44" i="12"/>
  <c r="J44" i="12"/>
  <c r="G44" i="12"/>
  <c r="O43" i="12"/>
  <c r="N43" i="12"/>
  <c r="J43" i="12"/>
  <c r="G43" i="12"/>
  <c r="O42" i="12"/>
  <c r="N42" i="12"/>
  <c r="J42" i="12"/>
  <c r="G42" i="12"/>
  <c r="O41" i="12"/>
  <c r="N41" i="12"/>
  <c r="J41" i="12"/>
  <c r="M41" i="12" s="1"/>
  <c r="G41" i="12"/>
  <c r="O40" i="12"/>
  <c r="N40" i="12"/>
  <c r="J40" i="12"/>
  <c r="G40" i="12"/>
  <c r="O39" i="12"/>
  <c r="N39" i="12"/>
  <c r="J39" i="12"/>
  <c r="G39" i="12"/>
  <c r="O38" i="12"/>
  <c r="N38" i="12"/>
  <c r="J38" i="12"/>
  <c r="G38" i="12"/>
  <c r="O37" i="12"/>
  <c r="N37" i="12"/>
  <c r="J37" i="12"/>
  <c r="G37" i="12"/>
  <c r="O36" i="12"/>
  <c r="N36" i="12"/>
  <c r="J36" i="12"/>
  <c r="G36" i="12"/>
  <c r="O35" i="12"/>
  <c r="N35" i="12"/>
  <c r="J35" i="12"/>
  <c r="G35" i="12"/>
  <c r="O34" i="12"/>
  <c r="N34" i="12"/>
  <c r="J34" i="12"/>
  <c r="G34" i="12"/>
  <c r="O33" i="12"/>
  <c r="N33" i="12"/>
  <c r="J33" i="12"/>
  <c r="G33" i="12"/>
  <c r="O32" i="12"/>
  <c r="N32" i="12"/>
  <c r="J32" i="12"/>
  <c r="G32" i="12"/>
  <c r="O31" i="12"/>
  <c r="N31" i="12"/>
  <c r="J31" i="12"/>
  <c r="G31" i="12"/>
  <c r="O30" i="12"/>
  <c r="N30" i="12"/>
  <c r="J30" i="12"/>
  <c r="G30" i="12"/>
  <c r="O29" i="12"/>
  <c r="N29" i="12"/>
  <c r="J29" i="12"/>
  <c r="G29" i="12"/>
  <c r="O28" i="12"/>
  <c r="N28" i="12"/>
  <c r="J28" i="12"/>
  <c r="G28" i="12"/>
  <c r="O27" i="12"/>
  <c r="N27" i="12"/>
  <c r="J27" i="12"/>
  <c r="G27" i="12"/>
  <c r="O26" i="12"/>
  <c r="N26" i="12"/>
  <c r="J26" i="12"/>
  <c r="G26" i="12"/>
  <c r="O25" i="12"/>
  <c r="N25" i="12"/>
  <c r="J25" i="12"/>
  <c r="G25" i="12"/>
  <c r="O24" i="12"/>
  <c r="N24" i="12"/>
  <c r="J24" i="12"/>
  <c r="M24" i="12" s="1"/>
  <c r="G24" i="12"/>
  <c r="O23" i="12"/>
  <c r="N23" i="12"/>
  <c r="J23" i="12"/>
  <c r="G23" i="12"/>
  <c r="O22" i="12"/>
  <c r="N22" i="12"/>
  <c r="J22" i="12"/>
  <c r="G22" i="12"/>
  <c r="O21" i="12"/>
  <c r="N21" i="12"/>
  <c r="J21" i="12"/>
  <c r="G21" i="12"/>
  <c r="O20" i="12"/>
  <c r="N20" i="12"/>
  <c r="J20" i="12"/>
  <c r="G20" i="12"/>
  <c r="O19" i="12"/>
  <c r="N19" i="12"/>
  <c r="J19" i="12"/>
  <c r="G19" i="12"/>
  <c r="O18" i="12"/>
  <c r="N18" i="12"/>
  <c r="J18" i="12"/>
  <c r="G18" i="12"/>
  <c r="O17" i="12"/>
  <c r="N17" i="12"/>
  <c r="J17" i="12"/>
  <c r="G17" i="12"/>
  <c r="O16" i="12"/>
  <c r="N16" i="12"/>
  <c r="J16" i="12"/>
  <c r="G16" i="12"/>
  <c r="O15" i="12"/>
  <c r="N15" i="12"/>
  <c r="J15" i="12"/>
  <c r="G15" i="12"/>
  <c r="O14" i="12"/>
  <c r="N14" i="12"/>
  <c r="J14" i="12"/>
  <c r="G14" i="12"/>
  <c r="O13" i="12"/>
  <c r="N13" i="12"/>
  <c r="J13" i="12"/>
  <c r="G13" i="12"/>
  <c r="O12" i="12"/>
  <c r="N12" i="12"/>
  <c r="J12" i="12"/>
  <c r="G12" i="12"/>
  <c r="O11" i="12"/>
  <c r="N11" i="12"/>
  <c r="J11" i="12"/>
  <c r="G11" i="12"/>
  <c r="O10" i="12"/>
  <c r="N10" i="12"/>
  <c r="J10" i="12"/>
  <c r="G10" i="12"/>
  <c r="O9" i="12"/>
  <c r="N9" i="12"/>
  <c r="J9" i="12"/>
  <c r="M9" i="12" s="1"/>
  <c r="G9" i="12"/>
  <c r="O8" i="12"/>
  <c r="N8" i="12"/>
  <c r="M8" i="12"/>
  <c r="J8" i="12"/>
  <c r="G8" i="12"/>
  <c r="O7" i="12"/>
  <c r="N7" i="12"/>
  <c r="J7" i="12"/>
  <c r="G7" i="12"/>
  <c r="O6" i="12"/>
  <c r="N6" i="12"/>
  <c r="J6" i="12"/>
  <c r="G6" i="12"/>
  <c r="O5" i="12"/>
  <c r="N5" i="12"/>
  <c r="J5" i="12"/>
  <c r="G5" i="12"/>
  <c r="O4" i="12"/>
  <c r="N4" i="12"/>
  <c r="J4" i="12"/>
  <c r="M4" i="12" s="1"/>
  <c r="G4" i="12"/>
  <c r="O3" i="12"/>
  <c r="N3" i="12"/>
  <c r="J3" i="12"/>
  <c r="M3" i="12" s="1"/>
  <c r="G3" i="12"/>
  <c r="O2" i="12"/>
  <c r="N2" i="12"/>
  <c r="J2" i="12"/>
  <c r="G2" i="12"/>
  <c r="P611" i="12"/>
  <c r="O611" i="12"/>
  <c r="N611" i="12"/>
  <c r="J611" i="12"/>
  <c r="G611" i="12"/>
  <c r="O610" i="12"/>
  <c r="N610" i="12"/>
  <c r="J610" i="12"/>
  <c r="G610" i="12"/>
  <c r="O609" i="12"/>
  <c r="N609" i="12"/>
  <c r="J609" i="12"/>
  <c r="G609" i="12"/>
  <c r="O608" i="12"/>
  <c r="N608" i="12"/>
  <c r="J608" i="12"/>
  <c r="G608" i="12"/>
  <c r="O607" i="12"/>
  <c r="N607" i="12"/>
  <c r="J607" i="12"/>
  <c r="G607" i="12"/>
  <c r="P606" i="12"/>
  <c r="O606" i="12"/>
  <c r="N606" i="12"/>
  <c r="J606" i="12"/>
  <c r="G606" i="12"/>
  <c r="O605" i="12"/>
  <c r="N605" i="12"/>
  <c r="J605" i="12"/>
  <c r="G605" i="12"/>
  <c r="O604" i="12"/>
  <c r="N604" i="12"/>
  <c r="J604" i="12"/>
  <c r="G604" i="12"/>
  <c r="O603" i="12"/>
  <c r="N603" i="12"/>
  <c r="J603" i="12"/>
  <c r="G603" i="12"/>
  <c r="O602" i="12"/>
  <c r="N602" i="12"/>
  <c r="J602" i="12"/>
  <c r="G602" i="12"/>
  <c r="P601" i="12"/>
  <c r="O601" i="12"/>
  <c r="N601" i="12"/>
  <c r="J601" i="12"/>
  <c r="M601" i="12" s="1"/>
  <c r="G601" i="12"/>
  <c r="O600" i="12"/>
  <c r="N600" i="12"/>
  <c r="J600" i="12"/>
  <c r="G600" i="12"/>
  <c r="O599" i="12"/>
  <c r="N599" i="12"/>
  <c r="J599" i="12"/>
  <c r="M599" i="12" s="1"/>
  <c r="G599" i="12"/>
  <c r="O598" i="12"/>
  <c r="N598" i="12"/>
  <c r="J598" i="12"/>
  <c r="G598" i="12"/>
  <c r="O597" i="12"/>
  <c r="N597" i="12"/>
  <c r="J597" i="12"/>
  <c r="M597" i="12" s="1"/>
  <c r="G597" i="12"/>
  <c r="P596" i="12"/>
  <c r="O596" i="12"/>
  <c r="N596" i="12"/>
  <c r="J596" i="12"/>
  <c r="G596" i="12"/>
  <c r="O595" i="12"/>
  <c r="N595" i="12"/>
  <c r="J595" i="12"/>
  <c r="G595" i="12"/>
  <c r="O594" i="12"/>
  <c r="N594" i="12"/>
  <c r="J594" i="12"/>
  <c r="G594" i="12"/>
  <c r="O593" i="12"/>
  <c r="N593" i="12"/>
  <c r="J593" i="12"/>
  <c r="G593" i="12"/>
  <c r="P592" i="12"/>
  <c r="O592" i="12"/>
  <c r="N592" i="12"/>
  <c r="J592" i="12"/>
  <c r="M592" i="12" s="1"/>
  <c r="G592" i="12"/>
  <c r="O591" i="12"/>
  <c r="N591" i="12"/>
  <c r="J591" i="12"/>
  <c r="M591" i="12" s="1"/>
  <c r="G591" i="12"/>
  <c r="O590" i="12"/>
  <c r="N590" i="12"/>
  <c r="J590" i="12"/>
  <c r="G590" i="12"/>
  <c r="O589" i="12"/>
  <c r="N589" i="12"/>
  <c r="J589" i="12"/>
  <c r="M589" i="12" s="1"/>
  <c r="G589" i="12"/>
  <c r="O588" i="12"/>
  <c r="N588" i="12"/>
  <c r="J588" i="12"/>
  <c r="G588" i="12"/>
  <c r="M588" i="12" s="1"/>
  <c r="P587" i="12"/>
  <c r="O587" i="12"/>
  <c r="N587" i="12"/>
  <c r="J587" i="12"/>
  <c r="G587" i="12"/>
  <c r="O586" i="12"/>
  <c r="N586" i="12"/>
  <c r="J586" i="12"/>
  <c r="G586" i="12"/>
  <c r="O585" i="12"/>
  <c r="N585" i="12"/>
  <c r="J585" i="12"/>
  <c r="G585" i="12"/>
  <c r="O584" i="12"/>
  <c r="N584" i="12"/>
  <c r="J584" i="12"/>
  <c r="G584" i="12"/>
  <c r="O583" i="12"/>
  <c r="N583" i="12"/>
  <c r="J583" i="12"/>
  <c r="G583" i="12"/>
  <c r="P582" i="12"/>
  <c r="O582" i="12"/>
  <c r="N582" i="12"/>
  <c r="J582" i="12"/>
  <c r="G582" i="12"/>
  <c r="O581" i="12"/>
  <c r="N581" i="12"/>
  <c r="J581" i="12"/>
  <c r="G581" i="12"/>
  <c r="O580" i="12"/>
  <c r="N580" i="12"/>
  <c r="J580" i="12"/>
  <c r="G580" i="12"/>
  <c r="O579" i="12"/>
  <c r="N579" i="12"/>
  <c r="J579" i="12"/>
  <c r="G579" i="12"/>
  <c r="O578" i="12"/>
  <c r="N578" i="12"/>
  <c r="J578" i="12"/>
  <c r="G578" i="12"/>
  <c r="P577" i="12"/>
  <c r="O577" i="12"/>
  <c r="N577" i="12"/>
  <c r="J577" i="12"/>
  <c r="G577" i="12"/>
  <c r="O576" i="12"/>
  <c r="N576" i="12"/>
  <c r="J576" i="12"/>
  <c r="G576" i="12"/>
  <c r="O575" i="12"/>
  <c r="N575" i="12"/>
  <c r="J575" i="12"/>
  <c r="G575" i="12"/>
  <c r="O574" i="12"/>
  <c r="N574" i="12"/>
  <c r="J574" i="12"/>
  <c r="G574" i="12"/>
  <c r="O573" i="12"/>
  <c r="N573" i="12"/>
  <c r="J573" i="12"/>
  <c r="G573" i="12"/>
  <c r="O572" i="12"/>
  <c r="N572" i="12"/>
  <c r="J572" i="12"/>
  <c r="G572" i="12"/>
  <c r="P571" i="12"/>
  <c r="O571" i="12"/>
  <c r="N571" i="12"/>
  <c r="J571" i="12"/>
  <c r="G571" i="12"/>
  <c r="O570" i="12"/>
  <c r="N570" i="12"/>
  <c r="J570" i="12"/>
  <c r="G570" i="12"/>
  <c r="O569" i="12"/>
  <c r="N569" i="12"/>
  <c r="J569" i="12"/>
  <c r="G569" i="12"/>
  <c r="O568" i="12"/>
  <c r="N568" i="12"/>
  <c r="J568" i="12"/>
  <c r="G568" i="12"/>
  <c r="O567" i="12"/>
  <c r="N567" i="12"/>
  <c r="J567" i="12"/>
  <c r="G567" i="12"/>
  <c r="P566" i="12"/>
  <c r="O566" i="12"/>
  <c r="N566" i="12"/>
  <c r="J566" i="12"/>
  <c r="G566" i="12"/>
  <c r="O565" i="12"/>
  <c r="N565" i="12"/>
  <c r="J565" i="12"/>
  <c r="G565" i="12"/>
  <c r="O564" i="12"/>
  <c r="N564" i="12"/>
  <c r="J564" i="12"/>
  <c r="G564" i="12"/>
  <c r="O563" i="12"/>
  <c r="N563" i="12"/>
  <c r="J563" i="12"/>
  <c r="G563" i="12"/>
  <c r="O562" i="12"/>
  <c r="N562" i="12"/>
  <c r="J562" i="12"/>
  <c r="G562" i="12"/>
  <c r="P561" i="12"/>
  <c r="O561" i="12"/>
  <c r="N561" i="12"/>
  <c r="J561" i="12"/>
  <c r="G561" i="12"/>
  <c r="O560" i="12"/>
  <c r="N560" i="12"/>
  <c r="J560" i="12"/>
  <c r="G560" i="12"/>
  <c r="O559" i="12"/>
  <c r="N559" i="12"/>
  <c r="J559" i="12"/>
  <c r="G559" i="12"/>
  <c r="O558" i="12"/>
  <c r="N558" i="12"/>
  <c r="J558" i="12"/>
  <c r="G558" i="12"/>
  <c r="O557" i="12"/>
  <c r="N557" i="12"/>
  <c r="J557" i="12"/>
  <c r="G557" i="12"/>
  <c r="P556" i="12"/>
  <c r="O556" i="12"/>
  <c r="N556" i="12"/>
  <c r="J556" i="12"/>
  <c r="G556" i="12"/>
  <c r="O555" i="12"/>
  <c r="N555" i="12"/>
  <c r="J555" i="12"/>
  <c r="G555" i="12"/>
  <c r="O554" i="12"/>
  <c r="N554" i="12"/>
  <c r="J554" i="12"/>
  <c r="G554" i="12"/>
  <c r="O553" i="12"/>
  <c r="N553" i="12"/>
  <c r="J553" i="12"/>
  <c r="G553" i="12"/>
  <c r="O552" i="12"/>
  <c r="N552" i="12"/>
  <c r="J552" i="12"/>
  <c r="G552" i="12"/>
  <c r="P551" i="12"/>
  <c r="O551" i="12"/>
  <c r="N551" i="12"/>
  <c r="J551" i="12"/>
  <c r="G551" i="12"/>
  <c r="O550" i="12"/>
  <c r="N550" i="12"/>
  <c r="J550" i="12"/>
  <c r="G550" i="12"/>
  <c r="O549" i="12"/>
  <c r="N549" i="12"/>
  <c r="J549" i="12"/>
  <c r="G549" i="12"/>
  <c r="O548" i="12"/>
  <c r="N548" i="12"/>
  <c r="J548" i="12"/>
  <c r="G548" i="12"/>
  <c r="O547" i="12"/>
  <c r="N547" i="12"/>
  <c r="J547" i="12"/>
  <c r="G547" i="12"/>
  <c r="P546" i="12"/>
  <c r="O546" i="12"/>
  <c r="N546" i="12"/>
  <c r="J546" i="12"/>
  <c r="G546" i="12"/>
  <c r="O545" i="12"/>
  <c r="N545" i="12"/>
  <c r="J545" i="12"/>
  <c r="G545" i="12"/>
  <c r="O544" i="12"/>
  <c r="N544" i="12"/>
  <c r="J544" i="12"/>
  <c r="G544" i="12"/>
  <c r="O543" i="12"/>
  <c r="N543" i="12"/>
  <c r="J543" i="12"/>
  <c r="G543" i="12"/>
  <c r="O542" i="12"/>
  <c r="N542" i="12"/>
  <c r="J542" i="12"/>
  <c r="G542" i="12"/>
  <c r="P541" i="12"/>
  <c r="O541" i="12"/>
  <c r="N541" i="12"/>
  <c r="J541" i="12"/>
  <c r="G541" i="12"/>
  <c r="O540" i="12"/>
  <c r="N540" i="12"/>
  <c r="J540" i="12"/>
  <c r="G540" i="12"/>
  <c r="O539" i="12"/>
  <c r="N539" i="12"/>
  <c r="J539" i="12"/>
  <c r="M539" i="12" s="1"/>
  <c r="G539" i="12"/>
  <c r="O538" i="12"/>
  <c r="N538" i="12"/>
  <c r="J538" i="12"/>
  <c r="M538" i="12" s="1"/>
  <c r="G538" i="12"/>
  <c r="O537" i="12"/>
  <c r="N537" i="12"/>
  <c r="J537" i="12"/>
  <c r="M537" i="12" s="1"/>
  <c r="G537" i="12"/>
  <c r="P536" i="12"/>
  <c r="O536" i="12"/>
  <c r="N536" i="12"/>
  <c r="J536" i="12"/>
  <c r="G536" i="12"/>
  <c r="O535" i="12"/>
  <c r="N535" i="12"/>
  <c r="J535" i="12"/>
  <c r="G535" i="12"/>
  <c r="O534" i="12"/>
  <c r="N534" i="12"/>
  <c r="J534" i="12"/>
  <c r="G534" i="12"/>
  <c r="O533" i="12"/>
  <c r="N533" i="12"/>
  <c r="J533" i="12"/>
  <c r="G533" i="12"/>
  <c r="O532" i="12"/>
  <c r="N532" i="12"/>
  <c r="J532" i="12"/>
  <c r="G532" i="12"/>
  <c r="P531" i="12"/>
  <c r="O531" i="12"/>
  <c r="N531" i="12"/>
  <c r="J531" i="12"/>
  <c r="G531" i="12"/>
  <c r="O530" i="12"/>
  <c r="N530" i="12"/>
  <c r="J530" i="12"/>
  <c r="G530" i="12"/>
  <c r="O529" i="12"/>
  <c r="N529" i="12"/>
  <c r="J529" i="12"/>
  <c r="G529" i="12"/>
  <c r="O528" i="12"/>
  <c r="N528" i="12"/>
  <c r="J528" i="12"/>
  <c r="G528" i="12"/>
  <c r="P527" i="12"/>
  <c r="O527" i="12"/>
  <c r="N527" i="12"/>
  <c r="J527" i="12"/>
  <c r="G527" i="12"/>
  <c r="O526" i="12"/>
  <c r="N526" i="12"/>
  <c r="J526" i="12"/>
  <c r="G526" i="12"/>
  <c r="O525" i="12"/>
  <c r="N525" i="12"/>
  <c r="J525" i="12"/>
  <c r="G525" i="12"/>
  <c r="O524" i="12"/>
  <c r="N524" i="12"/>
  <c r="J524" i="12"/>
  <c r="G524" i="12"/>
  <c r="O523" i="12"/>
  <c r="N523" i="12"/>
  <c r="J523" i="12"/>
  <c r="G523" i="12"/>
  <c r="P522" i="12"/>
  <c r="O522" i="12"/>
  <c r="N522" i="12"/>
  <c r="J522" i="12"/>
  <c r="G522" i="12"/>
  <c r="O521" i="12"/>
  <c r="N521" i="12"/>
  <c r="J521" i="12"/>
  <c r="G521" i="12"/>
  <c r="O520" i="12"/>
  <c r="N520" i="12"/>
  <c r="J520" i="12"/>
  <c r="G520" i="12"/>
  <c r="O519" i="12"/>
  <c r="N519" i="12"/>
  <c r="J519" i="12"/>
  <c r="G519" i="12"/>
  <c r="O518" i="12"/>
  <c r="N518" i="12"/>
  <c r="J518" i="12"/>
  <c r="G518" i="12"/>
  <c r="P517" i="12"/>
  <c r="O517" i="12"/>
  <c r="N517" i="12"/>
  <c r="J517" i="12"/>
  <c r="G517" i="12"/>
  <c r="O516" i="12"/>
  <c r="N516" i="12"/>
  <c r="J516" i="12"/>
  <c r="G516" i="12"/>
  <c r="O515" i="12"/>
  <c r="N515" i="12"/>
  <c r="J515" i="12"/>
  <c r="G515" i="12"/>
  <c r="O514" i="12"/>
  <c r="N514" i="12"/>
  <c r="J514" i="12"/>
  <c r="G514" i="12"/>
  <c r="O513" i="12"/>
  <c r="N513" i="12"/>
  <c r="J513" i="12"/>
  <c r="G513" i="12"/>
  <c r="P512" i="12"/>
  <c r="O512" i="12"/>
  <c r="N512" i="12"/>
  <c r="J512" i="12"/>
  <c r="G512" i="12"/>
  <c r="O511" i="12"/>
  <c r="N511" i="12"/>
  <c r="J511" i="12"/>
  <c r="G511" i="12"/>
  <c r="M511" i="12" s="1"/>
  <c r="O510" i="12"/>
  <c r="N510" i="12"/>
  <c r="J510" i="12"/>
  <c r="G510" i="12"/>
  <c r="O509" i="12"/>
  <c r="N509" i="12"/>
  <c r="J509" i="12"/>
  <c r="G509" i="12"/>
  <c r="M509" i="12" s="1"/>
  <c r="P508" i="12"/>
  <c r="O508" i="12"/>
  <c r="N508" i="12"/>
  <c r="J508" i="12"/>
  <c r="G508" i="12"/>
  <c r="O507" i="12"/>
  <c r="N507" i="12"/>
  <c r="J507" i="12"/>
  <c r="G507" i="12"/>
  <c r="O506" i="12"/>
  <c r="N506" i="12"/>
  <c r="J506" i="12"/>
  <c r="G506" i="12"/>
  <c r="O505" i="12"/>
  <c r="N505" i="12"/>
  <c r="J505" i="12"/>
  <c r="G505" i="12"/>
  <c r="P504" i="12"/>
  <c r="O504" i="12"/>
  <c r="N504" i="12"/>
  <c r="J504" i="12"/>
  <c r="G504" i="12"/>
  <c r="O503" i="12"/>
  <c r="N503" i="12"/>
  <c r="J503" i="12"/>
  <c r="G503" i="12"/>
  <c r="O502" i="12"/>
  <c r="N502" i="12"/>
  <c r="J502" i="12"/>
  <c r="G502" i="12"/>
  <c r="O501" i="12"/>
  <c r="N501" i="12"/>
  <c r="J501" i="12"/>
  <c r="M501" i="12" s="1"/>
  <c r="G501" i="12"/>
  <c r="O500" i="12"/>
  <c r="N500" i="12"/>
  <c r="J500" i="12"/>
  <c r="G500" i="12"/>
  <c r="P499" i="12"/>
  <c r="O499" i="12"/>
  <c r="N499" i="12"/>
  <c r="J499" i="12"/>
  <c r="G499" i="12"/>
  <c r="O498" i="12"/>
  <c r="N498" i="12"/>
  <c r="J498" i="12"/>
  <c r="G498" i="12"/>
  <c r="O497" i="12"/>
  <c r="N497" i="12"/>
  <c r="J497" i="12"/>
  <c r="G497" i="12"/>
  <c r="O496" i="12"/>
  <c r="N496" i="12"/>
  <c r="J496" i="12"/>
  <c r="G496" i="12"/>
  <c r="O495" i="12"/>
  <c r="N495" i="12"/>
  <c r="J495" i="12"/>
  <c r="G495" i="12"/>
  <c r="P494" i="12"/>
  <c r="O494" i="12"/>
  <c r="N494" i="12"/>
  <c r="J494" i="12"/>
  <c r="G494" i="12"/>
  <c r="O493" i="12"/>
  <c r="N493" i="12"/>
  <c r="J493" i="12"/>
  <c r="G493" i="12"/>
  <c r="O492" i="12"/>
  <c r="N492" i="12"/>
  <c r="J492" i="12"/>
  <c r="G492" i="12"/>
  <c r="O491" i="12"/>
  <c r="N491" i="12"/>
  <c r="J491" i="12"/>
  <c r="G491" i="12"/>
  <c r="O490" i="12"/>
  <c r="N490" i="12"/>
  <c r="J490" i="12"/>
  <c r="G490" i="12"/>
  <c r="P489" i="12"/>
  <c r="O489" i="12"/>
  <c r="N489" i="12"/>
  <c r="J489" i="12"/>
  <c r="G489" i="12"/>
  <c r="O488" i="12"/>
  <c r="N488" i="12"/>
  <c r="J488" i="12"/>
  <c r="G488" i="12"/>
  <c r="O487" i="12"/>
  <c r="N487" i="12"/>
  <c r="J487" i="12"/>
  <c r="G487" i="12"/>
  <c r="O486" i="12"/>
  <c r="N486" i="12"/>
  <c r="J486" i="12"/>
  <c r="G486" i="12"/>
  <c r="P485" i="12"/>
  <c r="O485" i="12"/>
  <c r="N485" i="12"/>
  <c r="J485" i="12"/>
  <c r="G485" i="12"/>
  <c r="O484" i="12"/>
  <c r="N484" i="12"/>
  <c r="J484" i="12"/>
  <c r="G484" i="12"/>
  <c r="O483" i="12"/>
  <c r="N483" i="12"/>
  <c r="J483" i="12"/>
  <c r="G483" i="12"/>
  <c r="O482" i="12"/>
  <c r="N482" i="12"/>
  <c r="J482" i="12"/>
  <c r="G482" i="12"/>
  <c r="O481" i="12"/>
  <c r="N481" i="12"/>
  <c r="J481" i="12"/>
  <c r="G481" i="12"/>
  <c r="P480" i="12"/>
  <c r="O480" i="12"/>
  <c r="N480" i="12"/>
  <c r="J480" i="12"/>
  <c r="G480" i="12"/>
  <c r="O479" i="12"/>
  <c r="N479" i="12"/>
  <c r="J479" i="12"/>
  <c r="G479" i="12"/>
  <c r="O478" i="12"/>
  <c r="N478" i="12"/>
  <c r="J478" i="12"/>
  <c r="G478" i="12"/>
  <c r="O477" i="12"/>
  <c r="N477" i="12"/>
  <c r="J477" i="12"/>
  <c r="G477" i="12"/>
  <c r="O476" i="12"/>
  <c r="N476" i="12"/>
  <c r="J476" i="12"/>
  <c r="G476" i="12"/>
  <c r="P475" i="12"/>
  <c r="O475" i="12"/>
  <c r="N475" i="12"/>
  <c r="J475" i="12"/>
  <c r="G475" i="12"/>
  <c r="O474" i="12"/>
  <c r="N474" i="12"/>
  <c r="J474" i="12"/>
  <c r="G474" i="12"/>
  <c r="O473" i="12"/>
  <c r="N473" i="12"/>
  <c r="J473" i="12"/>
  <c r="G473" i="12"/>
  <c r="O472" i="12"/>
  <c r="N472" i="12"/>
  <c r="J472" i="12"/>
  <c r="G472" i="12"/>
  <c r="O471" i="12"/>
  <c r="N471" i="12"/>
  <c r="J471" i="12"/>
  <c r="G471" i="12"/>
  <c r="P470" i="12"/>
  <c r="O470" i="12"/>
  <c r="N470" i="12"/>
  <c r="J470" i="12"/>
  <c r="G470" i="12"/>
  <c r="O469" i="12"/>
  <c r="N469" i="12"/>
  <c r="J469" i="12"/>
  <c r="G469" i="12"/>
  <c r="O468" i="12"/>
  <c r="N468" i="12"/>
  <c r="J468" i="12"/>
  <c r="G468" i="12"/>
  <c r="O467" i="12"/>
  <c r="N467" i="12"/>
  <c r="J467" i="12"/>
  <c r="G467" i="12"/>
  <c r="O466" i="12"/>
  <c r="N466" i="12"/>
  <c r="J466" i="12"/>
  <c r="G466" i="12"/>
  <c r="P465" i="12"/>
  <c r="O465" i="12"/>
  <c r="N465" i="12"/>
  <c r="J465" i="12"/>
  <c r="M465" i="12" s="1"/>
  <c r="G465" i="12"/>
  <c r="O464" i="12"/>
  <c r="N464" i="12"/>
  <c r="J464" i="12"/>
  <c r="G464" i="12"/>
  <c r="O463" i="12"/>
  <c r="N463" i="12"/>
  <c r="J463" i="12"/>
  <c r="M463" i="12" s="1"/>
  <c r="G463" i="12"/>
  <c r="O462" i="12"/>
  <c r="N462" i="12"/>
  <c r="J462" i="12"/>
  <c r="G462" i="12"/>
  <c r="O461" i="12"/>
  <c r="N461" i="12"/>
  <c r="J461" i="12"/>
  <c r="M461" i="12" s="1"/>
  <c r="G461" i="12"/>
  <c r="P460" i="12"/>
  <c r="O460" i="12"/>
  <c r="N460" i="12"/>
  <c r="J460" i="12"/>
  <c r="G460" i="12"/>
  <c r="O459" i="12"/>
  <c r="N459" i="12"/>
  <c r="J459" i="12"/>
  <c r="G459" i="12"/>
  <c r="O458" i="12"/>
  <c r="N458" i="12"/>
  <c r="J458" i="12"/>
  <c r="G458" i="12"/>
  <c r="O457" i="12"/>
  <c r="N457" i="12"/>
  <c r="J457" i="12"/>
  <c r="G457" i="12"/>
  <c r="O456" i="12"/>
  <c r="N456" i="12"/>
  <c r="J456" i="12"/>
  <c r="G456" i="12"/>
  <c r="P455" i="12"/>
  <c r="O455" i="12"/>
  <c r="N455" i="12"/>
  <c r="J455" i="12"/>
  <c r="G455" i="12"/>
  <c r="O454" i="12"/>
  <c r="N454" i="12"/>
  <c r="J454" i="12"/>
  <c r="G454" i="12"/>
  <c r="O453" i="12"/>
  <c r="N453" i="12"/>
  <c r="J453" i="12"/>
  <c r="G453" i="12"/>
  <c r="O452" i="12"/>
  <c r="N452" i="12"/>
  <c r="J452" i="12"/>
  <c r="G452" i="12"/>
  <c r="M452" i="12" s="1"/>
  <c r="O451" i="12"/>
  <c r="N451" i="12"/>
  <c r="J451" i="12"/>
  <c r="G451" i="12"/>
  <c r="P450" i="12"/>
  <c r="O450" i="12"/>
  <c r="N450" i="12"/>
  <c r="J450" i="12"/>
  <c r="G450" i="12"/>
  <c r="O449" i="12"/>
  <c r="N449" i="12"/>
  <c r="J449" i="12"/>
  <c r="G449" i="12"/>
  <c r="O448" i="12"/>
  <c r="N448" i="12"/>
  <c r="J448" i="12"/>
  <c r="G448" i="12"/>
  <c r="O447" i="12"/>
  <c r="N447" i="12"/>
  <c r="J447" i="12"/>
  <c r="G447" i="12"/>
  <c r="O446" i="12"/>
  <c r="N446" i="12"/>
  <c r="J446" i="12"/>
  <c r="G446" i="12"/>
  <c r="P445" i="12"/>
  <c r="O445" i="12"/>
  <c r="N445" i="12"/>
  <c r="J445" i="12"/>
  <c r="G445" i="12"/>
  <c r="O444" i="12"/>
  <c r="N444" i="12"/>
  <c r="J444" i="12"/>
  <c r="G444" i="12"/>
  <c r="O443" i="12"/>
  <c r="N443" i="12"/>
  <c r="J443" i="12"/>
  <c r="G443" i="12"/>
  <c r="O442" i="12"/>
  <c r="N442" i="12"/>
  <c r="J442" i="12"/>
  <c r="G442" i="12"/>
  <c r="O441" i="12"/>
  <c r="N441" i="12"/>
  <c r="J441" i="12"/>
  <c r="G441" i="12"/>
  <c r="P440" i="12"/>
  <c r="O440" i="12"/>
  <c r="N440" i="12"/>
  <c r="J440" i="12"/>
  <c r="G440" i="12"/>
  <c r="O439" i="12"/>
  <c r="N439" i="12"/>
  <c r="J439" i="12"/>
  <c r="G439" i="12"/>
  <c r="O438" i="12"/>
  <c r="N438" i="12"/>
  <c r="J438" i="12"/>
  <c r="G438" i="12"/>
  <c r="O437" i="12"/>
  <c r="N437" i="12"/>
  <c r="J437" i="12"/>
  <c r="M437" i="12" s="1"/>
  <c r="G437" i="12"/>
  <c r="O436" i="12"/>
  <c r="N436" i="12"/>
  <c r="J436" i="12"/>
  <c r="G436" i="12"/>
  <c r="P435" i="12"/>
  <c r="O435" i="12"/>
  <c r="N435" i="12"/>
  <c r="J435" i="12"/>
  <c r="G435" i="12"/>
  <c r="O434" i="12"/>
  <c r="N434" i="12"/>
  <c r="M434" i="12"/>
  <c r="O433" i="12"/>
  <c r="N433" i="12"/>
  <c r="J433" i="12"/>
  <c r="G433" i="12"/>
  <c r="O432" i="12"/>
  <c r="N432" i="12"/>
  <c r="J432" i="12"/>
  <c r="G432" i="12"/>
  <c r="O431" i="12"/>
  <c r="N431" i="12"/>
  <c r="J431" i="12"/>
  <c r="G431" i="12"/>
  <c r="O430" i="12"/>
  <c r="N430" i="12"/>
  <c r="J430" i="12"/>
  <c r="G430" i="12"/>
  <c r="O429" i="12"/>
  <c r="N429" i="12"/>
  <c r="J429" i="12"/>
  <c r="G429" i="12"/>
  <c r="O428" i="12"/>
  <c r="N428" i="12"/>
  <c r="J428" i="12"/>
  <c r="G428" i="12"/>
  <c r="O427" i="12"/>
  <c r="N427" i="12"/>
  <c r="J427" i="12"/>
  <c r="G427" i="12"/>
  <c r="P426" i="12"/>
  <c r="O426" i="12"/>
  <c r="N426" i="12"/>
  <c r="J426" i="12"/>
  <c r="G426" i="12"/>
  <c r="O425" i="12"/>
  <c r="N425" i="12"/>
  <c r="J425" i="12"/>
  <c r="G425" i="12"/>
  <c r="O424" i="12"/>
  <c r="N424" i="12"/>
  <c r="J424" i="12"/>
  <c r="G424" i="12"/>
  <c r="O423" i="12"/>
  <c r="N423" i="12"/>
  <c r="J423" i="12"/>
  <c r="G423" i="12"/>
  <c r="O422" i="12"/>
  <c r="N422" i="12"/>
  <c r="J422" i="12"/>
  <c r="G422" i="12"/>
  <c r="P421" i="12"/>
  <c r="O421" i="12"/>
  <c r="N421" i="12"/>
  <c r="J421" i="12"/>
  <c r="G421" i="12"/>
  <c r="O420" i="12"/>
  <c r="N420" i="12"/>
  <c r="J420" i="12"/>
  <c r="G420" i="12"/>
  <c r="O419" i="12"/>
  <c r="N419" i="12"/>
  <c r="J419" i="12"/>
  <c r="G419" i="12"/>
  <c r="O418" i="12"/>
  <c r="N418" i="12"/>
  <c r="J418" i="12"/>
  <c r="G418" i="12"/>
  <c r="O417" i="12"/>
  <c r="N417" i="12"/>
  <c r="J417" i="12"/>
  <c r="G417" i="12"/>
  <c r="P416" i="12"/>
  <c r="O416" i="12"/>
  <c r="N416" i="12"/>
  <c r="J416" i="12"/>
  <c r="G416" i="12"/>
  <c r="O415" i="12"/>
  <c r="N415" i="12"/>
  <c r="J415" i="12"/>
  <c r="M415" i="12" s="1"/>
  <c r="G415" i="12"/>
  <c r="P414" i="12"/>
  <c r="O414" i="12"/>
  <c r="N414" i="12"/>
  <c r="J414" i="12"/>
  <c r="G414" i="12"/>
  <c r="O413" i="12"/>
  <c r="N413" i="12"/>
  <c r="J413" i="12"/>
  <c r="G413" i="12"/>
  <c r="O412" i="12"/>
  <c r="N412" i="12"/>
  <c r="J412" i="12"/>
  <c r="G412" i="12"/>
  <c r="O411" i="12"/>
  <c r="N411" i="12"/>
  <c r="J411" i="12"/>
  <c r="G411" i="12"/>
  <c r="O410" i="12"/>
  <c r="N410" i="12"/>
  <c r="J410" i="12"/>
  <c r="G410" i="12"/>
  <c r="P409" i="12"/>
  <c r="O409" i="12"/>
  <c r="N409" i="12"/>
  <c r="J409" i="12"/>
  <c r="G409" i="12"/>
  <c r="O408" i="12"/>
  <c r="N408" i="12"/>
  <c r="J408" i="12"/>
  <c r="G408" i="12"/>
  <c r="O407" i="12"/>
  <c r="N407" i="12"/>
  <c r="J407" i="12"/>
  <c r="G407" i="12"/>
  <c r="M407" i="12" s="1"/>
  <c r="O406" i="12"/>
  <c r="N406" i="12"/>
  <c r="J406" i="12"/>
  <c r="G406" i="12"/>
  <c r="O405" i="12"/>
  <c r="N405" i="12"/>
  <c r="J405" i="12"/>
  <c r="G405" i="12"/>
  <c r="P404" i="12"/>
  <c r="O404" i="12"/>
  <c r="N404" i="12"/>
  <c r="J404" i="12"/>
  <c r="G404" i="12"/>
  <c r="O403" i="12"/>
  <c r="N403" i="12"/>
  <c r="J403" i="12"/>
  <c r="G403" i="12"/>
  <c r="O402" i="12"/>
  <c r="N402" i="12"/>
  <c r="J402" i="12"/>
  <c r="G402" i="12"/>
  <c r="O401" i="12"/>
  <c r="N401" i="12"/>
  <c r="J401" i="12"/>
  <c r="M401" i="12" s="1"/>
  <c r="G401" i="12"/>
  <c r="O400" i="12"/>
  <c r="N400" i="12"/>
  <c r="J400" i="12"/>
  <c r="G400" i="12"/>
  <c r="O399" i="12"/>
  <c r="N399" i="12"/>
  <c r="J399" i="12"/>
  <c r="M399" i="12" s="1"/>
  <c r="G399" i="12"/>
  <c r="O398" i="12"/>
  <c r="N398" i="12"/>
  <c r="M398" i="12"/>
  <c r="J398" i="12"/>
  <c r="G398" i="12"/>
  <c r="O397" i="12"/>
  <c r="N397" i="12"/>
  <c r="J397" i="12"/>
  <c r="G397" i="12"/>
  <c r="O396" i="12"/>
  <c r="N396" i="12"/>
  <c r="J396" i="12"/>
  <c r="G396" i="12"/>
  <c r="P395" i="12"/>
  <c r="O395" i="12"/>
  <c r="N395" i="12"/>
  <c r="J395" i="12"/>
  <c r="G395" i="12"/>
  <c r="O394" i="12"/>
  <c r="N394" i="12"/>
  <c r="J394" i="12"/>
  <c r="G394" i="12"/>
  <c r="O393" i="12"/>
  <c r="N393" i="12"/>
  <c r="J393" i="12"/>
  <c r="G393" i="12"/>
  <c r="O392" i="12"/>
  <c r="N392" i="12"/>
  <c r="J392" i="12"/>
  <c r="G392" i="12"/>
  <c r="O391" i="12"/>
  <c r="N391" i="12"/>
  <c r="J391" i="12"/>
  <c r="G391" i="12"/>
  <c r="P390" i="12"/>
  <c r="O390" i="12"/>
  <c r="N390" i="12"/>
  <c r="J390" i="12"/>
  <c r="G390" i="12"/>
  <c r="M390" i="12" s="1"/>
  <c r="O389" i="12"/>
  <c r="N389" i="12"/>
  <c r="J389" i="12"/>
  <c r="G389" i="12"/>
  <c r="O388" i="12"/>
  <c r="N388" i="12"/>
  <c r="J388" i="12"/>
  <c r="G388" i="12"/>
  <c r="O387" i="12"/>
  <c r="N387" i="12"/>
  <c r="J387" i="12"/>
  <c r="G387" i="12"/>
  <c r="O386" i="12"/>
  <c r="N386" i="12"/>
  <c r="J386" i="12"/>
  <c r="G386" i="12"/>
  <c r="M386" i="12" s="1"/>
  <c r="O385" i="12"/>
  <c r="N385" i="12"/>
  <c r="J385" i="12"/>
  <c r="G385" i="12"/>
  <c r="O384" i="12"/>
  <c r="N384" i="12"/>
  <c r="J384" i="12"/>
  <c r="G384" i="12"/>
  <c r="O383" i="12"/>
  <c r="N383" i="12"/>
  <c r="J383" i="12"/>
  <c r="G383" i="12"/>
  <c r="O382" i="12"/>
  <c r="N382" i="12"/>
  <c r="J382" i="12"/>
  <c r="G382" i="12"/>
  <c r="M382" i="12" s="1"/>
  <c r="O381" i="12"/>
  <c r="N381" i="12"/>
  <c r="J381" i="12"/>
  <c r="G381" i="12"/>
  <c r="P380" i="12"/>
  <c r="O380" i="12"/>
  <c r="N380" i="12"/>
  <c r="J380" i="12"/>
  <c r="M380" i="12" s="1"/>
  <c r="G380" i="12"/>
  <c r="O379" i="12"/>
  <c r="N379" i="12"/>
  <c r="J379" i="12"/>
  <c r="G379" i="12"/>
  <c r="O378" i="12"/>
  <c r="N378" i="12"/>
  <c r="J378" i="12"/>
  <c r="M378" i="12" s="1"/>
  <c r="G378" i="12"/>
  <c r="O377" i="12"/>
  <c r="N377" i="12"/>
  <c r="M377" i="12"/>
  <c r="J377" i="12"/>
  <c r="G377" i="12"/>
  <c r="O376" i="12"/>
  <c r="N376" i="12"/>
  <c r="J376" i="12"/>
  <c r="G376" i="12"/>
  <c r="O375" i="12"/>
  <c r="N375" i="12"/>
  <c r="J375" i="12"/>
  <c r="G375" i="12"/>
  <c r="O374" i="12"/>
  <c r="N374" i="12"/>
  <c r="J374" i="12"/>
  <c r="G374" i="12"/>
  <c r="O373" i="12"/>
  <c r="N373" i="12"/>
  <c r="J373" i="12"/>
  <c r="M373" i="12" s="1"/>
  <c r="G373" i="12"/>
  <c r="O372" i="12"/>
  <c r="N372" i="12"/>
  <c r="J372" i="12"/>
  <c r="G372" i="12"/>
  <c r="O371" i="12"/>
  <c r="N371" i="12"/>
  <c r="J371" i="12"/>
  <c r="G371" i="12"/>
  <c r="P370" i="12"/>
  <c r="O370" i="12"/>
  <c r="N370" i="12"/>
  <c r="J370" i="12"/>
  <c r="G370" i="12"/>
  <c r="O369" i="12"/>
  <c r="N369" i="12"/>
  <c r="J369" i="12"/>
  <c r="G369" i="12"/>
  <c r="O368" i="12"/>
  <c r="N368" i="12"/>
  <c r="J368" i="12"/>
  <c r="G368" i="12"/>
  <c r="O367" i="12"/>
  <c r="N367" i="12"/>
  <c r="J367" i="12"/>
  <c r="G367" i="12"/>
  <c r="O366" i="12"/>
  <c r="N366" i="12"/>
  <c r="J366" i="12"/>
  <c r="G366" i="12"/>
  <c r="O365" i="12"/>
  <c r="N365" i="12"/>
  <c r="J365" i="12"/>
  <c r="G365" i="12"/>
  <c r="M364" i="11"/>
  <c r="M365" i="11" s="1"/>
  <c r="L364" i="11"/>
  <c r="L365" i="11" s="1"/>
  <c r="J364" i="11"/>
  <c r="I364" i="11"/>
  <c r="J365" i="11" s="1"/>
  <c r="Q363" i="11"/>
  <c r="P363" i="11"/>
  <c r="O363" i="11"/>
  <c r="N363" i="11"/>
  <c r="K363" i="11"/>
  <c r="H363" i="11"/>
  <c r="P362" i="11"/>
  <c r="O362" i="11"/>
  <c r="K362" i="11"/>
  <c r="N362" i="11" s="1"/>
  <c r="H362" i="11"/>
  <c r="P361" i="11"/>
  <c r="O361" i="11"/>
  <c r="K361" i="11"/>
  <c r="N361" i="11" s="1"/>
  <c r="H361" i="11"/>
  <c r="P360" i="11"/>
  <c r="O360" i="11"/>
  <c r="N360" i="11"/>
  <c r="K360" i="11"/>
  <c r="H360" i="11"/>
  <c r="P359" i="11"/>
  <c r="O359" i="11"/>
  <c r="N359" i="11"/>
  <c r="K359" i="11"/>
  <c r="H359" i="11"/>
  <c r="Q358" i="11"/>
  <c r="P358" i="11"/>
  <c r="O358" i="11"/>
  <c r="K358" i="11"/>
  <c r="N358" i="11" s="1"/>
  <c r="H358" i="11"/>
  <c r="P357" i="11"/>
  <c r="O357" i="11"/>
  <c r="N357" i="11"/>
  <c r="K357" i="11"/>
  <c r="H357" i="11"/>
  <c r="P356" i="11"/>
  <c r="O356" i="11"/>
  <c r="N356" i="11"/>
  <c r="K356" i="11"/>
  <c r="H356" i="11"/>
  <c r="P355" i="11"/>
  <c r="O355" i="11"/>
  <c r="K355" i="11"/>
  <c r="N355" i="11" s="1"/>
  <c r="H355" i="11"/>
  <c r="P354" i="11"/>
  <c r="O354" i="11"/>
  <c r="K354" i="11"/>
  <c r="N354" i="11" s="1"/>
  <c r="H354" i="11"/>
  <c r="Q353" i="11"/>
  <c r="P353" i="11"/>
  <c r="O353" i="11"/>
  <c r="N353" i="11"/>
  <c r="K353" i="11"/>
  <c r="H353" i="11"/>
  <c r="P352" i="11"/>
  <c r="O352" i="11"/>
  <c r="K352" i="11"/>
  <c r="H352" i="11"/>
  <c r="N352" i="11" s="1"/>
  <c r="P351" i="11"/>
  <c r="O351" i="11"/>
  <c r="K351" i="11"/>
  <c r="N351" i="11" s="1"/>
  <c r="H351" i="11"/>
  <c r="P350" i="11"/>
  <c r="O350" i="11"/>
  <c r="N350" i="11"/>
  <c r="K350" i="11"/>
  <c r="H350" i="11"/>
  <c r="P349" i="11"/>
  <c r="O349" i="11"/>
  <c r="N349" i="11"/>
  <c r="K349" i="11"/>
  <c r="H349" i="11"/>
  <c r="Q348" i="11"/>
  <c r="P348" i="11"/>
  <c r="O348" i="11"/>
  <c r="K348" i="11"/>
  <c r="N348" i="11" s="1"/>
  <c r="H348" i="11"/>
  <c r="P347" i="11"/>
  <c r="O347" i="11"/>
  <c r="N347" i="11"/>
  <c r="K347" i="11"/>
  <c r="H347" i="11"/>
  <c r="P346" i="11"/>
  <c r="O346" i="11"/>
  <c r="N346" i="11"/>
  <c r="K346" i="11"/>
  <c r="H346" i="11"/>
  <c r="P345" i="11"/>
  <c r="O345" i="11"/>
  <c r="K345" i="11"/>
  <c r="H345" i="11"/>
  <c r="N345" i="11" s="1"/>
  <c r="Q344" i="11"/>
  <c r="P344" i="11"/>
  <c r="O344" i="11"/>
  <c r="N344" i="11"/>
  <c r="K344" i="11"/>
  <c r="H344" i="11"/>
  <c r="P343" i="11"/>
  <c r="O343" i="11"/>
  <c r="N343" i="11"/>
  <c r="K343" i="11"/>
  <c r="H343" i="11"/>
  <c r="P342" i="11"/>
  <c r="O342" i="11"/>
  <c r="K342" i="11"/>
  <c r="H342" i="11"/>
  <c r="N342" i="11" s="1"/>
  <c r="P341" i="11"/>
  <c r="O341" i="11"/>
  <c r="K341" i="11"/>
  <c r="N341" i="11" s="1"/>
  <c r="H341" i="11"/>
  <c r="P340" i="11"/>
  <c r="O340" i="11"/>
  <c r="N340" i="11"/>
  <c r="K340" i="11"/>
  <c r="H340" i="11"/>
  <c r="Q339" i="11"/>
  <c r="P339" i="11"/>
  <c r="O339" i="11"/>
  <c r="K339" i="11"/>
  <c r="H339" i="11"/>
  <c r="N339" i="11" s="1"/>
  <c r="P338" i="11"/>
  <c r="O338" i="11"/>
  <c r="K338" i="11"/>
  <c r="N338" i="11" s="1"/>
  <c r="H338" i="11"/>
  <c r="P337" i="11"/>
  <c r="O337" i="11"/>
  <c r="N337" i="11"/>
  <c r="K337" i="11"/>
  <c r="H337" i="11"/>
  <c r="P336" i="11"/>
  <c r="O336" i="11"/>
  <c r="N336" i="11"/>
  <c r="K336" i="11"/>
  <c r="H336" i="11"/>
  <c r="P335" i="11"/>
  <c r="O335" i="11"/>
  <c r="K335" i="11"/>
  <c r="H335" i="11"/>
  <c r="N335" i="11" s="1"/>
  <c r="Q334" i="11"/>
  <c r="P334" i="11"/>
  <c r="O334" i="11"/>
  <c r="N334" i="11"/>
  <c r="K334" i="11"/>
  <c r="H334" i="11"/>
  <c r="P333" i="11"/>
  <c r="O333" i="11"/>
  <c r="N333" i="11"/>
  <c r="K333" i="11"/>
  <c r="H333" i="11"/>
  <c r="P332" i="11"/>
  <c r="O332" i="11"/>
  <c r="K332" i="11"/>
  <c r="H332" i="11"/>
  <c r="N332" i="11" s="1"/>
  <c r="P331" i="11"/>
  <c r="O331" i="11"/>
  <c r="K331" i="11"/>
  <c r="N331" i="11" s="1"/>
  <c r="H331" i="11"/>
  <c r="P330" i="11"/>
  <c r="O330" i="11"/>
  <c r="N330" i="11"/>
  <c r="K330" i="11"/>
  <c r="H330" i="11"/>
  <c r="Q329" i="11"/>
  <c r="P329" i="11"/>
  <c r="O329" i="11"/>
  <c r="K329" i="11"/>
  <c r="N329" i="11" s="1"/>
  <c r="H329" i="11"/>
  <c r="P328" i="11"/>
  <c r="O328" i="11"/>
  <c r="K328" i="11"/>
  <c r="N328" i="11" s="1"/>
  <c r="H328" i="11"/>
  <c r="P327" i="11"/>
  <c r="O327" i="11"/>
  <c r="N327" i="11"/>
  <c r="K327" i="11"/>
  <c r="H327" i="11"/>
  <c r="P326" i="11"/>
  <c r="O326" i="11"/>
  <c r="N326" i="11"/>
  <c r="K326" i="11"/>
  <c r="H326" i="11"/>
  <c r="P325" i="11"/>
  <c r="O325" i="11"/>
  <c r="K325" i="11"/>
  <c r="N325" i="11" s="1"/>
  <c r="H325" i="11"/>
  <c r="P324" i="11"/>
  <c r="O324" i="11"/>
  <c r="K324" i="11"/>
  <c r="N324" i="11" s="1"/>
  <c r="H324" i="11"/>
  <c r="Q323" i="11"/>
  <c r="P323" i="11"/>
  <c r="O323" i="11"/>
  <c r="N323" i="11"/>
  <c r="K323" i="11"/>
  <c r="H323" i="11"/>
  <c r="P322" i="11"/>
  <c r="O322" i="11"/>
  <c r="K322" i="11"/>
  <c r="N322" i="11" s="1"/>
  <c r="H322" i="11"/>
  <c r="P321" i="11"/>
  <c r="O321" i="11"/>
  <c r="K321" i="11"/>
  <c r="N321" i="11" s="1"/>
  <c r="H321" i="11"/>
  <c r="P320" i="11"/>
  <c r="O320" i="11"/>
  <c r="N320" i="11"/>
  <c r="K320" i="11"/>
  <c r="H320" i="11"/>
  <c r="P319" i="11"/>
  <c r="O319" i="11"/>
  <c r="N319" i="11"/>
  <c r="K319" i="11"/>
  <c r="H319" i="11"/>
  <c r="Q318" i="11"/>
  <c r="P318" i="11"/>
  <c r="O318" i="11"/>
  <c r="K318" i="11"/>
  <c r="N318" i="11" s="1"/>
  <c r="H318" i="11"/>
  <c r="P317" i="11"/>
  <c r="O317" i="11"/>
  <c r="N317" i="11"/>
  <c r="K317" i="11"/>
  <c r="H317" i="11"/>
  <c r="P316" i="11"/>
  <c r="O316" i="11"/>
  <c r="N316" i="11"/>
  <c r="K316" i="11"/>
  <c r="H316" i="11"/>
  <c r="P315" i="11"/>
  <c r="O315" i="11"/>
  <c r="K315" i="11"/>
  <c r="N315" i="11" s="1"/>
  <c r="H315" i="11"/>
  <c r="P314" i="11"/>
  <c r="O314" i="11"/>
  <c r="K314" i="11"/>
  <c r="N314" i="11" s="1"/>
  <c r="H314" i="11"/>
  <c r="Q313" i="11"/>
  <c r="P313" i="11"/>
  <c r="O313" i="11"/>
  <c r="N313" i="11"/>
  <c r="K313" i="11"/>
  <c r="H313" i="11"/>
  <c r="P312" i="11"/>
  <c r="O312" i="11"/>
  <c r="K312" i="11"/>
  <c r="N312" i="11" s="1"/>
  <c r="H312" i="11"/>
  <c r="P311" i="11"/>
  <c r="O311" i="11"/>
  <c r="K311" i="11"/>
  <c r="N311" i="11" s="1"/>
  <c r="H311" i="11"/>
  <c r="P310" i="11"/>
  <c r="O310" i="11"/>
  <c r="N310" i="11"/>
  <c r="K310" i="11"/>
  <c r="H310" i="11"/>
  <c r="P309" i="11"/>
  <c r="O309" i="11"/>
  <c r="N309" i="11"/>
  <c r="K309" i="11"/>
  <c r="H309" i="11"/>
  <c r="Q308" i="11"/>
  <c r="P308" i="11"/>
  <c r="O308" i="11"/>
  <c r="K308" i="11"/>
  <c r="N308" i="11" s="1"/>
  <c r="H308" i="11"/>
  <c r="P307" i="11"/>
  <c r="O307" i="11"/>
  <c r="N307" i="11"/>
  <c r="K307" i="11"/>
  <c r="H307" i="11"/>
  <c r="P306" i="11"/>
  <c r="O306" i="11"/>
  <c r="N306" i="11"/>
  <c r="K306" i="11"/>
  <c r="H306" i="11"/>
  <c r="P305" i="11"/>
  <c r="O305" i="11"/>
  <c r="K305" i="11"/>
  <c r="N305" i="11" s="1"/>
  <c r="H305" i="11"/>
  <c r="P304" i="11"/>
  <c r="O304" i="11"/>
  <c r="K304" i="11"/>
  <c r="N304" i="11" s="1"/>
  <c r="H304" i="11"/>
  <c r="Q303" i="11"/>
  <c r="P303" i="11"/>
  <c r="O303" i="11"/>
  <c r="N303" i="11"/>
  <c r="K303" i="11"/>
  <c r="H303" i="11"/>
  <c r="P302" i="11"/>
  <c r="O302" i="11"/>
  <c r="K302" i="11"/>
  <c r="H302" i="11"/>
  <c r="N302" i="11" s="1"/>
  <c r="P301" i="11"/>
  <c r="O301" i="11"/>
  <c r="K301" i="11"/>
  <c r="N301" i="11" s="1"/>
  <c r="H301" i="11"/>
  <c r="P300" i="11"/>
  <c r="O300" i="11"/>
  <c r="N300" i="11"/>
  <c r="K300" i="11"/>
  <c r="H300" i="11"/>
  <c r="P299" i="11"/>
  <c r="O299" i="11"/>
  <c r="N299" i="11"/>
  <c r="K299" i="11"/>
  <c r="H299" i="11"/>
  <c r="Q298" i="11"/>
  <c r="P298" i="11"/>
  <c r="O298" i="11"/>
  <c r="K298" i="11"/>
  <c r="N298" i="11" s="1"/>
  <c r="H298" i="11"/>
  <c r="P297" i="11"/>
  <c r="O297" i="11"/>
  <c r="N297" i="11"/>
  <c r="K297" i="11"/>
  <c r="H297" i="11"/>
  <c r="P296" i="11"/>
  <c r="O296" i="11"/>
  <c r="N296" i="11"/>
  <c r="K296" i="11"/>
  <c r="H296" i="11"/>
  <c r="P295" i="11"/>
  <c r="O295" i="11"/>
  <c r="K295" i="11"/>
  <c r="H295" i="11"/>
  <c r="N295" i="11" s="1"/>
  <c r="P294" i="11"/>
  <c r="O294" i="11"/>
  <c r="K294" i="11"/>
  <c r="N294" i="11" s="1"/>
  <c r="H294" i="11"/>
  <c r="Q293" i="11"/>
  <c r="P293" i="11"/>
  <c r="O293" i="11"/>
  <c r="N293" i="11"/>
  <c r="K293" i="11"/>
  <c r="H293" i="11"/>
  <c r="P292" i="11"/>
  <c r="O292" i="11"/>
  <c r="K292" i="11"/>
  <c r="H292" i="11"/>
  <c r="N292" i="11" s="1"/>
  <c r="P291" i="11"/>
  <c r="O291" i="11"/>
  <c r="K291" i="11"/>
  <c r="N291" i="11" s="1"/>
  <c r="H291" i="11"/>
  <c r="P290" i="11"/>
  <c r="O290" i="11"/>
  <c r="N290" i="11"/>
  <c r="K290" i="11"/>
  <c r="H290" i="11"/>
  <c r="P289" i="11"/>
  <c r="O289" i="11"/>
  <c r="N289" i="11"/>
  <c r="K289" i="11"/>
  <c r="H289" i="11"/>
  <c r="Q288" i="11"/>
  <c r="P288" i="11"/>
  <c r="O288" i="11"/>
  <c r="K288" i="11"/>
  <c r="N288" i="11" s="1"/>
  <c r="H288" i="11"/>
  <c r="P287" i="11"/>
  <c r="O287" i="11"/>
  <c r="N287" i="11"/>
  <c r="K287" i="11"/>
  <c r="H287" i="11"/>
  <c r="P286" i="11"/>
  <c r="O286" i="11"/>
  <c r="N286" i="11"/>
  <c r="K286" i="11"/>
  <c r="H286" i="11"/>
  <c r="P285" i="11"/>
  <c r="O285" i="11"/>
  <c r="K285" i="11"/>
  <c r="H285" i="11"/>
  <c r="N285" i="11" s="1"/>
  <c r="P284" i="11"/>
  <c r="O284" i="11"/>
  <c r="K284" i="11"/>
  <c r="N284" i="11" s="1"/>
  <c r="H284" i="11"/>
  <c r="Q283" i="11"/>
  <c r="P283" i="11"/>
  <c r="O283" i="11"/>
  <c r="N283" i="11"/>
  <c r="K283" i="11"/>
  <c r="H283" i="11"/>
  <c r="P282" i="11"/>
  <c r="O282" i="11"/>
  <c r="K282" i="11"/>
  <c r="H282" i="11"/>
  <c r="N282" i="11" s="1"/>
  <c r="P281" i="11"/>
  <c r="O281" i="11"/>
  <c r="K281" i="11"/>
  <c r="N281" i="11" s="1"/>
  <c r="H281" i="11"/>
  <c r="P280" i="11"/>
  <c r="O280" i="11"/>
  <c r="N280" i="11"/>
  <c r="K280" i="11"/>
  <c r="H280" i="11"/>
  <c r="Q279" i="11"/>
  <c r="P279" i="11"/>
  <c r="O279" i="11"/>
  <c r="K279" i="11"/>
  <c r="H279" i="11"/>
  <c r="N279" i="11" s="1"/>
  <c r="P278" i="11"/>
  <c r="O278" i="11"/>
  <c r="K278" i="11"/>
  <c r="N278" i="11" s="1"/>
  <c r="H278" i="11"/>
  <c r="P277" i="11"/>
  <c r="O277" i="11"/>
  <c r="N277" i="11"/>
  <c r="K277" i="11"/>
  <c r="H277" i="11"/>
  <c r="P276" i="11"/>
  <c r="O276" i="11"/>
  <c r="N276" i="11"/>
  <c r="K276" i="11"/>
  <c r="H276" i="11"/>
  <c r="P275" i="11"/>
  <c r="O275" i="11"/>
  <c r="K275" i="11"/>
  <c r="H275" i="11"/>
  <c r="N275" i="11" s="1"/>
  <c r="Q274" i="11"/>
  <c r="P274" i="11"/>
  <c r="O274" i="11"/>
  <c r="N274" i="11"/>
  <c r="K274" i="11"/>
  <c r="H274" i="11"/>
  <c r="P273" i="11"/>
  <c r="O273" i="11"/>
  <c r="N273" i="11"/>
  <c r="K273" i="11"/>
  <c r="H273" i="11"/>
  <c r="P272" i="11"/>
  <c r="O272" i="11"/>
  <c r="K272" i="11"/>
  <c r="H272" i="11"/>
  <c r="N272" i="11" s="1"/>
  <c r="P271" i="11"/>
  <c r="O271" i="11"/>
  <c r="K271" i="11"/>
  <c r="N271" i="11" s="1"/>
  <c r="H271" i="11"/>
  <c r="P270" i="11"/>
  <c r="O270" i="11"/>
  <c r="N270" i="11"/>
  <c r="K270" i="11"/>
  <c r="H270" i="11"/>
  <c r="Q269" i="11"/>
  <c r="P269" i="11"/>
  <c r="O269" i="11"/>
  <c r="K269" i="11"/>
  <c r="H269" i="11"/>
  <c r="N269" i="11" s="1"/>
  <c r="P268" i="11"/>
  <c r="O268" i="11"/>
  <c r="K268" i="11"/>
  <c r="N268" i="11" s="1"/>
  <c r="H268" i="11"/>
  <c r="P267" i="11"/>
  <c r="O267" i="11"/>
  <c r="N267" i="11"/>
  <c r="K267" i="11"/>
  <c r="H267" i="11"/>
  <c r="P266" i="11"/>
  <c r="O266" i="11"/>
  <c r="N266" i="11"/>
  <c r="K266" i="11"/>
  <c r="H266" i="11"/>
  <c r="P265" i="11"/>
  <c r="O265" i="11"/>
  <c r="K265" i="11"/>
  <c r="H265" i="11"/>
  <c r="N265" i="11" s="1"/>
  <c r="Q264" i="11"/>
  <c r="P264" i="11"/>
  <c r="O264" i="11"/>
  <c r="N264" i="11"/>
  <c r="K264" i="11"/>
  <c r="H264" i="11"/>
  <c r="P263" i="11"/>
  <c r="O263" i="11"/>
  <c r="N263" i="11"/>
  <c r="K263" i="11"/>
  <c r="H263" i="11"/>
  <c r="P262" i="11"/>
  <c r="O262" i="11"/>
  <c r="K262" i="11"/>
  <c r="H262" i="11"/>
  <c r="N262" i="11" s="1"/>
  <c r="P261" i="11"/>
  <c r="O261" i="11"/>
  <c r="K261" i="11"/>
  <c r="N261" i="11" s="1"/>
  <c r="H261" i="11"/>
  <c r="Q260" i="11"/>
  <c r="P260" i="11"/>
  <c r="O260" i="11"/>
  <c r="N260" i="11"/>
  <c r="K260" i="11"/>
  <c r="H260" i="11"/>
  <c r="P259" i="11"/>
  <c r="O259" i="11"/>
  <c r="K259" i="11"/>
  <c r="H259" i="11"/>
  <c r="N259" i="11" s="1"/>
  <c r="P258" i="11"/>
  <c r="O258" i="11"/>
  <c r="K258" i="11"/>
  <c r="N258" i="11" s="1"/>
  <c r="H258" i="11"/>
  <c r="P257" i="11"/>
  <c r="O257" i="11"/>
  <c r="N257" i="11"/>
  <c r="K257" i="11"/>
  <c r="H257" i="11"/>
  <c r="Q256" i="11"/>
  <c r="P256" i="11"/>
  <c r="O256" i="11"/>
  <c r="K256" i="11"/>
  <c r="H256" i="11"/>
  <c r="N256" i="11" s="1"/>
  <c r="P255" i="11"/>
  <c r="O255" i="11"/>
  <c r="K255" i="11"/>
  <c r="N255" i="11" s="1"/>
  <c r="H255" i="11"/>
  <c r="P254" i="11"/>
  <c r="O254" i="11"/>
  <c r="N254" i="11"/>
  <c r="K254" i="11"/>
  <c r="H254" i="11"/>
  <c r="P253" i="11"/>
  <c r="O253" i="11"/>
  <c r="N253" i="11"/>
  <c r="K253" i="11"/>
  <c r="H253" i="11"/>
  <c r="P252" i="11"/>
  <c r="O252" i="11"/>
  <c r="K252" i="11"/>
  <c r="H252" i="11"/>
  <c r="N252" i="11" s="1"/>
  <c r="Q251" i="11"/>
  <c r="P251" i="11"/>
  <c r="O251" i="11"/>
  <c r="N251" i="11"/>
  <c r="K251" i="11"/>
  <c r="H251" i="11"/>
  <c r="P250" i="11"/>
  <c r="O250" i="11"/>
  <c r="N250" i="11"/>
  <c r="K250" i="11"/>
  <c r="H250" i="11"/>
  <c r="P249" i="11"/>
  <c r="O249" i="11"/>
  <c r="K249" i="11"/>
  <c r="H249" i="11"/>
  <c r="N249" i="11" s="1"/>
  <c r="P248" i="11"/>
  <c r="O248" i="11"/>
  <c r="K248" i="11"/>
  <c r="N248" i="11" s="1"/>
  <c r="H248" i="11"/>
  <c r="P247" i="11"/>
  <c r="O247" i="11"/>
  <c r="N247" i="11"/>
  <c r="K247" i="11"/>
  <c r="H247" i="11"/>
  <c r="Q246" i="11"/>
  <c r="P246" i="11"/>
  <c r="O246" i="11"/>
  <c r="K246" i="11"/>
  <c r="N246" i="11" s="1"/>
  <c r="H246" i="11"/>
  <c r="P245" i="11"/>
  <c r="O245" i="11"/>
  <c r="K245" i="11"/>
  <c r="N245" i="11" s="1"/>
  <c r="H245" i="11"/>
  <c r="P244" i="11"/>
  <c r="O244" i="11"/>
  <c r="N244" i="11"/>
  <c r="K244" i="11"/>
  <c r="H244" i="11"/>
  <c r="P243" i="11"/>
  <c r="O243" i="11"/>
  <c r="N243" i="11"/>
  <c r="K243" i="11"/>
  <c r="H243" i="11"/>
  <c r="P242" i="11"/>
  <c r="O242" i="11"/>
  <c r="K242" i="11"/>
  <c r="H242" i="11"/>
  <c r="N242" i="11" s="1"/>
  <c r="Q241" i="11"/>
  <c r="P241" i="11"/>
  <c r="O241" i="11"/>
  <c r="N241" i="11"/>
  <c r="K241" i="11"/>
  <c r="H241" i="11"/>
  <c r="P240" i="11"/>
  <c r="O240" i="11"/>
  <c r="N240" i="11"/>
  <c r="K240" i="11"/>
  <c r="H240" i="11"/>
  <c r="P239" i="11"/>
  <c r="O239" i="11"/>
  <c r="K239" i="11"/>
  <c r="N239" i="11" s="1"/>
  <c r="H239" i="11"/>
  <c r="P238" i="11"/>
  <c r="O238" i="11"/>
  <c r="K238" i="11"/>
  <c r="N238" i="11" s="1"/>
  <c r="H238" i="11"/>
  <c r="Q237" i="11"/>
  <c r="P237" i="11"/>
  <c r="O237" i="11"/>
  <c r="N237" i="11"/>
  <c r="K237" i="11"/>
  <c r="H237" i="11"/>
  <c r="P236" i="11"/>
  <c r="O236" i="11"/>
  <c r="K236" i="11"/>
  <c r="H236" i="11"/>
  <c r="N236" i="11" s="1"/>
  <c r="P235" i="11"/>
  <c r="O235" i="11"/>
  <c r="K235" i="11"/>
  <c r="N235" i="11" s="1"/>
  <c r="H235" i="11"/>
  <c r="P234" i="11"/>
  <c r="O234" i="11"/>
  <c r="N234" i="11"/>
  <c r="K234" i="11"/>
  <c r="H234" i="11"/>
  <c r="P233" i="11"/>
  <c r="O233" i="11"/>
  <c r="N233" i="11"/>
  <c r="K233" i="11"/>
  <c r="H233" i="11"/>
  <c r="Q232" i="11"/>
  <c r="P232" i="11"/>
  <c r="O232" i="11"/>
  <c r="K232" i="11"/>
  <c r="N232" i="11" s="1"/>
  <c r="H232" i="11"/>
  <c r="P231" i="11"/>
  <c r="O231" i="11"/>
  <c r="N231" i="11"/>
  <c r="K231" i="11"/>
  <c r="H231" i="11"/>
  <c r="P230" i="11"/>
  <c r="O230" i="11"/>
  <c r="N230" i="11"/>
  <c r="K230" i="11"/>
  <c r="H230" i="11"/>
  <c r="P229" i="11"/>
  <c r="O229" i="11"/>
  <c r="K229" i="11"/>
  <c r="H229" i="11"/>
  <c r="N229" i="11" s="1"/>
  <c r="P228" i="11"/>
  <c r="O228" i="11"/>
  <c r="K228" i="11"/>
  <c r="N228" i="11" s="1"/>
  <c r="H228" i="11"/>
  <c r="Q227" i="11"/>
  <c r="P227" i="11"/>
  <c r="O227" i="11"/>
  <c r="N227" i="11"/>
  <c r="K227" i="11"/>
  <c r="H227" i="11"/>
  <c r="P226" i="11"/>
  <c r="O226" i="11"/>
  <c r="K226" i="11"/>
  <c r="H226" i="11"/>
  <c r="N226" i="11" s="1"/>
  <c r="P225" i="11"/>
  <c r="O225" i="11"/>
  <c r="K225" i="11"/>
  <c r="N225" i="11" s="1"/>
  <c r="H225" i="11"/>
  <c r="P224" i="11"/>
  <c r="O224" i="11"/>
  <c r="N224" i="11"/>
  <c r="K224" i="11"/>
  <c r="H224" i="11"/>
  <c r="P223" i="11"/>
  <c r="O223" i="11"/>
  <c r="N223" i="11"/>
  <c r="K223" i="11"/>
  <c r="H223" i="11"/>
  <c r="Q222" i="11"/>
  <c r="P222" i="11"/>
  <c r="O222" i="11"/>
  <c r="K222" i="11"/>
  <c r="N222" i="11" s="1"/>
  <c r="H222" i="11"/>
  <c r="P221" i="11"/>
  <c r="O221" i="11"/>
  <c r="N221" i="11"/>
  <c r="K221" i="11"/>
  <c r="H221" i="11"/>
  <c r="P220" i="11"/>
  <c r="O220" i="11"/>
  <c r="N220" i="11"/>
  <c r="K220" i="11"/>
  <c r="H220" i="11"/>
  <c r="P219" i="11"/>
  <c r="O219" i="11"/>
  <c r="K219" i="11"/>
  <c r="H219" i="11"/>
  <c r="N219" i="11" s="1"/>
  <c r="P218" i="11"/>
  <c r="O218" i="11"/>
  <c r="K218" i="11"/>
  <c r="N218" i="11" s="1"/>
  <c r="H218" i="11"/>
  <c r="Q217" i="11"/>
  <c r="P217" i="11"/>
  <c r="O217" i="11"/>
  <c r="N217" i="11"/>
  <c r="K217" i="11"/>
  <c r="H217" i="11"/>
  <c r="P216" i="11"/>
  <c r="O216" i="11"/>
  <c r="K216" i="11"/>
  <c r="H216" i="11"/>
  <c r="N216" i="11" s="1"/>
  <c r="P215" i="11"/>
  <c r="O215" i="11"/>
  <c r="K215" i="11"/>
  <c r="N215" i="11" s="1"/>
  <c r="H215" i="11"/>
  <c r="P214" i="11"/>
  <c r="O214" i="11"/>
  <c r="N214" i="11"/>
  <c r="K214" i="11"/>
  <c r="H214" i="11"/>
  <c r="P213" i="11"/>
  <c r="O213" i="11"/>
  <c r="N213" i="11"/>
  <c r="K213" i="11"/>
  <c r="H213" i="11"/>
  <c r="Q212" i="11"/>
  <c r="P212" i="11"/>
  <c r="O212" i="11"/>
  <c r="K212" i="11"/>
  <c r="N212" i="11" s="1"/>
  <c r="H212" i="11"/>
  <c r="P211" i="11"/>
  <c r="O211" i="11"/>
  <c r="N211" i="11"/>
  <c r="K211" i="11"/>
  <c r="H211" i="11"/>
  <c r="P210" i="11"/>
  <c r="O210" i="11"/>
  <c r="N210" i="11"/>
  <c r="K210" i="11"/>
  <c r="H210" i="11"/>
  <c r="P209" i="11"/>
  <c r="O209" i="11"/>
  <c r="K209" i="11"/>
  <c r="H209" i="11"/>
  <c r="N209" i="11" s="1"/>
  <c r="P208" i="11"/>
  <c r="O208" i="11"/>
  <c r="K208" i="11"/>
  <c r="N208" i="11" s="1"/>
  <c r="H208" i="11"/>
  <c r="Q207" i="11"/>
  <c r="P207" i="11"/>
  <c r="O207" i="11"/>
  <c r="N207" i="11"/>
  <c r="K207" i="11"/>
  <c r="H207" i="11"/>
  <c r="P206" i="11"/>
  <c r="O206" i="11"/>
  <c r="K206" i="11"/>
  <c r="H206" i="11"/>
  <c r="N206" i="11" s="1"/>
  <c r="P205" i="11"/>
  <c r="O205" i="11"/>
  <c r="K205" i="11"/>
  <c r="N205" i="11" s="1"/>
  <c r="H205" i="11"/>
  <c r="P204" i="11"/>
  <c r="O204" i="11"/>
  <c r="N204" i="11"/>
  <c r="K204" i="11"/>
  <c r="H204" i="11"/>
  <c r="P203" i="11"/>
  <c r="O203" i="11"/>
  <c r="N203" i="11"/>
  <c r="K203" i="11"/>
  <c r="H203" i="11"/>
  <c r="Q202" i="11"/>
  <c r="P202" i="11"/>
  <c r="O202" i="11"/>
  <c r="K202" i="11"/>
  <c r="N202" i="11" s="1"/>
  <c r="H202" i="11"/>
  <c r="P201" i="11"/>
  <c r="O201" i="11"/>
  <c r="N201" i="11"/>
  <c r="K201" i="11"/>
  <c r="H201" i="11"/>
  <c r="P200" i="11"/>
  <c r="O200" i="11"/>
  <c r="N200" i="11"/>
  <c r="K200" i="11"/>
  <c r="H200" i="11"/>
  <c r="P199" i="11"/>
  <c r="O199" i="11"/>
  <c r="K199" i="11"/>
  <c r="H199" i="11"/>
  <c r="N199" i="11" s="1"/>
  <c r="P198" i="11"/>
  <c r="O198" i="11"/>
  <c r="K198" i="11"/>
  <c r="N198" i="11" s="1"/>
  <c r="H198" i="11"/>
  <c r="Q197" i="11"/>
  <c r="P197" i="11"/>
  <c r="O197" i="11"/>
  <c r="N197" i="11"/>
  <c r="K197" i="11"/>
  <c r="H197" i="11"/>
  <c r="P196" i="11"/>
  <c r="O196" i="11"/>
  <c r="K196" i="11"/>
  <c r="H196" i="11"/>
  <c r="N196" i="11" s="1"/>
  <c r="P195" i="11"/>
  <c r="O195" i="11"/>
  <c r="K195" i="11"/>
  <c r="N195" i="11" s="1"/>
  <c r="H195" i="11"/>
  <c r="P194" i="11"/>
  <c r="O194" i="11"/>
  <c r="N194" i="11"/>
  <c r="K194" i="11"/>
  <c r="H194" i="11"/>
  <c r="P193" i="11"/>
  <c r="O193" i="11"/>
  <c r="N193" i="11"/>
  <c r="K193" i="11"/>
  <c r="H193" i="11"/>
  <c r="Q192" i="11"/>
  <c r="P192" i="11"/>
  <c r="O192" i="11"/>
  <c r="K192" i="11"/>
  <c r="N192" i="11" s="1"/>
  <c r="H192" i="11"/>
  <c r="P191" i="11"/>
  <c r="O191" i="11"/>
  <c r="N191" i="11"/>
  <c r="K191" i="11"/>
  <c r="H191" i="11"/>
  <c r="P190" i="11"/>
  <c r="O190" i="11"/>
  <c r="N190" i="11"/>
  <c r="K190" i="11"/>
  <c r="H190" i="11"/>
  <c r="P189" i="11"/>
  <c r="O189" i="11"/>
  <c r="K189" i="11"/>
  <c r="H189" i="11"/>
  <c r="N189" i="11" s="1"/>
  <c r="P188" i="11"/>
  <c r="O188" i="11"/>
  <c r="K188" i="11"/>
  <c r="N188" i="11" s="1"/>
  <c r="H188" i="11"/>
  <c r="Q187" i="11"/>
  <c r="P187" i="11"/>
  <c r="O187" i="11"/>
  <c r="N187" i="11"/>
  <c r="K187" i="11"/>
  <c r="H187" i="11"/>
  <c r="P186" i="11"/>
  <c r="O186" i="11"/>
  <c r="K186" i="11"/>
  <c r="H186" i="11"/>
  <c r="N186" i="11" s="1"/>
  <c r="P185" i="11"/>
  <c r="O185" i="11"/>
  <c r="K185" i="11"/>
  <c r="N185" i="11" s="1"/>
  <c r="H185" i="11"/>
  <c r="P184" i="11"/>
  <c r="O184" i="11"/>
  <c r="N184" i="11"/>
  <c r="K184" i="11"/>
  <c r="H184" i="11"/>
  <c r="P183" i="11"/>
  <c r="O183" i="11"/>
  <c r="N183" i="11"/>
  <c r="K183" i="11"/>
  <c r="H183" i="11"/>
  <c r="P182" i="11"/>
  <c r="O182" i="11"/>
  <c r="K182" i="11"/>
  <c r="H182" i="11"/>
  <c r="N182" i="11" s="1"/>
  <c r="P181" i="11"/>
  <c r="O181" i="11"/>
  <c r="K181" i="11"/>
  <c r="N181" i="11" s="1"/>
  <c r="H181" i="11"/>
  <c r="P180" i="11"/>
  <c r="O180" i="11"/>
  <c r="N180" i="11"/>
  <c r="K180" i="11"/>
  <c r="H180" i="11"/>
  <c r="P179" i="11"/>
  <c r="O179" i="11"/>
  <c r="N179" i="11"/>
  <c r="K179" i="11"/>
  <c r="H179" i="11"/>
  <c r="P178" i="11"/>
  <c r="O178" i="11"/>
  <c r="K178" i="11"/>
  <c r="H178" i="11"/>
  <c r="N178" i="11" s="1"/>
  <c r="P177" i="11"/>
  <c r="O177" i="11"/>
  <c r="K177" i="11"/>
  <c r="N177" i="11" s="1"/>
  <c r="H177" i="11"/>
  <c r="P176" i="11"/>
  <c r="O176" i="11"/>
  <c r="N176" i="11"/>
  <c r="K176" i="11"/>
  <c r="H176" i="11"/>
  <c r="P175" i="11"/>
  <c r="O175" i="11"/>
  <c r="N175" i="11"/>
  <c r="K175" i="11"/>
  <c r="H175" i="11"/>
  <c r="P174" i="11"/>
  <c r="O174" i="11"/>
  <c r="K174" i="11"/>
  <c r="H174" i="11"/>
  <c r="N174" i="11" s="1"/>
  <c r="P173" i="11"/>
  <c r="O173" i="11"/>
  <c r="K173" i="11"/>
  <c r="N173" i="11" s="1"/>
  <c r="H173" i="11"/>
  <c r="P172" i="11"/>
  <c r="O172" i="11"/>
  <c r="N172" i="11"/>
  <c r="K172" i="11"/>
  <c r="H172" i="11"/>
  <c r="P171" i="11"/>
  <c r="O171" i="11"/>
  <c r="N171" i="11"/>
  <c r="K171" i="11"/>
  <c r="H171" i="11"/>
  <c r="P170" i="11"/>
  <c r="O170" i="11"/>
  <c r="K170" i="11"/>
  <c r="H170" i="11"/>
  <c r="N170" i="11" s="1"/>
  <c r="P169" i="11"/>
  <c r="O169" i="11"/>
  <c r="K169" i="11"/>
  <c r="N169" i="11" s="1"/>
  <c r="H169" i="11"/>
  <c r="P168" i="11"/>
  <c r="O168" i="11"/>
  <c r="N168" i="11"/>
  <c r="K168" i="11"/>
  <c r="H168" i="11"/>
  <c r="P167" i="11"/>
  <c r="O167" i="11"/>
  <c r="N167" i="11"/>
  <c r="K167" i="11"/>
  <c r="H167" i="11"/>
  <c r="P166" i="11"/>
  <c r="O166" i="11"/>
  <c r="K166" i="11"/>
  <c r="H166" i="11"/>
  <c r="N166" i="11" s="1"/>
  <c r="P165" i="11"/>
  <c r="O165" i="11"/>
  <c r="K165" i="11"/>
  <c r="N165" i="11" s="1"/>
  <c r="H165" i="11"/>
  <c r="P164" i="11"/>
  <c r="O164" i="11"/>
  <c r="N164" i="11"/>
  <c r="K164" i="11"/>
  <c r="H164" i="11"/>
  <c r="P163" i="11"/>
  <c r="O163" i="11"/>
  <c r="N163" i="11"/>
  <c r="K163" i="11"/>
  <c r="H163" i="11"/>
  <c r="P162" i="11"/>
  <c r="O162" i="11"/>
  <c r="K162" i="11"/>
  <c r="H162" i="11"/>
  <c r="N162" i="11" s="1"/>
  <c r="P161" i="11"/>
  <c r="O161" i="11"/>
  <c r="K161" i="11"/>
  <c r="N161" i="11" s="1"/>
  <c r="H161" i="11"/>
  <c r="P160" i="11"/>
  <c r="O160" i="11"/>
  <c r="N160" i="11"/>
  <c r="K160" i="11"/>
  <c r="H160" i="11"/>
  <c r="P159" i="11"/>
  <c r="O159" i="11"/>
  <c r="N159" i="11"/>
  <c r="K159" i="11"/>
  <c r="H159" i="11"/>
  <c r="P158" i="11"/>
  <c r="O158" i="11"/>
  <c r="K158" i="11"/>
  <c r="H158" i="11"/>
  <c r="N158" i="11" s="1"/>
  <c r="P157" i="11"/>
  <c r="O157" i="11"/>
  <c r="K157" i="11"/>
  <c r="N157" i="11" s="1"/>
  <c r="H157" i="11"/>
  <c r="P156" i="11"/>
  <c r="O156" i="11"/>
  <c r="N156" i="11"/>
  <c r="K156" i="11"/>
  <c r="H156" i="11"/>
  <c r="P155" i="11"/>
  <c r="O155" i="11"/>
  <c r="N155" i="11"/>
  <c r="K155" i="11"/>
  <c r="H155" i="11"/>
  <c r="P154" i="11"/>
  <c r="O154" i="11"/>
  <c r="K154" i="11"/>
  <c r="H154" i="11"/>
  <c r="N154" i="11" s="1"/>
  <c r="P153" i="11"/>
  <c r="O153" i="11"/>
  <c r="K153" i="11"/>
  <c r="N153" i="11" s="1"/>
  <c r="H153" i="11"/>
  <c r="P152" i="11"/>
  <c r="O152" i="11"/>
  <c r="N152" i="11"/>
  <c r="K152" i="11"/>
  <c r="H152" i="11"/>
  <c r="P151" i="11"/>
  <c r="O151" i="11"/>
  <c r="N151" i="11"/>
  <c r="K151" i="11"/>
  <c r="H151" i="11"/>
  <c r="P150" i="11"/>
  <c r="O150" i="11"/>
  <c r="K150" i="11"/>
  <c r="H150" i="11"/>
  <c r="N150" i="11" s="1"/>
  <c r="P149" i="11"/>
  <c r="O149" i="11"/>
  <c r="K149" i="11"/>
  <c r="N149" i="11" s="1"/>
  <c r="H149" i="11"/>
  <c r="P148" i="11"/>
  <c r="O148" i="11"/>
  <c r="N148" i="11"/>
  <c r="K148" i="11"/>
  <c r="H148" i="11"/>
  <c r="P147" i="11"/>
  <c r="O147" i="11"/>
  <c r="N147" i="11"/>
  <c r="K147" i="11"/>
  <c r="H147" i="11"/>
  <c r="P146" i="11"/>
  <c r="O146" i="11"/>
  <c r="K146" i="11"/>
  <c r="H146" i="11"/>
  <c r="N146" i="11" s="1"/>
  <c r="P145" i="11"/>
  <c r="O145" i="11"/>
  <c r="K145" i="11"/>
  <c r="N145" i="11" s="1"/>
  <c r="H145" i="11"/>
  <c r="P144" i="11"/>
  <c r="O144" i="11"/>
  <c r="N144" i="11"/>
  <c r="K144" i="11"/>
  <c r="H144" i="11"/>
  <c r="P143" i="11"/>
  <c r="O143" i="11"/>
  <c r="N143" i="11"/>
  <c r="K143" i="11"/>
  <c r="H143" i="11"/>
  <c r="P142" i="11"/>
  <c r="O142" i="11"/>
  <c r="K142" i="11"/>
  <c r="H142" i="11"/>
  <c r="N142" i="11" s="1"/>
  <c r="P141" i="11"/>
  <c r="O141" i="11"/>
  <c r="K141" i="11"/>
  <c r="N141" i="11" s="1"/>
  <c r="H141" i="11"/>
  <c r="P140" i="11"/>
  <c r="O140" i="11"/>
  <c r="N140" i="11"/>
  <c r="K140" i="11"/>
  <c r="H140" i="11"/>
  <c r="P139" i="11"/>
  <c r="O139" i="11"/>
  <c r="N139" i="11"/>
  <c r="K139" i="11"/>
  <c r="H139" i="11"/>
  <c r="P138" i="11"/>
  <c r="O138" i="11"/>
  <c r="K138" i="11"/>
  <c r="H138" i="11"/>
  <c r="N138" i="11" s="1"/>
  <c r="P137" i="11"/>
  <c r="O137" i="11"/>
  <c r="K137" i="11"/>
  <c r="N137" i="11" s="1"/>
  <c r="H137" i="11"/>
  <c r="P136" i="11"/>
  <c r="O136" i="11"/>
  <c r="N136" i="11"/>
  <c r="K136" i="11"/>
  <c r="H136" i="11"/>
  <c r="P135" i="11"/>
  <c r="O135" i="11"/>
  <c r="N135" i="11"/>
  <c r="K135" i="11"/>
  <c r="H135" i="11"/>
  <c r="P134" i="11"/>
  <c r="O134" i="11"/>
  <c r="K134" i="11"/>
  <c r="H134" i="11"/>
  <c r="N134" i="11" s="1"/>
  <c r="P133" i="11"/>
  <c r="O133" i="11"/>
  <c r="K133" i="11"/>
  <c r="N133" i="11" s="1"/>
  <c r="H133" i="11"/>
  <c r="P132" i="11"/>
  <c r="O132" i="11"/>
  <c r="N132" i="11"/>
  <c r="K132" i="11"/>
  <c r="H132" i="11"/>
  <c r="P131" i="11"/>
  <c r="O131" i="11"/>
  <c r="N131" i="11"/>
  <c r="K131" i="11"/>
  <c r="H131" i="11"/>
  <c r="P130" i="11"/>
  <c r="O130" i="11"/>
  <c r="K130" i="11"/>
  <c r="H130" i="11"/>
  <c r="N130" i="11" s="1"/>
  <c r="P129" i="11"/>
  <c r="O129" i="11"/>
  <c r="K129" i="11"/>
  <c r="N129" i="11" s="1"/>
  <c r="H129" i="11"/>
  <c r="P128" i="11"/>
  <c r="O128" i="11"/>
  <c r="N128" i="11"/>
  <c r="K128" i="11"/>
  <c r="H128" i="11"/>
  <c r="P127" i="11"/>
  <c r="O127" i="11"/>
  <c r="N127" i="11"/>
  <c r="K127" i="11"/>
  <c r="H127" i="11"/>
  <c r="P126" i="11"/>
  <c r="O126" i="11"/>
  <c r="K126" i="11"/>
  <c r="H126" i="11"/>
  <c r="N126" i="11" s="1"/>
  <c r="P125" i="11"/>
  <c r="O125" i="11"/>
  <c r="K125" i="11"/>
  <c r="N125" i="11" s="1"/>
  <c r="H125" i="11"/>
  <c r="P124" i="11"/>
  <c r="O124" i="11"/>
  <c r="N124" i="11"/>
  <c r="K124" i="11"/>
  <c r="H124" i="11"/>
  <c r="P123" i="11"/>
  <c r="O123" i="11"/>
  <c r="N123" i="11"/>
  <c r="K123" i="11"/>
  <c r="H123" i="11"/>
  <c r="P122" i="11"/>
  <c r="O122" i="11"/>
  <c r="K122" i="11"/>
  <c r="H122" i="11"/>
  <c r="N122" i="11" s="1"/>
  <c r="P121" i="11"/>
  <c r="O121" i="11"/>
  <c r="K121" i="11"/>
  <c r="N121" i="11" s="1"/>
  <c r="H121" i="11"/>
  <c r="P120" i="11"/>
  <c r="O120" i="11"/>
  <c r="N120" i="11"/>
  <c r="K120" i="11"/>
  <c r="H120" i="11"/>
  <c r="P119" i="11"/>
  <c r="O119" i="11"/>
  <c r="N119" i="11"/>
  <c r="K119" i="11"/>
  <c r="H119" i="11"/>
  <c r="P118" i="11"/>
  <c r="O118" i="11"/>
  <c r="K118" i="11"/>
  <c r="H118" i="11"/>
  <c r="N118" i="11" s="1"/>
  <c r="P117" i="11"/>
  <c r="O117" i="11"/>
  <c r="K117" i="11"/>
  <c r="K364" i="11" s="1"/>
  <c r="K365" i="11" s="1"/>
  <c r="H117" i="11"/>
  <c r="H364" i="11" s="1"/>
  <c r="P116" i="11"/>
  <c r="O116" i="11"/>
  <c r="N116" i="11"/>
  <c r="K116" i="11"/>
  <c r="H116" i="11"/>
  <c r="P115" i="11"/>
  <c r="O115" i="11"/>
  <c r="N115" i="11"/>
  <c r="K115" i="11"/>
  <c r="H115" i="11"/>
  <c r="P114" i="11"/>
  <c r="O114" i="11"/>
  <c r="K114" i="11"/>
  <c r="H114" i="11"/>
  <c r="N114" i="11" s="1"/>
  <c r="P113" i="11"/>
  <c r="O113" i="11"/>
  <c r="K113" i="11"/>
  <c r="N113" i="11" s="1"/>
  <c r="H113" i="11"/>
  <c r="P112" i="11"/>
  <c r="O112" i="11"/>
  <c r="N112" i="11"/>
  <c r="K112" i="11"/>
  <c r="H112" i="11"/>
  <c r="P111" i="11"/>
  <c r="O111" i="11"/>
  <c r="N111" i="11"/>
  <c r="K111" i="11"/>
  <c r="H111" i="11"/>
  <c r="P110" i="11"/>
  <c r="O110" i="11"/>
  <c r="K110" i="11"/>
  <c r="H110" i="11"/>
  <c r="N110" i="11" s="1"/>
  <c r="P109" i="11"/>
  <c r="O109" i="11"/>
  <c r="K109" i="11"/>
  <c r="N109" i="11" s="1"/>
  <c r="H109" i="11"/>
  <c r="P108" i="11"/>
  <c r="O108" i="11"/>
  <c r="N108" i="11"/>
  <c r="K108" i="11"/>
  <c r="H108" i="11"/>
  <c r="P107" i="11"/>
  <c r="O107" i="11"/>
  <c r="N107" i="11"/>
  <c r="K107" i="11"/>
  <c r="H107" i="11"/>
  <c r="P106" i="11"/>
  <c r="O106" i="11"/>
  <c r="K106" i="11"/>
  <c r="H106" i="11"/>
  <c r="N106" i="11" s="1"/>
  <c r="P105" i="11"/>
  <c r="O105" i="11"/>
  <c r="K105" i="11"/>
  <c r="N105" i="11" s="1"/>
  <c r="H105" i="11"/>
  <c r="P104" i="11"/>
  <c r="O104" i="11"/>
  <c r="N104" i="11"/>
  <c r="K104" i="11"/>
  <c r="H104" i="11"/>
  <c r="P103" i="11"/>
  <c r="O103" i="11"/>
  <c r="N103" i="11"/>
  <c r="K103" i="11"/>
  <c r="H103" i="11"/>
  <c r="P102" i="11"/>
  <c r="O102" i="11"/>
  <c r="K102" i="11"/>
  <c r="H102" i="11"/>
  <c r="N102" i="11" s="1"/>
  <c r="P101" i="11"/>
  <c r="O101" i="11"/>
  <c r="K101" i="11"/>
  <c r="N101" i="11" s="1"/>
  <c r="H101" i="11"/>
  <c r="P100" i="11"/>
  <c r="O100" i="11"/>
  <c r="N100" i="11"/>
  <c r="K100" i="11"/>
  <c r="H100" i="11"/>
  <c r="P99" i="11"/>
  <c r="O99" i="11"/>
  <c r="N99" i="11"/>
  <c r="K99" i="11"/>
  <c r="H99" i="11"/>
  <c r="P98" i="11"/>
  <c r="O98" i="11"/>
  <c r="K98" i="11"/>
  <c r="H98" i="11"/>
  <c r="N98" i="11" s="1"/>
  <c r="P97" i="11"/>
  <c r="O97" i="11"/>
  <c r="K97" i="11"/>
  <c r="N97" i="11" s="1"/>
  <c r="H97" i="11"/>
  <c r="P96" i="11"/>
  <c r="O96" i="11"/>
  <c r="N96" i="11"/>
  <c r="K96" i="11"/>
  <c r="H96" i="11"/>
  <c r="P95" i="11"/>
  <c r="O95" i="11"/>
  <c r="N95" i="11"/>
  <c r="K95" i="11"/>
  <c r="H95" i="11"/>
  <c r="P94" i="11"/>
  <c r="O94" i="11"/>
  <c r="K94" i="11"/>
  <c r="H94" i="11"/>
  <c r="N94" i="11" s="1"/>
  <c r="P93" i="11"/>
  <c r="O93" i="11"/>
  <c r="K93" i="11"/>
  <c r="N93" i="11" s="1"/>
  <c r="H93" i="11"/>
  <c r="P92" i="11"/>
  <c r="O92" i="11"/>
  <c r="N92" i="11"/>
  <c r="K92" i="11"/>
  <c r="H92" i="11"/>
  <c r="P91" i="11"/>
  <c r="O91" i="11"/>
  <c r="N91" i="11"/>
  <c r="K91" i="11"/>
  <c r="H91" i="11"/>
  <c r="P90" i="11"/>
  <c r="O90" i="11"/>
  <c r="K90" i="11"/>
  <c r="H90" i="11"/>
  <c r="N90" i="11" s="1"/>
  <c r="P89" i="11"/>
  <c r="O89" i="11"/>
  <c r="K89" i="11"/>
  <c r="N89" i="11" s="1"/>
  <c r="H89" i="11"/>
  <c r="P88" i="11"/>
  <c r="O88" i="11"/>
  <c r="N88" i="11"/>
  <c r="K88" i="11"/>
  <c r="H88" i="11"/>
  <c r="P87" i="11"/>
  <c r="O87" i="11"/>
  <c r="N87" i="11"/>
  <c r="K87" i="11"/>
  <c r="H87" i="11"/>
  <c r="P86" i="11"/>
  <c r="O86" i="11"/>
  <c r="K86" i="11"/>
  <c r="H86" i="11"/>
  <c r="N86" i="11" s="1"/>
  <c r="P85" i="11"/>
  <c r="O85" i="11"/>
  <c r="K85" i="11"/>
  <c r="N85" i="11" s="1"/>
  <c r="H85" i="11"/>
  <c r="P84" i="11"/>
  <c r="O84" i="11"/>
  <c r="N84" i="11"/>
  <c r="K84" i="11"/>
  <c r="H84" i="11"/>
  <c r="P83" i="11"/>
  <c r="O83" i="11"/>
  <c r="N83" i="11"/>
  <c r="K83" i="11"/>
  <c r="H83" i="11"/>
  <c r="P82" i="11"/>
  <c r="O82" i="11"/>
  <c r="K82" i="11"/>
  <c r="H82" i="11"/>
  <c r="N82" i="11" s="1"/>
  <c r="P81" i="11"/>
  <c r="O81" i="11"/>
  <c r="K81" i="11"/>
  <c r="N81" i="11" s="1"/>
  <c r="H81" i="11"/>
  <c r="P80" i="11"/>
  <c r="O80" i="11"/>
  <c r="N80" i="11"/>
  <c r="K80" i="11"/>
  <c r="H80" i="11"/>
  <c r="P79" i="11"/>
  <c r="O79" i="11"/>
  <c r="N79" i="11"/>
  <c r="K79" i="11"/>
  <c r="H79" i="11"/>
  <c r="P78" i="11"/>
  <c r="O78" i="11"/>
  <c r="K78" i="11"/>
  <c r="H78" i="11"/>
  <c r="N78" i="11" s="1"/>
  <c r="P77" i="11"/>
  <c r="O77" i="11"/>
  <c r="K77" i="11"/>
  <c r="N77" i="11" s="1"/>
  <c r="H77" i="11"/>
  <c r="P76" i="11"/>
  <c r="O76" i="11"/>
  <c r="N76" i="11"/>
  <c r="K76" i="11"/>
  <c r="H76" i="11"/>
  <c r="P75" i="11"/>
  <c r="O75" i="11"/>
  <c r="N75" i="11"/>
  <c r="K75" i="11"/>
  <c r="H75" i="11"/>
  <c r="P74" i="11"/>
  <c r="O74" i="11"/>
  <c r="K74" i="11"/>
  <c r="H74" i="11"/>
  <c r="N74" i="11" s="1"/>
  <c r="P73" i="11"/>
  <c r="O73" i="11"/>
  <c r="K73" i="11"/>
  <c r="N73" i="11" s="1"/>
  <c r="H73" i="11"/>
  <c r="P72" i="11"/>
  <c r="O72" i="11"/>
  <c r="N72" i="11"/>
  <c r="K72" i="11"/>
  <c r="H72" i="11"/>
  <c r="P71" i="11"/>
  <c r="O71" i="11"/>
  <c r="N71" i="11"/>
  <c r="K71" i="11"/>
  <c r="H71" i="11"/>
  <c r="P70" i="11"/>
  <c r="O70" i="11"/>
  <c r="K70" i="11"/>
  <c r="H70" i="11"/>
  <c r="N70" i="11" s="1"/>
  <c r="P69" i="11"/>
  <c r="O69" i="11"/>
  <c r="K69" i="11"/>
  <c r="N69" i="11" s="1"/>
  <c r="H69" i="11"/>
  <c r="P68" i="11"/>
  <c r="O68" i="11"/>
  <c r="N68" i="11"/>
  <c r="K68" i="11"/>
  <c r="H68" i="11"/>
  <c r="P67" i="11"/>
  <c r="O67" i="11"/>
  <c r="N67" i="11"/>
  <c r="K67" i="11"/>
  <c r="H67" i="11"/>
  <c r="P66" i="11"/>
  <c r="O66" i="11"/>
  <c r="K66" i="11"/>
  <c r="N66" i="11" s="1"/>
  <c r="H66" i="11"/>
  <c r="P65" i="11"/>
  <c r="O65" i="11"/>
  <c r="K65" i="11"/>
  <c r="N65" i="11" s="1"/>
  <c r="H65" i="11"/>
  <c r="P64" i="11"/>
  <c r="O64" i="11"/>
  <c r="N64" i="11"/>
  <c r="K64" i="11"/>
  <c r="H64" i="11"/>
  <c r="P63" i="11"/>
  <c r="O63" i="11"/>
  <c r="N63" i="11"/>
  <c r="K63" i="11"/>
  <c r="H63" i="11"/>
  <c r="P62" i="11"/>
  <c r="O62" i="11"/>
  <c r="K62" i="11"/>
  <c r="N62" i="11" s="1"/>
  <c r="H62" i="11"/>
  <c r="P61" i="11"/>
  <c r="O61" i="11"/>
  <c r="K61" i="11"/>
  <c r="N61" i="11" s="1"/>
  <c r="H61" i="11"/>
  <c r="P60" i="11"/>
  <c r="O60" i="11"/>
  <c r="N60" i="11"/>
  <c r="K60" i="11"/>
  <c r="H60" i="11"/>
  <c r="P59" i="11"/>
  <c r="O59" i="11"/>
  <c r="N59" i="11"/>
  <c r="K59" i="11"/>
  <c r="H59" i="11"/>
  <c r="P58" i="11"/>
  <c r="O58" i="11"/>
  <c r="K58" i="11"/>
  <c r="N58" i="11" s="1"/>
  <c r="H58" i="11"/>
  <c r="P57" i="11"/>
  <c r="O57" i="11"/>
  <c r="K57" i="11"/>
  <c r="N57" i="11" s="1"/>
  <c r="H57" i="11"/>
  <c r="P56" i="11"/>
  <c r="O56" i="11"/>
  <c r="N56" i="11"/>
  <c r="K56" i="11"/>
  <c r="H56" i="11"/>
  <c r="P55" i="11"/>
  <c r="O55" i="11"/>
  <c r="N55" i="11"/>
  <c r="K55" i="11"/>
  <c r="H55" i="11"/>
  <c r="P54" i="11"/>
  <c r="O54" i="11"/>
  <c r="K54" i="11"/>
  <c r="N54" i="11" s="1"/>
  <c r="H54" i="11"/>
  <c r="P53" i="11"/>
  <c r="O53" i="11"/>
  <c r="K53" i="11"/>
  <c r="N53" i="11" s="1"/>
  <c r="H53" i="11"/>
  <c r="P52" i="11"/>
  <c r="O52" i="11"/>
  <c r="N52" i="11"/>
  <c r="K52" i="11"/>
  <c r="H52" i="11"/>
  <c r="P51" i="11"/>
  <c r="O51" i="11"/>
  <c r="N51" i="11"/>
  <c r="K51" i="11"/>
  <c r="H51" i="11"/>
  <c r="P50" i="11"/>
  <c r="O50" i="11"/>
  <c r="K50" i="11"/>
  <c r="N50" i="11" s="1"/>
  <c r="H50" i="11"/>
  <c r="P49" i="11"/>
  <c r="O49" i="11"/>
  <c r="K49" i="11"/>
  <c r="N49" i="11" s="1"/>
  <c r="H49" i="11"/>
  <c r="P48" i="11"/>
  <c r="O48" i="11"/>
  <c r="N48" i="11"/>
  <c r="K48" i="11"/>
  <c r="H48" i="11"/>
  <c r="P47" i="11"/>
  <c r="O47" i="11"/>
  <c r="N47" i="11"/>
  <c r="K47" i="11"/>
  <c r="H47" i="11"/>
  <c r="P46" i="11"/>
  <c r="O46" i="11"/>
  <c r="K46" i="11"/>
  <c r="N46" i="11" s="1"/>
  <c r="H46" i="11"/>
  <c r="P45" i="11"/>
  <c r="O45" i="11"/>
  <c r="K45" i="11"/>
  <c r="N45" i="11" s="1"/>
  <c r="H45" i="11"/>
  <c r="P44" i="11"/>
  <c r="O44" i="11"/>
  <c r="N44" i="11"/>
  <c r="K44" i="11"/>
  <c r="H44" i="11"/>
  <c r="P43" i="11"/>
  <c r="O43" i="11"/>
  <c r="N43" i="11"/>
  <c r="K43" i="11"/>
  <c r="H43" i="11"/>
  <c r="P42" i="11"/>
  <c r="O42" i="11"/>
  <c r="K42" i="11"/>
  <c r="N42" i="11" s="1"/>
  <c r="H42" i="11"/>
  <c r="P41" i="11"/>
  <c r="O41" i="11"/>
  <c r="K41" i="11"/>
  <c r="N41" i="11" s="1"/>
  <c r="H41" i="11"/>
  <c r="P40" i="11"/>
  <c r="O40" i="11"/>
  <c r="N40" i="11"/>
  <c r="K40" i="11"/>
  <c r="H40" i="11"/>
  <c r="P39" i="11"/>
  <c r="O39" i="11"/>
  <c r="K39" i="11"/>
  <c r="N39" i="11" s="1"/>
  <c r="H39" i="11"/>
  <c r="P38" i="11"/>
  <c r="O38" i="11"/>
  <c r="K38" i="11"/>
  <c r="H38" i="11"/>
  <c r="N38" i="11" s="1"/>
  <c r="P37" i="11"/>
  <c r="O37" i="11"/>
  <c r="K37" i="11"/>
  <c r="N37" i="11" s="1"/>
  <c r="H37" i="11"/>
  <c r="P36" i="11"/>
  <c r="O36" i="11"/>
  <c r="N36" i="11"/>
  <c r="K36" i="11"/>
  <c r="H36" i="11"/>
  <c r="P35" i="11"/>
  <c r="O35" i="11"/>
  <c r="K35" i="11"/>
  <c r="N35" i="11" s="1"/>
  <c r="H35" i="11"/>
  <c r="P34" i="11"/>
  <c r="O34" i="11"/>
  <c r="K34" i="11"/>
  <c r="H34" i="11"/>
  <c r="N34" i="11" s="1"/>
  <c r="P33" i="11"/>
  <c r="O33" i="11"/>
  <c r="K33" i="11"/>
  <c r="N33" i="11" s="1"/>
  <c r="H33" i="11"/>
  <c r="P32" i="11"/>
  <c r="O32" i="11"/>
  <c r="N32" i="11"/>
  <c r="K32" i="11"/>
  <c r="H32" i="11"/>
  <c r="P31" i="11"/>
  <c r="O31" i="11"/>
  <c r="K31" i="11"/>
  <c r="N31" i="11" s="1"/>
  <c r="H31" i="11"/>
  <c r="P30" i="11"/>
  <c r="O30" i="11"/>
  <c r="K30" i="11"/>
  <c r="H30" i="11"/>
  <c r="N30" i="11" s="1"/>
  <c r="P29" i="11"/>
  <c r="O29" i="11"/>
  <c r="K29" i="11"/>
  <c r="N29" i="11" s="1"/>
  <c r="H29" i="11"/>
  <c r="P28" i="11"/>
  <c r="O28" i="11"/>
  <c r="N28" i="11"/>
  <c r="K28" i="11"/>
  <c r="H28" i="11"/>
  <c r="P27" i="11"/>
  <c r="O27" i="11"/>
  <c r="K27" i="11"/>
  <c r="N27" i="11" s="1"/>
  <c r="H27" i="11"/>
  <c r="P26" i="11"/>
  <c r="O26" i="11"/>
  <c r="K26" i="11"/>
  <c r="H26" i="11"/>
  <c r="N26" i="11" s="1"/>
  <c r="P25" i="11"/>
  <c r="O25" i="11"/>
  <c r="K25" i="11"/>
  <c r="N25" i="11" s="1"/>
  <c r="H25" i="11"/>
  <c r="P24" i="11"/>
  <c r="O24" i="11"/>
  <c r="N24" i="11"/>
  <c r="K24" i="11"/>
  <c r="H24" i="11"/>
  <c r="P23" i="11"/>
  <c r="O23" i="11"/>
  <c r="K23" i="11"/>
  <c r="N23" i="11" s="1"/>
  <c r="H23" i="11"/>
  <c r="P22" i="11"/>
  <c r="O22" i="11"/>
  <c r="K22" i="11"/>
  <c r="H22" i="11"/>
  <c r="N22" i="11" s="1"/>
  <c r="P21" i="11"/>
  <c r="O21" i="11"/>
  <c r="K21" i="11"/>
  <c r="N21" i="11" s="1"/>
  <c r="H21" i="11"/>
  <c r="P20" i="11"/>
  <c r="O20" i="11"/>
  <c r="N20" i="11"/>
  <c r="K20" i="11"/>
  <c r="H20" i="11"/>
  <c r="P19" i="11"/>
  <c r="O19" i="11"/>
  <c r="K19" i="11"/>
  <c r="N19" i="11" s="1"/>
  <c r="H19" i="11"/>
  <c r="P18" i="11"/>
  <c r="O18" i="11"/>
  <c r="K18" i="11"/>
  <c r="H18" i="11"/>
  <c r="N18" i="11" s="1"/>
  <c r="P17" i="11"/>
  <c r="O17" i="11"/>
  <c r="K17" i="11"/>
  <c r="N17" i="11" s="1"/>
  <c r="H17" i="11"/>
  <c r="P16" i="11"/>
  <c r="O16" i="11"/>
  <c r="N16" i="11"/>
  <c r="K16" i="11"/>
  <c r="H16" i="11"/>
  <c r="P15" i="11"/>
  <c r="O15" i="11"/>
  <c r="K15" i="11"/>
  <c r="N15" i="11" s="1"/>
  <c r="H15" i="11"/>
  <c r="P14" i="11"/>
  <c r="O14" i="11"/>
  <c r="K14" i="11"/>
  <c r="H14" i="11"/>
  <c r="N14" i="11" s="1"/>
  <c r="P13" i="11"/>
  <c r="O13" i="11"/>
  <c r="K13" i="11"/>
  <c r="N13" i="11" s="1"/>
  <c r="H13" i="11"/>
  <c r="P12" i="11"/>
  <c r="O12" i="11"/>
  <c r="N12" i="11"/>
  <c r="K12" i="11"/>
  <c r="H12" i="11"/>
  <c r="P11" i="11"/>
  <c r="O11" i="11"/>
  <c r="K11" i="11"/>
  <c r="N11" i="11" s="1"/>
  <c r="H11" i="11"/>
  <c r="P10" i="11"/>
  <c r="O10" i="11"/>
  <c r="K10" i="11"/>
  <c r="H10" i="11"/>
  <c r="N10" i="11" s="1"/>
  <c r="P9" i="11"/>
  <c r="O9" i="11"/>
  <c r="K9" i="11"/>
  <c r="N9" i="11" s="1"/>
  <c r="H9" i="11"/>
  <c r="P8" i="11"/>
  <c r="O8" i="11"/>
  <c r="N8" i="11"/>
  <c r="K8" i="11"/>
  <c r="H8" i="11"/>
  <c r="P7" i="11"/>
  <c r="O7" i="11"/>
  <c r="K7" i="11"/>
  <c r="N7" i="11" s="1"/>
  <c r="H7" i="11"/>
  <c r="P6" i="11"/>
  <c r="O6" i="11"/>
  <c r="K6" i="11"/>
  <c r="H6" i="11"/>
  <c r="N6" i="11" s="1"/>
  <c r="M312" i="9"/>
  <c r="M313" i="9" s="1"/>
  <c r="J312" i="9"/>
  <c r="I312" i="9"/>
  <c r="J313" i="9" s="1"/>
  <c r="P311" i="9"/>
  <c r="O311" i="9"/>
  <c r="N311" i="9"/>
  <c r="K311" i="9"/>
  <c r="H311" i="9"/>
  <c r="P310" i="9"/>
  <c r="O310" i="9"/>
  <c r="K310" i="9"/>
  <c r="N310" i="9" s="1"/>
  <c r="H310" i="9"/>
  <c r="P309" i="9"/>
  <c r="O309" i="9"/>
  <c r="K309" i="9"/>
  <c r="N309" i="9" s="1"/>
  <c r="H309" i="9"/>
  <c r="P308" i="9"/>
  <c r="O308" i="9"/>
  <c r="N308" i="9"/>
  <c r="K308" i="9"/>
  <c r="H308" i="9"/>
  <c r="P307" i="9"/>
  <c r="O307" i="9"/>
  <c r="N307" i="9"/>
  <c r="K307" i="9"/>
  <c r="H307" i="9"/>
  <c r="P306" i="9"/>
  <c r="O306" i="9"/>
  <c r="K306" i="9"/>
  <c r="N306" i="9" s="1"/>
  <c r="H306" i="9"/>
  <c r="P305" i="9"/>
  <c r="O305" i="9"/>
  <c r="K305" i="9"/>
  <c r="N305" i="9" s="1"/>
  <c r="H305" i="9"/>
  <c r="P304" i="9"/>
  <c r="O304" i="9"/>
  <c r="N304" i="9"/>
  <c r="K304" i="9"/>
  <c r="H304" i="9"/>
  <c r="P303" i="9"/>
  <c r="O303" i="9"/>
  <c r="N303" i="9"/>
  <c r="K303" i="9"/>
  <c r="H303" i="9"/>
  <c r="P302" i="9"/>
  <c r="O302" i="9"/>
  <c r="K302" i="9"/>
  <c r="H302" i="9"/>
  <c r="P301" i="9"/>
  <c r="O301" i="9"/>
  <c r="K301" i="9"/>
  <c r="N301" i="9" s="1"/>
  <c r="H301" i="9"/>
  <c r="P300" i="9"/>
  <c r="O300" i="9"/>
  <c r="N300" i="9"/>
  <c r="K300" i="9"/>
  <c r="H300" i="9"/>
  <c r="P299" i="9"/>
  <c r="O299" i="9"/>
  <c r="N299" i="9"/>
  <c r="K299" i="9"/>
  <c r="H299" i="9"/>
  <c r="P298" i="9"/>
  <c r="O298" i="9"/>
  <c r="K298" i="9"/>
  <c r="N298" i="9" s="1"/>
  <c r="H298" i="9"/>
  <c r="P297" i="9"/>
  <c r="O297" i="9"/>
  <c r="K297" i="9"/>
  <c r="N297" i="9" s="1"/>
  <c r="H297" i="9"/>
  <c r="P296" i="9"/>
  <c r="O296" i="9"/>
  <c r="N296" i="9"/>
  <c r="K296" i="9"/>
  <c r="H296" i="9"/>
  <c r="P295" i="9"/>
  <c r="O295" i="9"/>
  <c r="N295" i="9"/>
  <c r="K295" i="9"/>
  <c r="H295" i="9"/>
  <c r="P294" i="9"/>
  <c r="O294" i="9"/>
  <c r="K294" i="9"/>
  <c r="H294" i="9"/>
  <c r="P293" i="9"/>
  <c r="O293" i="9"/>
  <c r="K293" i="9"/>
  <c r="N293" i="9" s="1"/>
  <c r="H293" i="9"/>
  <c r="P292" i="9"/>
  <c r="O292" i="9"/>
  <c r="N292" i="9"/>
  <c r="K292" i="9"/>
  <c r="H292" i="9"/>
  <c r="P291" i="9"/>
  <c r="O291" i="9"/>
  <c r="N291" i="9"/>
  <c r="K291" i="9"/>
  <c r="H291" i="9"/>
  <c r="P290" i="9"/>
  <c r="O290" i="9"/>
  <c r="K290" i="9"/>
  <c r="N290" i="9" s="1"/>
  <c r="H290" i="9"/>
  <c r="P289" i="9"/>
  <c r="O289" i="9"/>
  <c r="K289" i="9"/>
  <c r="N289" i="9" s="1"/>
  <c r="H289" i="9"/>
  <c r="P288" i="9"/>
  <c r="O288" i="9"/>
  <c r="N288" i="9"/>
  <c r="K288" i="9"/>
  <c r="H288" i="9"/>
  <c r="P287" i="9"/>
  <c r="O287" i="9"/>
  <c r="N287" i="9"/>
  <c r="K287" i="9"/>
  <c r="H287" i="9"/>
  <c r="P286" i="9"/>
  <c r="O286" i="9"/>
  <c r="K286" i="9"/>
  <c r="H286" i="9"/>
  <c r="P285" i="9"/>
  <c r="O285" i="9"/>
  <c r="K285" i="9"/>
  <c r="N285" i="9" s="1"/>
  <c r="H285" i="9"/>
  <c r="P284" i="9"/>
  <c r="O284" i="9"/>
  <c r="N284" i="9"/>
  <c r="K284" i="9"/>
  <c r="H284" i="9"/>
  <c r="P283" i="9"/>
  <c r="O283" i="9"/>
  <c r="N283" i="9"/>
  <c r="K283" i="9"/>
  <c r="H283" i="9"/>
  <c r="P282" i="9"/>
  <c r="O282" i="9"/>
  <c r="K282" i="9"/>
  <c r="N282" i="9" s="1"/>
  <c r="H282" i="9"/>
  <c r="P281" i="9"/>
  <c r="O281" i="9"/>
  <c r="K281" i="9"/>
  <c r="N281" i="9" s="1"/>
  <c r="H281" i="9"/>
  <c r="P280" i="9"/>
  <c r="O280" i="9"/>
  <c r="N280" i="9"/>
  <c r="K280" i="9"/>
  <c r="H280" i="9"/>
  <c r="P279" i="9"/>
  <c r="O279" i="9"/>
  <c r="N279" i="9"/>
  <c r="K279" i="9"/>
  <c r="H279" i="9"/>
  <c r="P278" i="9"/>
  <c r="O278" i="9"/>
  <c r="K278" i="9"/>
  <c r="H278" i="9"/>
  <c r="P277" i="9"/>
  <c r="O277" i="9"/>
  <c r="K277" i="9"/>
  <c r="N277" i="9" s="1"/>
  <c r="H277" i="9"/>
  <c r="P276" i="9"/>
  <c r="O276" i="9"/>
  <c r="N276" i="9"/>
  <c r="K276" i="9"/>
  <c r="H276" i="9"/>
  <c r="P275" i="9"/>
  <c r="O275" i="9"/>
  <c r="N275" i="9"/>
  <c r="K275" i="9"/>
  <c r="H275" i="9"/>
  <c r="P274" i="9"/>
  <c r="O274" i="9"/>
  <c r="K274" i="9"/>
  <c r="N274" i="9" s="1"/>
  <c r="H274" i="9"/>
  <c r="P273" i="9"/>
  <c r="O273" i="9"/>
  <c r="K273" i="9"/>
  <c r="N273" i="9" s="1"/>
  <c r="H273" i="9"/>
  <c r="P272" i="9"/>
  <c r="O272" i="9"/>
  <c r="N272" i="9"/>
  <c r="K272" i="9"/>
  <c r="H272" i="9"/>
  <c r="P271" i="9"/>
  <c r="O271" i="9"/>
  <c r="N271" i="9"/>
  <c r="K271" i="9"/>
  <c r="H271" i="9"/>
  <c r="P270" i="9"/>
  <c r="O270" i="9"/>
  <c r="K270" i="9"/>
  <c r="H270" i="9"/>
  <c r="P269" i="9"/>
  <c r="O269" i="9"/>
  <c r="K269" i="9"/>
  <c r="N269" i="9" s="1"/>
  <c r="H269" i="9"/>
  <c r="P268" i="9"/>
  <c r="O268" i="9"/>
  <c r="N268" i="9"/>
  <c r="K268" i="9"/>
  <c r="H268" i="9"/>
  <c r="P267" i="9"/>
  <c r="O267" i="9"/>
  <c r="N267" i="9"/>
  <c r="K267" i="9"/>
  <c r="H267" i="9"/>
  <c r="P266" i="9"/>
  <c r="O266" i="9"/>
  <c r="K266" i="9"/>
  <c r="N266" i="9" s="1"/>
  <c r="H266" i="9"/>
  <c r="P265" i="9"/>
  <c r="L265" i="9"/>
  <c r="O265" i="9" s="1"/>
  <c r="K265" i="9"/>
  <c r="N265" i="9" s="1"/>
  <c r="H265" i="9"/>
  <c r="P264" i="9"/>
  <c r="O264" i="9"/>
  <c r="N264" i="9"/>
  <c r="K264" i="9"/>
  <c r="H264" i="9"/>
  <c r="P263" i="9"/>
  <c r="O263" i="9"/>
  <c r="K263" i="9"/>
  <c r="H263" i="9"/>
  <c r="P262" i="9"/>
  <c r="O262" i="9"/>
  <c r="K262" i="9"/>
  <c r="N262" i="9" s="1"/>
  <c r="H262" i="9"/>
  <c r="P261" i="9"/>
  <c r="O261" i="9"/>
  <c r="N261" i="9"/>
  <c r="K261" i="9"/>
  <c r="H261" i="9"/>
  <c r="P260" i="9"/>
  <c r="O260" i="9"/>
  <c r="N260" i="9"/>
  <c r="K260" i="9"/>
  <c r="H260" i="9"/>
  <c r="P259" i="9"/>
  <c r="O259" i="9"/>
  <c r="K259" i="9"/>
  <c r="N259" i="9" s="1"/>
  <c r="H259" i="9"/>
  <c r="P258" i="9"/>
  <c r="O258" i="9"/>
  <c r="K258" i="9"/>
  <c r="N258" i="9" s="1"/>
  <c r="H258" i="9"/>
  <c r="P257" i="9"/>
  <c r="O257" i="9"/>
  <c r="N257" i="9"/>
  <c r="K257" i="9"/>
  <c r="H257" i="9"/>
  <c r="P256" i="9"/>
  <c r="O256" i="9"/>
  <c r="N256" i="9"/>
  <c r="K256" i="9"/>
  <c r="H256" i="9"/>
  <c r="P255" i="9"/>
  <c r="O255" i="9"/>
  <c r="K255" i="9"/>
  <c r="H255" i="9"/>
  <c r="P254" i="9"/>
  <c r="O254" i="9"/>
  <c r="K254" i="9"/>
  <c r="N254" i="9" s="1"/>
  <c r="H254" i="9"/>
  <c r="P253" i="9"/>
  <c r="O253" i="9"/>
  <c r="N253" i="9"/>
  <c r="K253" i="9"/>
  <c r="H253" i="9"/>
  <c r="P252" i="9"/>
  <c r="O252" i="9"/>
  <c r="N252" i="9"/>
  <c r="K252" i="9"/>
  <c r="H252" i="9"/>
  <c r="P251" i="9"/>
  <c r="O251" i="9"/>
  <c r="K251" i="9"/>
  <c r="N251" i="9" s="1"/>
  <c r="H251" i="9"/>
  <c r="P250" i="9"/>
  <c r="O250" i="9"/>
  <c r="K250" i="9"/>
  <c r="N250" i="9" s="1"/>
  <c r="H250" i="9"/>
  <c r="P249" i="9"/>
  <c r="O249" i="9"/>
  <c r="N249" i="9"/>
  <c r="K249" i="9"/>
  <c r="H249" i="9"/>
  <c r="P248" i="9"/>
  <c r="O248" i="9"/>
  <c r="N248" i="9"/>
  <c r="K248" i="9"/>
  <c r="H248" i="9"/>
  <c r="P247" i="9"/>
  <c r="O247" i="9"/>
  <c r="K247" i="9"/>
  <c r="H247" i="9"/>
  <c r="P246" i="9"/>
  <c r="O246" i="9"/>
  <c r="K246" i="9"/>
  <c r="N246" i="9" s="1"/>
  <c r="H246" i="9"/>
  <c r="P245" i="9"/>
  <c r="O245" i="9"/>
  <c r="N245" i="9"/>
  <c r="K245" i="9"/>
  <c r="H245" i="9"/>
  <c r="P244" i="9"/>
  <c r="O244" i="9"/>
  <c r="N244" i="9"/>
  <c r="K244" i="9"/>
  <c r="H244" i="9"/>
  <c r="P243" i="9"/>
  <c r="O243" i="9"/>
  <c r="K243" i="9"/>
  <c r="N243" i="9" s="1"/>
  <c r="H243" i="9"/>
  <c r="P242" i="9"/>
  <c r="O242" i="9"/>
  <c r="K242" i="9"/>
  <c r="N242" i="9" s="1"/>
  <c r="H242" i="9"/>
  <c r="P241" i="9"/>
  <c r="O241" i="9"/>
  <c r="N241" i="9"/>
  <c r="K241" i="9"/>
  <c r="H241" i="9"/>
  <c r="P240" i="9"/>
  <c r="O240" i="9"/>
  <c r="N240" i="9"/>
  <c r="K240" i="9"/>
  <c r="H240" i="9"/>
  <c r="P239" i="9"/>
  <c r="O239" i="9"/>
  <c r="K239" i="9"/>
  <c r="H239" i="9"/>
  <c r="P238" i="9"/>
  <c r="O238" i="9"/>
  <c r="K238" i="9"/>
  <c r="N238" i="9" s="1"/>
  <c r="H238" i="9"/>
  <c r="P237" i="9"/>
  <c r="O237" i="9"/>
  <c r="N237" i="9"/>
  <c r="K237" i="9"/>
  <c r="H237" i="9"/>
  <c r="P236" i="9"/>
  <c r="O236" i="9"/>
  <c r="N236" i="9"/>
  <c r="K236" i="9"/>
  <c r="H236" i="9"/>
  <c r="P235" i="9"/>
  <c r="O235" i="9"/>
  <c r="K235" i="9"/>
  <c r="N235" i="9" s="1"/>
  <c r="H235" i="9"/>
  <c r="P234" i="9"/>
  <c r="O234" i="9"/>
  <c r="K234" i="9"/>
  <c r="N234" i="9" s="1"/>
  <c r="H234" i="9"/>
  <c r="P233" i="9"/>
  <c r="O233" i="9"/>
  <c r="N233" i="9"/>
  <c r="K233" i="9"/>
  <c r="H233" i="9"/>
  <c r="P232" i="9"/>
  <c r="O232" i="9"/>
  <c r="N232" i="9"/>
  <c r="K232" i="9"/>
  <c r="H232" i="9"/>
  <c r="P231" i="9"/>
  <c r="O231" i="9"/>
  <c r="K231" i="9"/>
  <c r="H231" i="9"/>
  <c r="P230" i="9"/>
  <c r="O230" i="9"/>
  <c r="K230" i="9"/>
  <c r="N230" i="9" s="1"/>
  <c r="H230" i="9"/>
  <c r="P229" i="9"/>
  <c r="O229" i="9"/>
  <c r="N229" i="9"/>
  <c r="K229" i="9"/>
  <c r="H229" i="9"/>
  <c r="P228" i="9"/>
  <c r="O228" i="9"/>
  <c r="N228" i="9"/>
  <c r="K228" i="9"/>
  <c r="H228" i="9"/>
  <c r="P227" i="9"/>
  <c r="O227" i="9"/>
  <c r="K227" i="9"/>
  <c r="N227" i="9" s="1"/>
  <c r="H227" i="9"/>
  <c r="P226" i="9"/>
  <c r="O226" i="9"/>
  <c r="K226" i="9"/>
  <c r="N226" i="9" s="1"/>
  <c r="H226" i="9"/>
  <c r="P225" i="9"/>
  <c r="O225" i="9"/>
  <c r="N225" i="9"/>
  <c r="K225" i="9"/>
  <c r="H225" i="9"/>
  <c r="P224" i="9"/>
  <c r="O224" i="9"/>
  <c r="N224" i="9"/>
  <c r="K224" i="9"/>
  <c r="H224" i="9"/>
  <c r="P223" i="9"/>
  <c r="O223" i="9"/>
  <c r="K223" i="9"/>
  <c r="H223" i="9"/>
  <c r="P222" i="9"/>
  <c r="O222" i="9"/>
  <c r="K222" i="9"/>
  <c r="N222" i="9" s="1"/>
  <c r="H222" i="9"/>
  <c r="P221" i="9"/>
  <c r="N221" i="9"/>
  <c r="L221" i="9"/>
  <c r="O221" i="9" s="1"/>
  <c r="K221" i="9"/>
  <c r="H221" i="9"/>
  <c r="P220" i="9"/>
  <c r="O220" i="9"/>
  <c r="K220" i="9"/>
  <c r="H220" i="9"/>
  <c r="P219" i="9"/>
  <c r="O219" i="9"/>
  <c r="K219" i="9"/>
  <c r="N219" i="9" s="1"/>
  <c r="H219" i="9"/>
  <c r="P218" i="9"/>
  <c r="O218" i="9"/>
  <c r="N218" i="9"/>
  <c r="K218" i="9"/>
  <c r="H218" i="9"/>
  <c r="P217" i="9"/>
  <c r="O217" i="9"/>
  <c r="N217" i="9"/>
  <c r="K217" i="9"/>
  <c r="H217" i="9"/>
  <c r="P216" i="9"/>
  <c r="O216" i="9"/>
  <c r="K216" i="9"/>
  <c r="H216" i="9"/>
  <c r="P215" i="9"/>
  <c r="O215" i="9"/>
  <c r="K215" i="9"/>
  <c r="N215" i="9" s="1"/>
  <c r="H215" i="9"/>
  <c r="P214" i="9"/>
  <c r="O214" i="9"/>
  <c r="N214" i="9"/>
  <c r="K214" i="9"/>
  <c r="H214" i="9"/>
  <c r="P213" i="9"/>
  <c r="O213" i="9"/>
  <c r="N213" i="9"/>
  <c r="K213" i="9"/>
  <c r="H213" i="9"/>
  <c r="P212" i="9"/>
  <c r="O212" i="9"/>
  <c r="K212" i="9"/>
  <c r="H212" i="9"/>
  <c r="P211" i="9"/>
  <c r="O211" i="9"/>
  <c r="K211" i="9"/>
  <c r="N211" i="9" s="1"/>
  <c r="H211" i="9"/>
  <c r="P210" i="9"/>
  <c r="O210" i="9"/>
  <c r="N210" i="9"/>
  <c r="K210" i="9"/>
  <c r="H210" i="9"/>
  <c r="P209" i="9"/>
  <c r="O209" i="9"/>
  <c r="N209" i="9"/>
  <c r="K209" i="9"/>
  <c r="H209" i="9"/>
  <c r="P208" i="9"/>
  <c r="O208" i="9"/>
  <c r="K208" i="9"/>
  <c r="N208" i="9" s="1"/>
  <c r="H208" i="9"/>
  <c r="P207" i="9"/>
  <c r="O207" i="9"/>
  <c r="K207" i="9"/>
  <c r="N207" i="9" s="1"/>
  <c r="H207" i="9"/>
  <c r="P206" i="9"/>
  <c r="O206" i="9"/>
  <c r="N206" i="9"/>
  <c r="K206" i="9"/>
  <c r="H206" i="9"/>
  <c r="P205" i="9"/>
  <c r="O205" i="9"/>
  <c r="N205" i="9"/>
  <c r="K205" i="9"/>
  <c r="H205" i="9"/>
  <c r="P204" i="9"/>
  <c r="O204" i="9"/>
  <c r="K204" i="9"/>
  <c r="H204" i="9"/>
  <c r="P203" i="9"/>
  <c r="O203" i="9"/>
  <c r="K203" i="9"/>
  <c r="N203" i="9" s="1"/>
  <c r="H203" i="9"/>
  <c r="P202" i="9"/>
  <c r="O202" i="9"/>
  <c r="N202" i="9"/>
  <c r="K202" i="9"/>
  <c r="H202" i="9"/>
  <c r="P201" i="9"/>
  <c r="O201" i="9"/>
  <c r="N201" i="9"/>
  <c r="K201" i="9"/>
  <c r="H201" i="9"/>
  <c r="P200" i="9"/>
  <c r="O200" i="9"/>
  <c r="K200" i="9"/>
  <c r="N200" i="9" s="1"/>
  <c r="H200" i="9"/>
  <c r="P199" i="9"/>
  <c r="O199" i="9"/>
  <c r="K199" i="9"/>
  <c r="N199" i="9" s="1"/>
  <c r="H199" i="9"/>
  <c r="P198" i="9"/>
  <c r="O198" i="9"/>
  <c r="N198" i="9"/>
  <c r="K198" i="9"/>
  <c r="H198" i="9"/>
  <c r="P197" i="9"/>
  <c r="O197" i="9"/>
  <c r="N197" i="9"/>
  <c r="K197" i="9"/>
  <c r="H197" i="9"/>
  <c r="P196" i="9"/>
  <c r="O196" i="9"/>
  <c r="K196" i="9"/>
  <c r="H196" i="9"/>
  <c r="P195" i="9"/>
  <c r="O195" i="9"/>
  <c r="K195" i="9"/>
  <c r="N195" i="9" s="1"/>
  <c r="H195" i="9"/>
  <c r="P194" i="9"/>
  <c r="O194" i="9"/>
  <c r="N194" i="9"/>
  <c r="K194" i="9"/>
  <c r="H194" i="9"/>
  <c r="P193" i="9"/>
  <c r="O193" i="9"/>
  <c r="N193" i="9"/>
  <c r="K193" i="9"/>
  <c r="H193" i="9"/>
  <c r="P192" i="9"/>
  <c r="O192" i="9"/>
  <c r="K192" i="9"/>
  <c r="N192" i="9" s="1"/>
  <c r="H192" i="9"/>
  <c r="P191" i="9"/>
  <c r="O191" i="9"/>
  <c r="K191" i="9"/>
  <c r="N191" i="9" s="1"/>
  <c r="H191" i="9"/>
  <c r="P190" i="9"/>
  <c r="O190" i="9"/>
  <c r="N190" i="9"/>
  <c r="K190" i="9"/>
  <c r="H190" i="9"/>
  <c r="P189" i="9"/>
  <c r="O189" i="9"/>
  <c r="N189" i="9"/>
  <c r="K189" i="9"/>
  <c r="H189" i="9"/>
  <c r="P188" i="9"/>
  <c r="O188" i="9"/>
  <c r="K188" i="9"/>
  <c r="H188" i="9"/>
  <c r="P187" i="9"/>
  <c r="O187" i="9"/>
  <c r="K187" i="9"/>
  <c r="N187" i="9" s="1"/>
  <c r="H187" i="9"/>
  <c r="P186" i="9"/>
  <c r="O186" i="9"/>
  <c r="N186" i="9"/>
  <c r="K186" i="9"/>
  <c r="H186" i="9"/>
  <c r="P185" i="9"/>
  <c r="O185" i="9"/>
  <c r="N185" i="9"/>
  <c r="K185" i="9"/>
  <c r="H185" i="9"/>
  <c r="P184" i="9"/>
  <c r="O184" i="9"/>
  <c r="K184" i="9"/>
  <c r="N184" i="9" s="1"/>
  <c r="H184" i="9"/>
  <c r="P183" i="9"/>
  <c r="O183" i="9"/>
  <c r="K183" i="9"/>
  <c r="N183" i="9" s="1"/>
  <c r="H183" i="9"/>
  <c r="P182" i="9"/>
  <c r="O182" i="9"/>
  <c r="N182" i="9"/>
  <c r="K182" i="9"/>
  <c r="H182" i="9"/>
  <c r="P181" i="9"/>
  <c r="O181" i="9"/>
  <c r="N181" i="9"/>
  <c r="K181" i="9"/>
  <c r="H181" i="9"/>
  <c r="P180" i="9"/>
  <c r="O180" i="9"/>
  <c r="K180" i="9"/>
  <c r="H180" i="9"/>
  <c r="P179" i="9"/>
  <c r="O179" i="9"/>
  <c r="K179" i="9"/>
  <c r="N179" i="9" s="1"/>
  <c r="H179" i="9"/>
  <c r="P178" i="9"/>
  <c r="O178" i="9"/>
  <c r="N178" i="9"/>
  <c r="K178" i="9"/>
  <c r="H178" i="9"/>
  <c r="P177" i="9"/>
  <c r="O177" i="9"/>
  <c r="N177" i="9"/>
  <c r="K177" i="9"/>
  <c r="H177" i="9"/>
  <c r="P176" i="9"/>
  <c r="O176" i="9"/>
  <c r="K176" i="9"/>
  <c r="N176" i="9" s="1"/>
  <c r="H176" i="9"/>
  <c r="P175" i="9"/>
  <c r="O175" i="9"/>
  <c r="K175" i="9"/>
  <c r="N175" i="9" s="1"/>
  <c r="H175" i="9"/>
  <c r="P174" i="9"/>
  <c r="O174" i="9"/>
  <c r="K174" i="9"/>
  <c r="H174" i="9"/>
  <c r="N174" i="9" s="1"/>
  <c r="P173" i="9"/>
  <c r="O173" i="9"/>
  <c r="K173" i="9"/>
  <c r="N173" i="9" s="1"/>
  <c r="H173" i="9"/>
  <c r="P172" i="9"/>
  <c r="O172" i="9"/>
  <c r="K172" i="9"/>
  <c r="H172" i="9"/>
  <c r="N172" i="9" s="1"/>
  <c r="P171" i="9"/>
  <c r="O171" i="9"/>
  <c r="K171" i="9"/>
  <c r="N171" i="9" s="1"/>
  <c r="H171" i="9"/>
  <c r="P170" i="9"/>
  <c r="O170" i="9"/>
  <c r="N170" i="9"/>
  <c r="K170" i="9"/>
  <c r="H170" i="9"/>
  <c r="P169" i="9"/>
  <c r="O169" i="9"/>
  <c r="K169" i="9"/>
  <c r="N169" i="9" s="1"/>
  <c r="H169" i="9"/>
  <c r="P168" i="9"/>
  <c r="O168" i="9"/>
  <c r="N168" i="9"/>
  <c r="K168" i="9"/>
  <c r="H168" i="9"/>
  <c r="P167" i="9"/>
  <c r="O167" i="9"/>
  <c r="K167" i="9"/>
  <c r="N167" i="9" s="1"/>
  <c r="H167" i="9"/>
  <c r="P166" i="9"/>
  <c r="O166" i="9"/>
  <c r="K166" i="9"/>
  <c r="H166" i="9"/>
  <c r="N166" i="9" s="1"/>
  <c r="P165" i="9"/>
  <c r="O165" i="9"/>
  <c r="K165" i="9"/>
  <c r="N165" i="9" s="1"/>
  <c r="H165" i="9"/>
  <c r="P164" i="9"/>
  <c r="O164" i="9"/>
  <c r="K164" i="9"/>
  <c r="H164" i="9"/>
  <c r="N164" i="9" s="1"/>
  <c r="P163" i="9"/>
  <c r="O163" i="9"/>
  <c r="K163" i="9"/>
  <c r="N163" i="9" s="1"/>
  <c r="H163" i="9"/>
  <c r="P162" i="9"/>
  <c r="O162" i="9"/>
  <c r="N162" i="9"/>
  <c r="K162" i="9"/>
  <c r="H162" i="9"/>
  <c r="P161" i="9"/>
  <c r="O161" i="9"/>
  <c r="K161" i="9"/>
  <c r="N161" i="9" s="1"/>
  <c r="H161" i="9"/>
  <c r="P160" i="9"/>
  <c r="O160" i="9"/>
  <c r="N160" i="9"/>
  <c r="K160" i="9"/>
  <c r="H160" i="9"/>
  <c r="P159" i="9"/>
  <c r="O159" i="9"/>
  <c r="K159" i="9"/>
  <c r="N159" i="9" s="1"/>
  <c r="H159" i="9"/>
  <c r="P158" i="9"/>
  <c r="O158" i="9"/>
  <c r="K158" i="9"/>
  <c r="H158" i="9"/>
  <c r="N158" i="9" s="1"/>
  <c r="P157" i="9"/>
  <c r="O157" i="9"/>
  <c r="K157" i="9"/>
  <c r="N157" i="9" s="1"/>
  <c r="H157" i="9"/>
  <c r="P156" i="9"/>
  <c r="O156" i="9"/>
  <c r="K156" i="9"/>
  <c r="H156" i="9"/>
  <c r="N156" i="9" s="1"/>
  <c r="P155" i="9"/>
  <c r="O155" i="9"/>
  <c r="K155" i="9"/>
  <c r="N155" i="9" s="1"/>
  <c r="H155" i="9"/>
  <c r="P154" i="9"/>
  <c r="O154" i="9"/>
  <c r="N154" i="9"/>
  <c r="K154" i="9"/>
  <c r="H154" i="9"/>
  <c r="P153" i="9"/>
  <c r="O153" i="9"/>
  <c r="K153" i="9"/>
  <c r="N153" i="9" s="1"/>
  <c r="H153" i="9"/>
  <c r="P152" i="9"/>
  <c r="O152" i="9"/>
  <c r="N152" i="9"/>
  <c r="K152" i="9"/>
  <c r="H152" i="9"/>
  <c r="P151" i="9"/>
  <c r="O151" i="9"/>
  <c r="K151" i="9"/>
  <c r="N151" i="9" s="1"/>
  <c r="H151" i="9"/>
  <c r="P150" i="9"/>
  <c r="O150" i="9"/>
  <c r="K150" i="9"/>
  <c r="H150" i="9"/>
  <c r="N150" i="9" s="1"/>
  <c r="P149" i="9"/>
  <c r="O149" i="9"/>
  <c r="K149" i="9"/>
  <c r="N149" i="9" s="1"/>
  <c r="H149" i="9"/>
  <c r="P148" i="9"/>
  <c r="O148" i="9"/>
  <c r="K148" i="9"/>
  <c r="H148" i="9"/>
  <c r="N148" i="9" s="1"/>
  <c r="P147" i="9"/>
  <c r="O147" i="9"/>
  <c r="K147" i="9"/>
  <c r="N147" i="9" s="1"/>
  <c r="H147" i="9"/>
  <c r="P146" i="9"/>
  <c r="O146" i="9"/>
  <c r="N146" i="9"/>
  <c r="K146" i="9"/>
  <c r="H146" i="9"/>
  <c r="P145" i="9"/>
  <c r="O145" i="9"/>
  <c r="K145" i="9"/>
  <c r="N145" i="9" s="1"/>
  <c r="H145" i="9"/>
  <c r="P144" i="9"/>
  <c r="O144" i="9"/>
  <c r="N144" i="9"/>
  <c r="K144" i="9"/>
  <c r="H144" i="9"/>
  <c r="P143" i="9"/>
  <c r="O143" i="9"/>
  <c r="K143" i="9"/>
  <c r="N143" i="9" s="1"/>
  <c r="H143" i="9"/>
  <c r="P142" i="9"/>
  <c r="O142" i="9"/>
  <c r="K142" i="9"/>
  <c r="H142" i="9"/>
  <c r="N142" i="9" s="1"/>
  <c r="P141" i="9"/>
  <c r="O141" i="9"/>
  <c r="K141" i="9"/>
  <c r="N141" i="9" s="1"/>
  <c r="H141" i="9"/>
  <c r="P140" i="9"/>
  <c r="O140" i="9"/>
  <c r="K140" i="9"/>
  <c r="H140" i="9"/>
  <c r="N140" i="9" s="1"/>
  <c r="P139" i="9"/>
  <c r="O139" i="9"/>
  <c r="K139" i="9"/>
  <c r="N139" i="9" s="1"/>
  <c r="H139" i="9"/>
  <c r="P138" i="9"/>
  <c r="O138" i="9"/>
  <c r="N138" i="9"/>
  <c r="K138" i="9"/>
  <c r="H138" i="9"/>
  <c r="P137" i="9"/>
  <c r="O137" i="9"/>
  <c r="K137" i="9"/>
  <c r="N137" i="9" s="1"/>
  <c r="H137" i="9"/>
  <c r="P136" i="9"/>
  <c r="O136" i="9"/>
  <c r="N136" i="9"/>
  <c r="K136" i="9"/>
  <c r="H136" i="9"/>
  <c r="P135" i="9"/>
  <c r="O135" i="9"/>
  <c r="K135" i="9"/>
  <c r="N135" i="9" s="1"/>
  <c r="H135" i="9"/>
  <c r="P134" i="9"/>
  <c r="O134" i="9"/>
  <c r="K134" i="9"/>
  <c r="H134" i="9"/>
  <c r="N134" i="9" s="1"/>
  <c r="P133" i="9"/>
  <c r="O133" i="9"/>
  <c r="K133" i="9"/>
  <c r="N133" i="9" s="1"/>
  <c r="H133" i="9"/>
  <c r="P132" i="9"/>
  <c r="O132" i="9"/>
  <c r="K132" i="9"/>
  <c r="H132" i="9"/>
  <c r="N132" i="9" s="1"/>
  <c r="P131" i="9"/>
  <c r="O131" i="9"/>
  <c r="K131" i="9"/>
  <c r="N131" i="9" s="1"/>
  <c r="H131" i="9"/>
  <c r="P130" i="9"/>
  <c r="O130" i="9"/>
  <c r="N130" i="9"/>
  <c r="K130" i="9"/>
  <c r="H130" i="9"/>
  <c r="P129" i="9"/>
  <c r="O129" i="9"/>
  <c r="K129" i="9"/>
  <c r="N129" i="9" s="1"/>
  <c r="H129" i="9"/>
  <c r="P128" i="9"/>
  <c r="O128" i="9"/>
  <c r="N128" i="9"/>
  <c r="K128" i="9"/>
  <c r="H128" i="9"/>
  <c r="P127" i="9"/>
  <c r="O127" i="9"/>
  <c r="K127" i="9"/>
  <c r="N127" i="9" s="1"/>
  <c r="H127" i="9"/>
  <c r="P126" i="9"/>
  <c r="O126" i="9"/>
  <c r="K126" i="9"/>
  <c r="H126" i="9"/>
  <c r="N126" i="9" s="1"/>
  <c r="P125" i="9"/>
  <c r="O125" i="9"/>
  <c r="K125" i="9"/>
  <c r="N125" i="9" s="1"/>
  <c r="H125" i="9"/>
  <c r="P124" i="9"/>
  <c r="O124" i="9"/>
  <c r="K124" i="9"/>
  <c r="H124" i="9"/>
  <c r="N124" i="9" s="1"/>
  <c r="P123" i="9"/>
  <c r="O123" i="9"/>
  <c r="K123" i="9"/>
  <c r="N123" i="9" s="1"/>
  <c r="H123" i="9"/>
  <c r="P122" i="9"/>
  <c r="O122" i="9"/>
  <c r="N122" i="9"/>
  <c r="K122" i="9"/>
  <c r="H122" i="9"/>
  <c r="P121" i="9"/>
  <c r="O121" i="9"/>
  <c r="K121" i="9"/>
  <c r="N121" i="9" s="1"/>
  <c r="H121" i="9"/>
  <c r="P120" i="9"/>
  <c r="O120" i="9"/>
  <c r="N120" i="9"/>
  <c r="K120" i="9"/>
  <c r="H120" i="9"/>
  <c r="P119" i="9"/>
  <c r="O119" i="9"/>
  <c r="K119" i="9"/>
  <c r="N119" i="9" s="1"/>
  <c r="H119" i="9"/>
  <c r="P118" i="9"/>
  <c r="O118" i="9"/>
  <c r="K118" i="9"/>
  <c r="H118" i="9"/>
  <c r="N118" i="9" s="1"/>
  <c r="P117" i="9"/>
  <c r="O117" i="9"/>
  <c r="K117" i="9"/>
  <c r="N117" i="9" s="1"/>
  <c r="H117" i="9"/>
  <c r="P116" i="9"/>
  <c r="O116" i="9"/>
  <c r="K116" i="9"/>
  <c r="H116" i="9"/>
  <c r="N116" i="9" s="1"/>
  <c r="P115" i="9"/>
  <c r="O115" i="9"/>
  <c r="K115" i="9"/>
  <c r="N115" i="9" s="1"/>
  <c r="H115" i="9"/>
  <c r="P114" i="9"/>
  <c r="O114" i="9"/>
  <c r="N114" i="9"/>
  <c r="K114" i="9"/>
  <c r="H114" i="9"/>
  <c r="P113" i="9"/>
  <c r="O113" i="9"/>
  <c r="K113" i="9"/>
  <c r="N113" i="9" s="1"/>
  <c r="H113" i="9"/>
  <c r="P112" i="9"/>
  <c r="O112" i="9"/>
  <c r="N112" i="9"/>
  <c r="K112" i="9"/>
  <c r="H112" i="9"/>
  <c r="P111" i="9"/>
  <c r="O111" i="9"/>
  <c r="K111" i="9"/>
  <c r="N111" i="9" s="1"/>
  <c r="H111" i="9"/>
  <c r="P110" i="9"/>
  <c r="O110" i="9"/>
  <c r="K110" i="9"/>
  <c r="H110" i="9"/>
  <c r="N110" i="9" s="1"/>
  <c r="P109" i="9"/>
  <c r="O109" i="9"/>
  <c r="K109" i="9"/>
  <c r="N109" i="9" s="1"/>
  <c r="H109" i="9"/>
  <c r="P108" i="9"/>
  <c r="O108" i="9"/>
  <c r="K108" i="9"/>
  <c r="H108" i="9"/>
  <c r="N108" i="9" s="1"/>
  <c r="P107" i="9"/>
  <c r="O107" i="9"/>
  <c r="K107" i="9"/>
  <c r="N107" i="9" s="1"/>
  <c r="H107" i="9"/>
  <c r="P106" i="9"/>
  <c r="O106" i="9"/>
  <c r="N106" i="9"/>
  <c r="K106" i="9"/>
  <c r="H106" i="9"/>
  <c r="P105" i="9"/>
  <c r="O105" i="9"/>
  <c r="K105" i="9"/>
  <c r="N105" i="9" s="1"/>
  <c r="H105" i="9"/>
  <c r="P104" i="9"/>
  <c r="O104" i="9"/>
  <c r="N104" i="9"/>
  <c r="K104" i="9"/>
  <c r="H104" i="9"/>
  <c r="P103" i="9"/>
  <c r="O103" i="9"/>
  <c r="K103" i="9"/>
  <c r="N103" i="9" s="1"/>
  <c r="H103" i="9"/>
  <c r="P102" i="9"/>
  <c r="O102" i="9"/>
  <c r="K102" i="9"/>
  <c r="H102" i="9"/>
  <c r="N102" i="9" s="1"/>
  <c r="P101" i="9"/>
  <c r="O101" i="9"/>
  <c r="K101" i="9"/>
  <c r="N101" i="9" s="1"/>
  <c r="H101" i="9"/>
  <c r="P100" i="9"/>
  <c r="O100" i="9"/>
  <c r="K100" i="9"/>
  <c r="H100" i="9"/>
  <c r="N100" i="9" s="1"/>
  <c r="P99" i="9"/>
  <c r="O99" i="9"/>
  <c r="K99" i="9"/>
  <c r="N99" i="9" s="1"/>
  <c r="H99" i="9"/>
  <c r="P98" i="9"/>
  <c r="O98" i="9"/>
  <c r="N98" i="9"/>
  <c r="K98" i="9"/>
  <c r="H98" i="9"/>
  <c r="P97" i="9"/>
  <c r="O97" i="9"/>
  <c r="K97" i="9"/>
  <c r="N97" i="9" s="1"/>
  <c r="H97" i="9"/>
  <c r="P96" i="9"/>
  <c r="O96" i="9"/>
  <c r="N96" i="9"/>
  <c r="K96" i="9"/>
  <c r="H96" i="9"/>
  <c r="P95" i="9"/>
  <c r="O95" i="9"/>
  <c r="K95" i="9"/>
  <c r="N95" i="9" s="1"/>
  <c r="H95" i="9"/>
  <c r="P94" i="9"/>
  <c r="O94" i="9"/>
  <c r="K94" i="9"/>
  <c r="H94" i="9"/>
  <c r="N94" i="9" s="1"/>
  <c r="P93" i="9"/>
  <c r="O93" i="9"/>
  <c r="K93" i="9"/>
  <c r="N93" i="9" s="1"/>
  <c r="H93" i="9"/>
  <c r="P92" i="9"/>
  <c r="O92" i="9"/>
  <c r="K92" i="9"/>
  <c r="H92" i="9"/>
  <c r="N92" i="9" s="1"/>
  <c r="P91" i="9"/>
  <c r="O91" i="9"/>
  <c r="K91" i="9"/>
  <c r="N91" i="9" s="1"/>
  <c r="H91" i="9"/>
  <c r="P90" i="9"/>
  <c r="O90" i="9"/>
  <c r="N90" i="9"/>
  <c r="K90" i="9"/>
  <c r="H90" i="9"/>
  <c r="P89" i="9"/>
  <c r="O89" i="9"/>
  <c r="K89" i="9"/>
  <c r="N89" i="9" s="1"/>
  <c r="H89" i="9"/>
  <c r="P88" i="9"/>
  <c r="O88" i="9"/>
  <c r="N88" i="9"/>
  <c r="K88" i="9"/>
  <c r="H88" i="9"/>
  <c r="P87" i="9"/>
  <c r="O87" i="9"/>
  <c r="K87" i="9"/>
  <c r="N87" i="9" s="1"/>
  <c r="H87" i="9"/>
  <c r="P86" i="9"/>
  <c r="O86" i="9"/>
  <c r="K86" i="9"/>
  <c r="H86" i="9"/>
  <c r="N86" i="9" s="1"/>
  <c r="P85" i="9"/>
  <c r="O85" i="9"/>
  <c r="K85" i="9"/>
  <c r="N85" i="9" s="1"/>
  <c r="H85" i="9"/>
  <c r="P84" i="9"/>
  <c r="O84" i="9"/>
  <c r="K84" i="9"/>
  <c r="H84" i="9"/>
  <c r="N84" i="9" s="1"/>
  <c r="P83" i="9"/>
  <c r="O83" i="9"/>
  <c r="K83" i="9"/>
  <c r="N83" i="9" s="1"/>
  <c r="H83" i="9"/>
  <c r="P82" i="9"/>
  <c r="O82" i="9"/>
  <c r="N82" i="9"/>
  <c r="K82" i="9"/>
  <c r="H82" i="9"/>
  <c r="P81" i="9"/>
  <c r="O81" i="9"/>
  <c r="K81" i="9"/>
  <c r="N81" i="9" s="1"/>
  <c r="H81" i="9"/>
  <c r="P80" i="9"/>
  <c r="O80" i="9"/>
  <c r="N80" i="9"/>
  <c r="K80" i="9"/>
  <c r="H80" i="9"/>
  <c r="P79" i="9"/>
  <c r="O79" i="9"/>
  <c r="K79" i="9"/>
  <c r="N79" i="9" s="1"/>
  <c r="H79" i="9"/>
  <c r="P78" i="9"/>
  <c r="O78" i="9"/>
  <c r="K78" i="9"/>
  <c r="H78" i="9"/>
  <c r="N78" i="9" s="1"/>
  <c r="P77" i="9"/>
  <c r="O77" i="9"/>
  <c r="K77" i="9"/>
  <c r="N77" i="9" s="1"/>
  <c r="H77" i="9"/>
  <c r="P76" i="9"/>
  <c r="O76" i="9"/>
  <c r="K76" i="9"/>
  <c r="H76" i="9"/>
  <c r="N76" i="9" s="1"/>
  <c r="P75" i="9"/>
  <c r="O75" i="9"/>
  <c r="K75" i="9"/>
  <c r="N75" i="9" s="1"/>
  <c r="H75" i="9"/>
  <c r="P74" i="9"/>
  <c r="O74" i="9"/>
  <c r="N74" i="9"/>
  <c r="K74" i="9"/>
  <c r="H74" i="9"/>
  <c r="P73" i="9"/>
  <c r="O73" i="9"/>
  <c r="K73" i="9"/>
  <c r="N73" i="9" s="1"/>
  <c r="H73" i="9"/>
  <c r="P72" i="9"/>
  <c r="O72" i="9"/>
  <c r="N72" i="9"/>
  <c r="K72" i="9"/>
  <c r="H72" i="9"/>
  <c r="P71" i="9"/>
  <c r="O71" i="9"/>
  <c r="K71" i="9"/>
  <c r="N71" i="9" s="1"/>
  <c r="H71" i="9"/>
  <c r="P70" i="9"/>
  <c r="O70" i="9"/>
  <c r="K70" i="9"/>
  <c r="H70" i="9"/>
  <c r="N70" i="9" s="1"/>
  <c r="P69" i="9"/>
  <c r="O69" i="9"/>
  <c r="K69" i="9"/>
  <c r="N69" i="9" s="1"/>
  <c r="H69" i="9"/>
  <c r="P68" i="9"/>
  <c r="O68" i="9"/>
  <c r="K68" i="9"/>
  <c r="H68" i="9"/>
  <c r="N68" i="9" s="1"/>
  <c r="P67" i="9"/>
  <c r="O67" i="9"/>
  <c r="K67" i="9"/>
  <c r="N67" i="9" s="1"/>
  <c r="H67" i="9"/>
  <c r="P66" i="9"/>
  <c r="O66" i="9"/>
  <c r="N66" i="9"/>
  <c r="K66" i="9"/>
  <c r="H66" i="9"/>
  <c r="P65" i="9"/>
  <c r="O65" i="9"/>
  <c r="K65" i="9"/>
  <c r="N65" i="9" s="1"/>
  <c r="H65" i="9"/>
  <c r="P64" i="9"/>
  <c r="O64" i="9"/>
  <c r="N64" i="9"/>
  <c r="K64" i="9"/>
  <c r="H64" i="9"/>
  <c r="P63" i="9"/>
  <c r="O63" i="9"/>
  <c r="K63" i="9"/>
  <c r="N63" i="9" s="1"/>
  <c r="H63" i="9"/>
  <c r="P62" i="9"/>
  <c r="O62" i="9"/>
  <c r="K62" i="9"/>
  <c r="H62" i="9"/>
  <c r="N62" i="9" s="1"/>
  <c r="P61" i="9"/>
  <c r="O61" i="9"/>
  <c r="K61" i="9"/>
  <c r="N61" i="9" s="1"/>
  <c r="H61" i="9"/>
  <c r="P60" i="9"/>
  <c r="O60" i="9"/>
  <c r="K60" i="9"/>
  <c r="H60" i="9"/>
  <c r="N60" i="9" s="1"/>
  <c r="P59" i="9"/>
  <c r="O59" i="9"/>
  <c r="K59" i="9"/>
  <c r="N59" i="9" s="1"/>
  <c r="H59" i="9"/>
  <c r="P58" i="9"/>
  <c r="O58" i="9"/>
  <c r="N58" i="9"/>
  <c r="K58" i="9"/>
  <c r="H58" i="9"/>
  <c r="P57" i="9"/>
  <c r="O57" i="9"/>
  <c r="K57" i="9"/>
  <c r="N57" i="9" s="1"/>
  <c r="H57" i="9"/>
  <c r="P56" i="9"/>
  <c r="O56" i="9"/>
  <c r="N56" i="9"/>
  <c r="K56" i="9"/>
  <c r="H56" i="9"/>
  <c r="P55" i="9"/>
  <c r="O55" i="9"/>
  <c r="K55" i="9"/>
  <c r="N55" i="9" s="1"/>
  <c r="H55" i="9"/>
  <c r="P54" i="9"/>
  <c r="O54" i="9"/>
  <c r="K54" i="9"/>
  <c r="H54" i="9"/>
  <c r="N54" i="9" s="1"/>
  <c r="P53" i="9"/>
  <c r="O53" i="9"/>
  <c r="K53" i="9"/>
  <c r="N53" i="9" s="1"/>
  <c r="H53" i="9"/>
  <c r="P52" i="9"/>
  <c r="O52" i="9"/>
  <c r="K52" i="9"/>
  <c r="H52" i="9"/>
  <c r="N52" i="9" s="1"/>
  <c r="P51" i="9"/>
  <c r="O51" i="9"/>
  <c r="K51" i="9"/>
  <c r="N51" i="9" s="1"/>
  <c r="H51" i="9"/>
  <c r="P50" i="9"/>
  <c r="O50" i="9"/>
  <c r="N50" i="9"/>
  <c r="K50" i="9"/>
  <c r="H50" i="9"/>
  <c r="P49" i="9"/>
  <c r="O49" i="9"/>
  <c r="K49" i="9"/>
  <c r="N49" i="9" s="1"/>
  <c r="H49" i="9"/>
  <c r="P48" i="9"/>
  <c r="O48" i="9"/>
  <c r="N48" i="9"/>
  <c r="K48" i="9"/>
  <c r="H48" i="9"/>
  <c r="P47" i="9"/>
  <c r="O47" i="9"/>
  <c r="K47" i="9"/>
  <c r="N47" i="9" s="1"/>
  <c r="H47" i="9"/>
  <c r="P46" i="9"/>
  <c r="O46" i="9"/>
  <c r="K46" i="9"/>
  <c r="H46" i="9"/>
  <c r="N46" i="9" s="1"/>
  <c r="P45" i="9"/>
  <c r="O45" i="9"/>
  <c r="K45" i="9"/>
  <c r="N45" i="9" s="1"/>
  <c r="H45" i="9"/>
  <c r="P44" i="9"/>
  <c r="O44" i="9"/>
  <c r="K44" i="9"/>
  <c r="H44" i="9"/>
  <c r="N44" i="9" s="1"/>
  <c r="P43" i="9"/>
  <c r="O43" i="9"/>
  <c r="K43" i="9"/>
  <c r="N43" i="9" s="1"/>
  <c r="H43" i="9"/>
  <c r="P42" i="9"/>
  <c r="O42" i="9"/>
  <c r="N42" i="9"/>
  <c r="K42" i="9"/>
  <c r="H42" i="9"/>
  <c r="P41" i="9"/>
  <c r="O41" i="9"/>
  <c r="K41" i="9"/>
  <c r="N41" i="9" s="1"/>
  <c r="H41" i="9"/>
  <c r="P40" i="9"/>
  <c r="O40" i="9"/>
  <c r="N40" i="9"/>
  <c r="K40" i="9"/>
  <c r="H40" i="9"/>
  <c r="P39" i="9"/>
  <c r="O39" i="9"/>
  <c r="K39" i="9"/>
  <c r="N39" i="9" s="1"/>
  <c r="H39" i="9"/>
  <c r="P38" i="9"/>
  <c r="O38" i="9"/>
  <c r="K38" i="9"/>
  <c r="H38" i="9"/>
  <c r="N38" i="9" s="1"/>
  <c r="P37" i="9"/>
  <c r="O37" i="9"/>
  <c r="K37" i="9"/>
  <c r="N37" i="9" s="1"/>
  <c r="H37" i="9"/>
  <c r="P36" i="9"/>
  <c r="O36" i="9"/>
  <c r="K36" i="9"/>
  <c r="H36" i="9"/>
  <c r="N36" i="9" s="1"/>
  <c r="P35" i="9"/>
  <c r="O35" i="9"/>
  <c r="K35" i="9"/>
  <c r="N35" i="9" s="1"/>
  <c r="H35" i="9"/>
  <c r="P34" i="9"/>
  <c r="O34" i="9"/>
  <c r="N34" i="9"/>
  <c r="K34" i="9"/>
  <c r="H34" i="9"/>
  <c r="P33" i="9"/>
  <c r="O33" i="9"/>
  <c r="K33" i="9"/>
  <c r="N33" i="9" s="1"/>
  <c r="H33" i="9"/>
  <c r="P32" i="9"/>
  <c r="O32" i="9"/>
  <c r="N32" i="9"/>
  <c r="K32" i="9"/>
  <c r="H32" i="9"/>
  <c r="P31" i="9"/>
  <c r="O31" i="9"/>
  <c r="K31" i="9"/>
  <c r="N31" i="9" s="1"/>
  <c r="H31" i="9"/>
  <c r="P30" i="9"/>
  <c r="O30" i="9"/>
  <c r="K30" i="9"/>
  <c r="H30" i="9"/>
  <c r="N30" i="9" s="1"/>
  <c r="P29" i="9"/>
  <c r="O29" i="9"/>
  <c r="K29" i="9"/>
  <c r="N29" i="9" s="1"/>
  <c r="H29" i="9"/>
  <c r="P28" i="9"/>
  <c r="O28" i="9"/>
  <c r="K28" i="9"/>
  <c r="H28" i="9"/>
  <c r="N28" i="9" s="1"/>
  <c r="P27" i="9"/>
  <c r="O27" i="9"/>
  <c r="K27" i="9"/>
  <c r="N27" i="9" s="1"/>
  <c r="H27" i="9"/>
  <c r="P26" i="9"/>
  <c r="O26" i="9"/>
  <c r="N26" i="9"/>
  <c r="K26" i="9"/>
  <c r="H26" i="9"/>
  <c r="P25" i="9"/>
  <c r="O25" i="9"/>
  <c r="K25" i="9"/>
  <c r="N25" i="9" s="1"/>
  <c r="H25" i="9"/>
  <c r="P24" i="9"/>
  <c r="O24" i="9"/>
  <c r="N24" i="9"/>
  <c r="K24" i="9"/>
  <c r="H24" i="9"/>
  <c r="P23" i="9"/>
  <c r="O23" i="9"/>
  <c r="K23" i="9"/>
  <c r="N23" i="9" s="1"/>
  <c r="H23" i="9"/>
  <c r="P22" i="9"/>
  <c r="O22" i="9"/>
  <c r="K22" i="9"/>
  <c r="H22" i="9"/>
  <c r="N22" i="9" s="1"/>
  <c r="P21" i="9"/>
  <c r="O21" i="9"/>
  <c r="K21" i="9"/>
  <c r="N21" i="9" s="1"/>
  <c r="H21" i="9"/>
  <c r="P20" i="9"/>
  <c r="O20" i="9"/>
  <c r="K20" i="9"/>
  <c r="H20" i="9"/>
  <c r="N20" i="9" s="1"/>
  <c r="P19" i="9"/>
  <c r="O19" i="9"/>
  <c r="K19" i="9"/>
  <c r="N19" i="9" s="1"/>
  <c r="H19" i="9"/>
  <c r="P18" i="9"/>
  <c r="O18" i="9"/>
  <c r="N18" i="9"/>
  <c r="K18" i="9"/>
  <c r="H18" i="9"/>
  <c r="T17" i="9"/>
  <c r="P17" i="9"/>
  <c r="O17" i="9"/>
  <c r="K17" i="9"/>
  <c r="H17" i="9"/>
  <c r="N17" i="9" s="1"/>
  <c r="P16" i="9"/>
  <c r="O16" i="9"/>
  <c r="K16" i="9"/>
  <c r="H16" i="9"/>
  <c r="N16" i="9" s="1"/>
  <c r="T15" i="9"/>
  <c r="P15" i="9"/>
  <c r="O15" i="9"/>
  <c r="N15" i="9"/>
  <c r="K15" i="9"/>
  <c r="H15" i="9"/>
  <c r="P14" i="9"/>
  <c r="O14" i="9"/>
  <c r="K14" i="9"/>
  <c r="N14" i="9" s="1"/>
  <c r="H14" i="9"/>
  <c r="P13" i="9"/>
  <c r="O13" i="9"/>
  <c r="K13" i="9"/>
  <c r="H13" i="9"/>
  <c r="N13" i="9" s="1"/>
  <c r="P12" i="9"/>
  <c r="O12" i="9"/>
  <c r="K12" i="9"/>
  <c r="N12" i="9" s="1"/>
  <c r="H12" i="9"/>
  <c r="P11" i="9"/>
  <c r="O11" i="9"/>
  <c r="K11" i="9"/>
  <c r="H11" i="9"/>
  <c r="N11" i="9" s="1"/>
  <c r="P10" i="9"/>
  <c r="O10" i="9"/>
  <c r="K10" i="9"/>
  <c r="N10" i="9" s="1"/>
  <c r="H10" i="9"/>
  <c r="P9" i="9"/>
  <c r="O9" i="9"/>
  <c r="N9" i="9"/>
  <c r="K9" i="9"/>
  <c r="H9" i="9"/>
  <c r="P8" i="9"/>
  <c r="O8" i="9"/>
  <c r="K8" i="9"/>
  <c r="N8" i="9" s="1"/>
  <c r="H8" i="9"/>
  <c r="P7" i="9"/>
  <c r="O7" i="9"/>
  <c r="N7" i="9"/>
  <c r="K7" i="9"/>
  <c r="H7" i="9"/>
  <c r="P6" i="9"/>
  <c r="O6" i="9"/>
  <c r="K6" i="9"/>
  <c r="H6" i="9"/>
  <c r="P343" i="7"/>
  <c r="O343" i="7"/>
  <c r="K343" i="7"/>
  <c r="H343" i="7"/>
  <c r="N343" i="7" s="1"/>
  <c r="P342" i="7"/>
  <c r="O342" i="7"/>
  <c r="K342" i="7"/>
  <c r="N342" i="7" s="1"/>
  <c r="H342" i="7"/>
  <c r="P341" i="7"/>
  <c r="O341" i="7"/>
  <c r="N341" i="7"/>
  <c r="K341" i="7"/>
  <c r="H341" i="7"/>
  <c r="P340" i="7"/>
  <c r="O340" i="7"/>
  <c r="K340" i="7"/>
  <c r="N340" i="7" s="1"/>
  <c r="H340" i="7"/>
  <c r="Q339" i="7"/>
  <c r="P339" i="7"/>
  <c r="O339" i="7"/>
  <c r="K339" i="7"/>
  <c r="N339" i="7" s="1"/>
  <c r="H339" i="7"/>
  <c r="P338" i="7"/>
  <c r="O338" i="7"/>
  <c r="N338" i="7"/>
  <c r="K338" i="7"/>
  <c r="H338" i="7"/>
  <c r="P337" i="7"/>
  <c r="O337" i="7"/>
  <c r="K337" i="7"/>
  <c r="N337" i="7" s="1"/>
  <c r="H337" i="7"/>
  <c r="P336" i="7"/>
  <c r="O336" i="7"/>
  <c r="K336" i="7"/>
  <c r="H336" i="7"/>
  <c r="N336" i="7" s="1"/>
  <c r="P335" i="7"/>
  <c r="O335" i="7"/>
  <c r="K335" i="7"/>
  <c r="N335" i="7" s="1"/>
  <c r="H335" i="7"/>
  <c r="Q334" i="7"/>
  <c r="P334" i="7"/>
  <c r="O334" i="7"/>
  <c r="K334" i="7"/>
  <c r="N334" i="7" s="1"/>
  <c r="H334" i="7"/>
  <c r="P333" i="7"/>
  <c r="O333" i="7"/>
  <c r="N333" i="7"/>
  <c r="K333" i="7"/>
  <c r="H333" i="7"/>
  <c r="P332" i="7"/>
  <c r="O332" i="7"/>
  <c r="K332" i="7"/>
  <c r="N332" i="7" s="1"/>
  <c r="H332" i="7"/>
  <c r="P331" i="7"/>
  <c r="O331" i="7"/>
  <c r="K331" i="7"/>
  <c r="H331" i="7"/>
  <c r="N331" i="7" s="1"/>
  <c r="P330" i="7"/>
  <c r="O330" i="7"/>
  <c r="K330" i="7"/>
  <c r="N330" i="7" s="1"/>
  <c r="H330" i="7"/>
  <c r="Q329" i="7"/>
  <c r="P329" i="7"/>
  <c r="O329" i="7"/>
  <c r="K329" i="7"/>
  <c r="N329" i="7" s="1"/>
  <c r="H329" i="7"/>
  <c r="P328" i="7"/>
  <c r="O328" i="7"/>
  <c r="K328" i="7"/>
  <c r="H328" i="7"/>
  <c r="N328" i="7" s="1"/>
  <c r="P327" i="7"/>
  <c r="O327" i="7"/>
  <c r="K327" i="7"/>
  <c r="N327" i="7" s="1"/>
  <c r="H327" i="7"/>
  <c r="P326" i="7"/>
  <c r="O326" i="7"/>
  <c r="N326" i="7"/>
  <c r="K326" i="7"/>
  <c r="H326" i="7"/>
  <c r="P325" i="7"/>
  <c r="O325" i="7"/>
  <c r="K325" i="7"/>
  <c r="N325" i="7" s="1"/>
  <c r="H325" i="7"/>
  <c r="Q324" i="7"/>
  <c r="P324" i="7"/>
  <c r="O324" i="7"/>
  <c r="K324" i="7"/>
  <c r="N324" i="7" s="1"/>
  <c r="H324" i="7"/>
  <c r="P323" i="7"/>
  <c r="O323" i="7"/>
  <c r="N323" i="7"/>
  <c r="K323" i="7"/>
  <c r="H323" i="7"/>
  <c r="P322" i="7"/>
  <c r="O322" i="7"/>
  <c r="K322" i="7"/>
  <c r="N322" i="7" s="1"/>
  <c r="H322" i="7"/>
  <c r="P321" i="7"/>
  <c r="O321" i="7"/>
  <c r="K321" i="7"/>
  <c r="H321" i="7"/>
  <c r="N321" i="7" s="1"/>
  <c r="P320" i="7"/>
  <c r="O320" i="7"/>
  <c r="K320" i="7"/>
  <c r="N320" i="7" s="1"/>
  <c r="H320" i="7"/>
  <c r="Q319" i="7"/>
  <c r="P319" i="7"/>
  <c r="O319" i="7"/>
  <c r="K319" i="7"/>
  <c r="N319" i="7" s="1"/>
  <c r="H319" i="7"/>
  <c r="P318" i="7"/>
  <c r="O318" i="7"/>
  <c r="K318" i="7"/>
  <c r="H318" i="7"/>
  <c r="N318" i="7" s="1"/>
  <c r="P317" i="7"/>
  <c r="O317" i="7"/>
  <c r="K317" i="7"/>
  <c r="N317" i="7" s="1"/>
  <c r="H317" i="7"/>
  <c r="P316" i="7"/>
  <c r="O316" i="7"/>
  <c r="N316" i="7"/>
  <c r="K316" i="7"/>
  <c r="H316" i="7"/>
  <c r="P315" i="7"/>
  <c r="O315" i="7"/>
  <c r="K315" i="7"/>
  <c r="N315" i="7" s="1"/>
  <c r="H315" i="7"/>
  <c r="Q314" i="7"/>
  <c r="P314" i="7"/>
  <c r="O314" i="7"/>
  <c r="K314" i="7"/>
  <c r="N314" i="7" s="1"/>
  <c r="H314" i="7"/>
  <c r="P313" i="7"/>
  <c r="O313" i="7"/>
  <c r="N313" i="7"/>
  <c r="K313" i="7"/>
  <c r="H313" i="7"/>
  <c r="P312" i="7"/>
  <c r="O312" i="7"/>
  <c r="K312" i="7"/>
  <c r="N312" i="7" s="1"/>
  <c r="H312" i="7"/>
  <c r="P311" i="7"/>
  <c r="O311" i="7"/>
  <c r="K311" i="7"/>
  <c r="H311" i="7"/>
  <c r="N311" i="7" s="1"/>
  <c r="Q310" i="7"/>
  <c r="P310" i="7"/>
  <c r="O310" i="7"/>
  <c r="N310" i="7"/>
  <c r="K310" i="7"/>
  <c r="H310" i="7"/>
  <c r="P309" i="7"/>
  <c r="O309" i="7"/>
  <c r="K309" i="7"/>
  <c r="N309" i="7" s="1"/>
  <c r="H309" i="7"/>
  <c r="P308" i="7"/>
  <c r="O308" i="7"/>
  <c r="K308" i="7"/>
  <c r="H308" i="7"/>
  <c r="N308" i="7" s="1"/>
  <c r="P307" i="7"/>
  <c r="O307" i="7"/>
  <c r="K307" i="7"/>
  <c r="N307" i="7" s="1"/>
  <c r="H307" i="7"/>
  <c r="P306" i="7"/>
  <c r="O306" i="7"/>
  <c r="N306" i="7"/>
  <c r="K306" i="7"/>
  <c r="H306" i="7"/>
  <c r="Q305" i="7"/>
  <c r="P305" i="7"/>
  <c r="O305" i="7"/>
  <c r="K305" i="7"/>
  <c r="H305" i="7"/>
  <c r="N305" i="7" s="1"/>
  <c r="P304" i="7"/>
  <c r="O304" i="7"/>
  <c r="K304" i="7"/>
  <c r="N304" i="7" s="1"/>
  <c r="H304" i="7"/>
  <c r="P303" i="7"/>
  <c r="O303" i="7"/>
  <c r="N303" i="7"/>
  <c r="K303" i="7"/>
  <c r="H303" i="7"/>
  <c r="P302" i="7"/>
  <c r="O302" i="7"/>
  <c r="K302" i="7"/>
  <c r="N302" i="7" s="1"/>
  <c r="H302" i="7"/>
  <c r="P301" i="7"/>
  <c r="O301" i="7"/>
  <c r="K301" i="7"/>
  <c r="H301" i="7"/>
  <c r="N301" i="7" s="1"/>
  <c r="Q300" i="7"/>
  <c r="P300" i="7"/>
  <c r="O300" i="7"/>
  <c r="N300" i="7"/>
  <c r="K300" i="7"/>
  <c r="H300" i="7"/>
  <c r="P299" i="7"/>
  <c r="O299" i="7"/>
  <c r="K299" i="7"/>
  <c r="N299" i="7" s="1"/>
  <c r="H299" i="7"/>
  <c r="P298" i="7"/>
  <c r="O298" i="7"/>
  <c r="K298" i="7"/>
  <c r="H298" i="7"/>
  <c r="N298" i="7" s="1"/>
  <c r="P297" i="7"/>
  <c r="O297" i="7"/>
  <c r="K297" i="7"/>
  <c r="N297" i="7" s="1"/>
  <c r="H297" i="7"/>
  <c r="P296" i="7"/>
  <c r="O296" i="7"/>
  <c r="N296" i="7"/>
  <c r="K296" i="7"/>
  <c r="H296" i="7"/>
  <c r="Q295" i="7"/>
  <c r="P295" i="7"/>
  <c r="O295" i="7"/>
  <c r="K295" i="7"/>
  <c r="H295" i="7"/>
  <c r="N295" i="7" s="1"/>
  <c r="P294" i="7"/>
  <c r="O294" i="7"/>
  <c r="K294" i="7"/>
  <c r="N294" i="7" s="1"/>
  <c r="H294" i="7"/>
  <c r="P293" i="7"/>
  <c r="O293" i="7"/>
  <c r="N293" i="7"/>
  <c r="K293" i="7"/>
  <c r="H293" i="7"/>
  <c r="P292" i="7"/>
  <c r="O292" i="7"/>
  <c r="K292" i="7"/>
  <c r="N292" i="7" s="1"/>
  <c r="H292" i="7"/>
  <c r="P291" i="7"/>
  <c r="O291" i="7"/>
  <c r="K291" i="7"/>
  <c r="H291" i="7"/>
  <c r="N291" i="7" s="1"/>
  <c r="Q290" i="7"/>
  <c r="P290" i="7"/>
  <c r="O290" i="7"/>
  <c r="N290" i="7"/>
  <c r="K290" i="7"/>
  <c r="H290" i="7"/>
  <c r="P289" i="7"/>
  <c r="O289" i="7"/>
  <c r="K289" i="7"/>
  <c r="N289" i="7" s="1"/>
  <c r="H289" i="7"/>
  <c r="P288" i="7"/>
  <c r="O288" i="7"/>
  <c r="K288" i="7"/>
  <c r="H288" i="7"/>
  <c r="N288" i="7" s="1"/>
  <c r="P287" i="7"/>
  <c r="O287" i="7"/>
  <c r="K287" i="7"/>
  <c r="N287" i="7" s="1"/>
  <c r="H287" i="7"/>
  <c r="P286" i="7"/>
  <c r="O286" i="7"/>
  <c r="N286" i="7"/>
  <c r="K286" i="7"/>
  <c r="H286" i="7"/>
  <c r="Q285" i="7"/>
  <c r="P285" i="7"/>
  <c r="O285" i="7"/>
  <c r="K285" i="7"/>
  <c r="H285" i="7"/>
  <c r="N285" i="7" s="1"/>
  <c r="P284" i="7"/>
  <c r="O284" i="7"/>
  <c r="K284" i="7"/>
  <c r="N284" i="7" s="1"/>
  <c r="H284" i="7"/>
  <c r="P283" i="7"/>
  <c r="O283" i="7"/>
  <c r="N283" i="7"/>
  <c r="K283" i="7"/>
  <c r="H283" i="7"/>
  <c r="P282" i="7"/>
  <c r="O282" i="7"/>
  <c r="K282" i="7"/>
  <c r="N282" i="7" s="1"/>
  <c r="H282" i="7"/>
  <c r="P281" i="7"/>
  <c r="O281" i="7"/>
  <c r="K281" i="7"/>
  <c r="H281" i="7"/>
  <c r="N281" i="7" s="1"/>
  <c r="Q280" i="7"/>
  <c r="P280" i="7"/>
  <c r="O280" i="7"/>
  <c r="N280" i="7"/>
  <c r="K280" i="7"/>
  <c r="H280" i="7"/>
  <c r="P279" i="7"/>
  <c r="O279" i="7"/>
  <c r="K279" i="7"/>
  <c r="N279" i="7" s="1"/>
  <c r="H279" i="7"/>
  <c r="P278" i="7"/>
  <c r="O278" i="7"/>
  <c r="K278" i="7"/>
  <c r="H278" i="7"/>
  <c r="N278" i="7" s="1"/>
  <c r="P277" i="7"/>
  <c r="O277" i="7"/>
  <c r="K277" i="7"/>
  <c r="N277" i="7" s="1"/>
  <c r="H277" i="7"/>
  <c r="P276" i="7"/>
  <c r="O276" i="7"/>
  <c r="N276" i="7"/>
  <c r="K276" i="7"/>
  <c r="H276" i="7"/>
  <c r="Q275" i="7"/>
  <c r="P275" i="7"/>
  <c r="O275" i="7"/>
  <c r="K275" i="7"/>
  <c r="H275" i="7"/>
  <c r="N275" i="7" s="1"/>
  <c r="P274" i="7"/>
  <c r="O274" i="7"/>
  <c r="K274" i="7"/>
  <c r="N274" i="7" s="1"/>
  <c r="H274" i="7"/>
  <c r="P273" i="7"/>
  <c r="O273" i="7"/>
  <c r="N273" i="7"/>
  <c r="K273" i="7"/>
  <c r="H273" i="7"/>
  <c r="P272" i="7"/>
  <c r="O272" i="7"/>
  <c r="K272" i="7"/>
  <c r="N272" i="7" s="1"/>
  <c r="H272" i="7"/>
  <c r="P271" i="7"/>
  <c r="O271" i="7"/>
  <c r="K271" i="7"/>
  <c r="H271" i="7"/>
  <c r="N271" i="7" s="1"/>
  <c r="Q270" i="7"/>
  <c r="P270" i="7"/>
  <c r="O270" i="7"/>
  <c r="N270" i="7"/>
  <c r="K270" i="7"/>
  <c r="H270" i="7"/>
  <c r="P269" i="7"/>
  <c r="O269" i="7"/>
  <c r="K269" i="7"/>
  <c r="N269" i="7" s="1"/>
  <c r="H269" i="7"/>
  <c r="P268" i="7"/>
  <c r="O268" i="7"/>
  <c r="K268" i="7"/>
  <c r="H268" i="7"/>
  <c r="N268" i="7" s="1"/>
  <c r="P267" i="7"/>
  <c r="O267" i="7"/>
  <c r="K267" i="7"/>
  <c r="N267" i="7" s="1"/>
  <c r="H267" i="7"/>
  <c r="P266" i="7"/>
  <c r="O266" i="7"/>
  <c r="N266" i="7"/>
  <c r="K266" i="7"/>
  <c r="H266" i="7"/>
  <c r="Q265" i="7"/>
  <c r="P265" i="7"/>
  <c r="O265" i="7"/>
  <c r="K265" i="7"/>
  <c r="H265" i="7"/>
  <c r="N265" i="7" s="1"/>
  <c r="P264" i="7"/>
  <c r="O264" i="7"/>
  <c r="K264" i="7"/>
  <c r="N264" i="7" s="1"/>
  <c r="H264" i="7"/>
  <c r="P263" i="7"/>
  <c r="O263" i="7"/>
  <c r="N263" i="7"/>
  <c r="K263" i="7"/>
  <c r="H263" i="7"/>
  <c r="P262" i="7"/>
  <c r="O262" i="7"/>
  <c r="K262" i="7"/>
  <c r="N262" i="7" s="1"/>
  <c r="H262" i="7"/>
  <c r="Q261" i="7"/>
  <c r="P261" i="7"/>
  <c r="O261" i="7"/>
  <c r="K261" i="7"/>
  <c r="N261" i="7" s="1"/>
  <c r="H261" i="7"/>
  <c r="P260" i="7"/>
  <c r="O260" i="7"/>
  <c r="N260" i="7"/>
  <c r="K260" i="7"/>
  <c r="H260" i="7"/>
  <c r="P259" i="7"/>
  <c r="O259" i="7"/>
  <c r="K259" i="7"/>
  <c r="N259" i="7" s="1"/>
  <c r="H259" i="7"/>
  <c r="P258" i="7"/>
  <c r="O258" i="7"/>
  <c r="K258" i="7"/>
  <c r="H258" i="7"/>
  <c r="N258" i="7" s="1"/>
  <c r="P257" i="7"/>
  <c r="O257" i="7"/>
  <c r="K257" i="7"/>
  <c r="N257" i="7" s="1"/>
  <c r="H257" i="7"/>
  <c r="Q256" i="7"/>
  <c r="P256" i="7"/>
  <c r="O256" i="7"/>
  <c r="K256" i="7"/>
  <c r="N256" i="7" s="1"/>
  <c r="H256" i="7"/>
  <c r="P255" i="7"/>
  <c r="O255" i="7"/>
  <c r="K255" i="7"/>
  <c r="H255" i="7"/>
  <c r="N255" i="7" s="1"/>
  <c r="P254" i="7"/>
  <c r="O254" i="7"/>
  <c r="K254" i="7"/>
  <c r="N254" i="7" s="1"/>
  <c r="H254" i="7"/>
  <c r="P253" i="7"/>
  <c r="O253" i="7"/>
  <c r="N253" i="7"/>
  <c r="K253" i="7"/>
  <c r="H253" i="7"/>
  <c r="P252" i="7"/>
  <c r="O252" i="7"/>
  <c r="K252" i="7"/>
  <c r="N252" i="7" s="1"/>
  <c r="H252" i="7"/>
  <c r="Q251" i="7"/>
  <c r="P251" i="7"/>
  <c r="O251" i="7"/>
  <c r="K251" i="7"/>
  <c r="N251" i="7" s="1"/>
  <c r="H251" i="7"/>
  <c r="P250" i="7"/>
  <c r="O250" i="7"/>
  <c r="N250" i="7"/>
  <c r="K250" i="7"/>
  <c r="H250" i="7"/>
  <c r="P249" i="7"/>
  <c r="O249" i="7"/>
  <c r="K249" i="7"/>
  <c r="N249" i="7" s="1"/>
  <c r="H249" i="7"/>
  <c r="P248" i="7"/>
  <c r="O248" i="7"/>
  <c r="K248" i="7"/>
  <c r="H248" i="7"/>
  <c r="N248" i="7" s="1"/>
  <c r="P247" i="7"/>
  <c r="O247" i="7"/>
  <c r="K247" i="7"/>
  <c r="N247" i="7" s="1"/>
  <c r="H247" i="7"/>
  <c r="Q246" i="7"/>
  <c r="P246" i="7"/>
  <c r="O246" i="7"/>
  <c r="K246" i="7"/>
  <c r="N246" i="7" s="1"/>
  <c r="H246" i="7"/>
  <c r="P245" i="7"/>
  <c r="O245" i="7"/>
  <c r="K245" i="7"/>
  <c r="H245" i="7"/>
  <c r="N245" i="7" s="1"/>
  <c r="P244" i="7"/>
  <c r="O244" i="7"/>
  <c r="K244" i="7"/>
  <c r="N244" i="7" s="1"/>
  <c r="H244" i="7"/>
  <c r="P243" i="7"/>
  <c r="O243" i="7"/>
  <c r="N243" i="7"/>
  <c r="K243" i="7"/>
  <c r="H243" i="7"/>
  <c r="P242" i="7"/>
  <c r="O242" i="7"/>
  <c r="K242" i="7"/>
  <c r="N242" i="7" s="1"/>
  <c r="H242" i="7"/>
  <c r="P241" i="7"/>
  <c r="O241" i="7"/>
  <c r="K241" i="7"/>
  <c r="H241" i="7"/>
  <c r="N241" i="7" s="1"/>
  <c r="Q240" i="7"/>
  <c r="P240" i="7"/>
  <c r="O240" i="7"/>
  <c r="N240" i="7"/>
  <c r="K240" i="7"/>
  <c r="H240" i="7"/>
  <c r="P239" i="7"/>
  <c r="O239" i="7"/>
  <c r="K239" i="7"/>
  <c r="N239" i="7" s="1"/>
  <c r="H239" i="7"/>
  <c r="P238" i="7"/>
  <c r="O238" i="7"/>
  <c r="K238" i="7"/>
  <c r="H238" i="7"/>
  <c r="N238" i="7" s="1"/>
  <c r="P237" i="7"/>
  <c r="O237" i="7"/>
  <c r="K237" i="7"/>
  <c r="N237" i="7" s="1"/>
  <c r="H237" i="7"/>
  <c r="P236" i="7"/>
  <c r="O236" i="7"/>
  <c r="N236" i="7"/>
  <c r="K236" i="7"/>
  <c r="H236" i="7"/>
  <c r="Q235" i="7"/>
  <c r="P235" i="7"/>
  <c r="O235" i="7"/>
  <c r="K235" i="7"/>
  <c r="H235" i="7"/>
  <c r="N235" i="7" s="1"/>
  <c r="P234" i="7"/>
  <c r="O234" i="7"/>
  <c r="K234" i="7"/>
  <c r="N234" i="7" s="1"/>
  <c r="H234" i="7"/>
  <c r="P233" i="7"/>
  <c r="O233" i="7"/>
  <c r="N233" i="7"/>
  <c r="K233" i="7"/>
  <c r="H233" i="7"/>
  <c r="P232" i="7"/>
  <c r="O232" i="7"/>
  <c r="K232" i="7"/>
  <c r="N232" i="7" s="1"/>
  <c r="H232" i="7"/>
  <c r="P231" i="7"/>
  <c r="O231" i="7"/>
  <c r="K231" i="7"/>
  <c r="H231" i="7"/>
  <c r="N231" i="7" s="1"/>
  <c r="Q230" i="7"/>
  <c r="P230" i="7"/>
  <c r="O230" i="7"/>
  <c r="N230" i="7"/>
  <c r="K230" i="7"/>
  <c r="H230" i="7"/>
  <c r="P229" i="7"/>
  <c r="O229" i="7"/>
  <c r="K229" i="7"/>
  <c r="N229" i="7" s="1"/>
  <c r="H229" i="7"/>
  <c r="P228" i="7"/>
  <c r="O228" i="7"/>
  <c r="K228" i="7"/>
  <c r="H228" i="7"/>
  <c r="N228" i="7" s="1"/>
  <c r="P227" i="7"/>
  <c r="O227" i="7"/>
  <c r="K227" i="7"/>
  <c r="N227" i="7" s="1"/>
  <c r="H227" i="7"/>
  <c r="P226" i="7"/>
  <c r="O226" i="7"/>
  <c r="N226" i="7"/>
  <c r="K226" i="7"/>
  <c r="H226" i="7"/>
  <c r="Q225" i="7"/>
  <c r="P225" i="7"/>
  <c r="O225" i="7"/>
  <c r="K225" i="7"/>
  <c r="H225" i="7"/>
  <c r="N225" i="7" s="1"/>
  <c r="P224" i="7"/>
  <c r="O224" i="7"/>
  <c r="K224" i="7"/>
  <c r="N224" i="7" s="1"/>
  <c r="H224" i="7"/>
  <c r="P223" i="7"/>
  <c r="O223" i="7"/>
  <c r="N223" i="7"/>
  <c r="K223" i="7"/>
  <c r="H223" i="7"/>
  <c r="P222" i="7"/>
  <c r="O222" i="7"/>
  <c r="K222" i="7"/>
  <c r="N222" i="7" s="1"/>
  <c r="H222" i="7"/>
  <c r="P221" i="7"/>
  <c r="O221" i="7"/>
  <c r="K221" i="7"/>
  <c r="H221" i="7"/>
  <c r="N221" i="7" s="1"/>
  <c r="Q220" i="7"/>
  <c r="P220" i="7"/>
  <c r="O220" i="7"/>
  <c r="N220" i="7"/>
  <c r="K220" i="7"/>
  <c r="H220" i="7"/>
  <c r="P219" i="7"/>
  <c r="O219" i="7"/>
  <c r="K219" i="7"/>
  <c r="N219" i="7" s="1"/>
  <c r="H219" i="7"/>
  <c r="P218" i="7"/>
  <c r="O218" i="7"/>
  <c r="K218" i="7"/>
  <c r="H218" i="7"/>
  <c r="N218" i="7" s="1"/>
  <c r="P217" i="7"/>
  <c r="O217" i="7"/>
  <c r="K217" i="7"/>
  <c r="N217" i="7" s="1"/>
  <c r="H217" i="7"/>
  <c r="P216" i="7"/>
  <c r="O216" i="7"/>
  <c r="N216" i="7"/>
  <c r="K216" i="7"/>
  <c r="H216" i="7"/>
  <c r="Q215" i="7"/>
  <c r="P215" i="7"/>
  <c r="O215" i="7"/>
  <c r="K215" i="7"/>
  <c r="H215" i="7"/>
  <c r="N215" i="7" s="1"/>
  <c r="P214" i="7"/>
  <c r="O214" i="7"/>
  <c r="K214" i="7"/>
  <c r="N214" i="7" s="1"/>
  <c r="H214" i="7"/>
  <c r="P213" i="7"/>
  <c r="O213" i="7"/>
  <c r="N213" i="7"/>
  <c r="K213" i="7"/>
  <c r="H213" i="7"/>
  <c r="P212" i="7"/>
  <c r="O212" i="7"/>
  <c r="K212" i="7"/>
  <c r="N212" i="7" s="1"/>
  <c r="H212" i="7"/>
  <c r="P211" i="7"/>
  <c r="O211" i="7"/>
  <c r="K211" i="7"/>
  <c r="H211" i="7"/>
  <c r="N211" i="7" s="1"/>
  <c r="Q210" i="7"/>
  <c r="P210" i="7"/>
  <c r="O210" i="7"/>
  <c r="N210" i="7"/>
  <c r="K210" i="7"/>
  <c r="H210" i="7"/>
  <c r="P209" i="7"/>
  <c r="O209" i="7"/>
  <c r="K209" i="7"/>
  <c r="N209" i="7" s="1"/>
  <c r="H209" i="7"/>
  <c r="P208" i="7"/>
  <c r="O208" i="7"/>
  <c r="K208" i="7"/>
  <c r="H208" i="7"/>
  <c r="N208" i="7" s="1"/>
  <c r="P207" i="7"/>
  <c r="O207" i="7"/>
  <c r="K207" i="7"/>
  <c r="N207" i="7" s="1"/>
  <c r="H207" i="7"/>
  <c r="P206" i="7"/>
  <c r="O206" i="7"/>
  <c r="N206" i="7"/>
  <c r="K206" i="7"/>
  <c r="H206" i="7"/>
  <c r="Q205" i="7"/>
  <c r="P205" i="7"/>
  <c r="O205" i="7"/>
  <c r="K205" i="7"/>
  <c r="H205" i="7"/>
  <c r="N205" i="7" s="1"/>
  <c r="P204" i="7"/>
  <c r="O204" i="7"/>
  <c r="K204" i="7"/>
  <c r="N204" i="7" s="1"/>
  <c r="H204" i="7"/>
  <c r="P203" i="7"/>
  <c r="O203" i="7"/>
  <c r="N203" i="7"/>
  <c r="K203" i="7"/>
  <c r="H203" i="7"/>
  <c r="P202" i="7"/>
  <c r="O202" i="7"/>
  <c r="K202" i="7"/>
  <c r="N202" i="7" s="1"/>
  <c r="H202" i="7"/>
  <c r="P201" i="7"/>
  <c r="O201" i="7"/>
  <c r="K201" i="7"/>
  <c r="H201" i="7"/>
  <c r="N201" i="7" s="1"/>
  <c r="Q200" i="7"/>
  <c r="P200" i="7"/>
  <c r="O200" i="7"/>
  <c r="N200" i="7"/>
  <c r="K200" i="7"/>
  <c r="H200" i="7"/>
  <c r="P199" i="7"/>
  <c r="O199" i="7"/>
  <c r="K199" i="7"/>
  <c r="N199" i="7" s="1"/>
  <c r="H199" i="7"/>
  <c r="P198" i="7"/>
  <c r="O198" i="7"/>
  <c r="K198" i="7"/>
  <c r="H198" i="7"/>
  <c r="N198" i="7" s="1"/>
  <c r="P197" i="7"/>
  <c r="O197" i="7"/>
  <c r="K197" i="7"/>
  <c r="N197" i="7" s="1"/>
  <c r="H197" i="7"/>
  <c r="Q196" i="7"/>
  <c r="P196" i="7"/>
  <c r="O196" i="7"/>
  <c r="K196" i="7"/>
  <c r="N196" i="7" s="1"/>
  <c r="H196" i="7"/>
  <c r="P195" i="7"/>
  <c r="O195" i="7"/>
  <c r="K195" i="7"/>
  <c r="H195" i="7"/>
  <c r="N195" i="7" s="1"/>
  <c r="P194" i="7"/>
  <c r="O194" i="7"/>
  <c r="K194" i="7"/>
  <c r="N194" i="7" s="1"/>
  <c r="H194" i="7"/>
  <c r="P193" i="7"/>
  <c r="O193" i="7"/>
  <c r="N193" i="7"/>
  <c r="K193" i="7"/>
  <c r="H193" i="7"/>
  <c r="P192" i="7"/>
  <c r="O192" i="7"/>
  <c r="K192" i="7"/>
  <c r="N192" i="7" s="1"/>
  <c r="H192" i="7"/>
  <c r="Q191" i="7"/>
  <c r="P191" i="7"/>
  <c r="O191" i="7"/>
  <c r="K191" i="7"/>
  <c r="N191" i="7" s="1"/>
  <c r="H191" i="7"/>
  <c r="P190" i="7"/>
  <c r="O190" i="7"/>
  <c r="N190" i="7"/>
  <c r="K190" i="7"/>
  <c r="H190" i="7"/>
  <c r="P189" i="7"/>
  <c r="O189" i="7"/>
  <c r="K189" i="7"/>
  <c r="N189" i="7" s="1"/>
  <c r="H189" i="7"/>
  <c r="P188" i="7"/>
  <c r="O188" i="7"/>
  <c r="K188" i="7"/>
  <c r="H188" i="7"/>
  <c r="N188" i="7" s="1"/>
  <c r="P187" i="7"/>
  <c r="O187" i="7"/>
  <c r="K187" i="7"/>
  <c r="N187" i="7" s="1"/>
  <c r="H187" i="7"/>
  <c r="Q186" i="7"/>
  <c r="P186" i="7"/>
  <c r="O186" i="7"/>
  <c r="K186" i="7"/>
  <c r="N186" i="7" s="1"/>
  <c r="H186" i="7"/>
  <c r="P185" i="7"/>
  <c r="O185" i="7"/>
  <c r="K185" i="7"/>
  <c r="H185" i="7"/>
  <c r="N185" i="7" s="1"/>
  <c r="P184" i="7"/>
  <c r="O184" i="7"/>
  <c r="K184" i="7"/>
  <c r="N184" i="7" s="1"/>
  <c r="H184" i="7"/>
  <c r="P183" i="7"/>
  <c r="O183" i="7"/>
  <c r="N183" i="7"/>
  <c r="K183" i="7"/>
  <c r="H183" i="7"/>
  <c r="P182" i="7"/>
  <c r="O182" i="7"/>
  <c r="K182" i="7"/>
  <c r="N182" i="7" s="1"/>
  <c r="H182" i="7"/>
  <c r="Q181" i="7"/>
  <c r="P181" i="7"/>
  <c r="O181" i="7"/>
  <c r="K181" i="7"/>
  <c r="N181" i="7" s="1"/>
  <c r="H181" i="7"/>
  <c r="P180" i="7"/>
  <c r="O180" i="7"/>
  <c r="N180" i="7"/>
  <c r="K180" i="7"/>
  <c r="H180" i="7"/>
  <c r="P179" i="7"/>
  <c r="O179" i="7"/>
  <c r="K179" i="7"/>
  <c r="N179" i="7" s="1"/>
  <c r="H179" i="7"/>
  <c r="P178" i="7"/>
  <c r="O178" i="7"/>
  <c r="K178" i="7"/>
  <c r="H178" i="7"/>
  <c r="N178" i="7" s="1"/>
  <c r="Q177" i="7"/>
  <c r="P177" i="7"/>
  <c r="O177" i="7"/>
  <c r="N177" i="7"/>
  <c r="K177" i="7"/>
  <c r="H177" i="7"/>
  <c r="P176" i="7"/>
  <c r="O176" i="7"/>
  <c r="K176" i="7"/>
  <c r="N176" i="7" s="1"/>
  <c r="H176" i="7"/>
  <c r="P175" i="7"/>
  <c r="O175" i="7"/>
  <c r="K175" i="7"/>
  <c r="H175" i="7"/>
  <c r="N175" i="7" s="1"/>
  <c r="P174" i="7"/>
  <c r="O174" i="7"/>
  <c r="K174" i="7"/>
  <c r="N174" i="7" s="1"/>
  <c r="H174" i="7"/>
  <c r="Q173" i="7"/>
  <c r="P173" i="7"/>
  <c r="O173" i="7"/>
  <c r="K173" i="7"/>
  <c r="N173" i="7" s="1"/>
  <c r="H173" i="7"/>
  <c r="P172" i="7"/>
  <c r="O172" i="7"/>
  <c r="K172" i="7"/>
  <c r="H172" i="7"/>
  <c r="N172" i="7" s="1"/>
  <c r="P171" i="7"/>
  <c r="O171" i="7"/>
  <c r="K171" i="7"/>
  <c r="N171" i="7" s="1"/>
  <c r="H171" i="7"/>
  <c r="P170" i="7"/>
  <c r="O170" i="7"/>
  <c r="N170" i="7"/>
  <c r="K170" i="7"/>
  <c r="H170" i="7"/>
  <c r="P169" i="7"/>
  <c r="O169" i="7"/>
  <c r="K169" i="7"/>
  <c r="N169" i="7" s="1"/>
  <c r="H169" i="7"/>
  <c r="Q168" i="7"/>
  <c r="P168" i="7"/>
  <c r="O168" i="7"/>
  <c r="K168" i="7"/>
  <c r="N168" i="7" s="1"/>
  <c r="H168" i="7"/>
  <c r="P167" i="7"/>
  <c r="O167" i="7"/>
  <c r="N167" i="7"/>
  <c r="K167" i="7"/>
  <c r="H167" i="7"/>
  <c r="P166" i="7"/>
  <c r="O166" i="7"/>
  <c r="K166" i="7"/>
  <c r="N166" i="7" s="1"/>
  <c r="H166" i="7"/>
  <c r="P165" i="7"/>
  <c r="O165" i="7"/>
  <c r="K165" i="7"/>
  <c r="H165" i="7"/>
  <c r="N165" i="7" s="1"/>
  <c r="P164" i="7"/>
  <c r="O164" i="7"/>
  <c r="K164" i="7"/>
  <c r="N164" i="7" s="1"/>
  <c r="H164" i="7"/>
  <c r="Q163" i="7"/>
  <c r="P163" i="7"/>
  <c r="O163" i="7"/>
  <c r="K163" i="7"/>
  <c r="N163" i="7" s="1"/>
  <c r="H163" i="7"/>
  <c r="P162" i="7"/>
  <c r="O162" i="7"/>
  <c r="K162" i="7"/>
  <c r="H162" i="7"/>
  <c r="N162" i="7" s="1"/>
  <c r="P161" i="7"/>
  <c r="O161" i="7"/>
  <c r="K161" i="7"/>
  <c r="N161" i="7" s="1"/>
  <c r="H161" i="7"/>
  <c r="P160" i="7"/>
  <c r="O160" i="7"/>
  <c r="N160" i="7"/>
  <c r="K160" i="7"/>
  <c r="H160" i="7"/>
  <c r="P159" i="7"/>
  <c r="O159" i="7"/>
  <c r="K159" i="7"/>
  <c r="N159" i="7" s="1"/>
  <c r="H159" i="7"/>
  <c r="Q158" i="7"/>
  <c r="P158" i="7"/>
  <c r="O158" i="7"/>
  <c r="K158" i="7"/>
  <c r="N158" i="7" s="1"/>
  <c r="H158" i="7"/>
  <c r="P157" i="7"/>
  <c r="O157" i="7"/>
  <c r="N157" i="7"/>
  <c r="K157" i="7"/>
  <c r="H157" i="7"/>
  <c r="P156" i="7"/>
  <c r="O156" i="7"/>
  <c r="K156" i="7"/>
  <c r="N156" i="7" s="1"/>
  <c r="H156" i="7"/>
  <c r="P155" i="7"/>
  <c r="O155" i="7"/>
  <c r="K155" i="7"/>
  <c r="H155" i="7"/>
  <c r="N155" i="7" s="1"/>
  <c r="Q154" i="7"/>
  <c r="P154" i="7"/>
  <c r="O154" i="7"/>
  <c r="N154" i="7"/>
  <c r="K154" i="7"/>
  <c r="H154" i="7"/>
  <c r="P153" i="7"/>
  <c r="O153" i="7"/>
  <c r="K153" i="7"/>
  <c r="N153" i="7" s="1"/>
  <c r="H153" i="7"/>
  <c r="P152" i="7"/>
  <c r="O152" i="7"/>
  <c r="K152" i="7"/>
  <c r="H152" i="7"/>
  <c r="N152" i="7" s="1"/>
  <c r="P151" i="7"/>
  <c r="O151" i="7"/>
  <c r="K151" i="7"/>
  <c r="N151" i="7" s="1"/>
  <c r="H151" i="7"/>
  <c r="P150" i="7"/>
  <c r="O150" i="7"/>
  <c r="N150" i="7"/>
  <c r="K150" i="7"/>
  <c r="H150" i="7"/>
  <c r="Q149" i="7"/>
  <c r="P149" i="7"/>
  <c r="O149" i="7"/>
  <c r="K149" i="7"/>
  <c r="H149" i="7"/>
  <c r="N149" i="7" s="1"/>
  <c r="P148" i="7"/>
  <c r="O148" i="7"/>
  <c r="K148" i="7"/>
  <c r="N148" i="7" s="1"/>
  <c r="H148" i="7"/>
  <c r="P147" i="7"/>
  <c r="O147" i="7"/>
  <c r="N147" i="7"/>
  <c r="K147" i="7"/>
  <c r="H147" i="7"/>
  <c r="P146" i="7"/>
  <c r="O146" i="7"/>
  <c r="K146" i="7"/>
  <c r="N146" i="7" s="1"/>
  <c r="H146" i="7"/>
  <c r="P145" i="7"/>
  <c r="O145" i="7"/>
  <c r="K145" i="7"/>
  <c r="H145" i="7"/>
  <c r="N145" i="7" s="1"/>
  <c r="Q144" i="7"/>
  <c r="P144" i="7"/>
  <c r="O144" i="7"/>
  <c r="N144" i="7"/>
  <c r="K144" i="7"/>
  <c r="H144" i="7"/>
  <c r="P143" i="7"/>
  <c r="O143" i="7"/>
  <c r="K143" i="7"/>
  <c r="N143" i="7" s="1"/>
  <c r="H143" i="7"/>
  <c r="P142" i="7"/>
  <c r="O142" i="7"/>
  <c r="K142" i="7"/>
  <c r="H142" i="7"/>
  <c r="N142" i="7" s="1"/>
  <c r="P141" i="7"/>
  <c r="O141" i="7"/>
  <c r="K141" i="7"/>
  <c r="N141" i="7" s="1"/>
  <c r="H141" i="7"/>
  <c r="P140" i="7"/>
  <c r="O140" i="7"/>
  <c r="N140" i="7"/>
  <c r="K140" i="7"/>
  <c r="H140" i="7"/>
  <c r="Q139" i="7"/>
  <c r="P139" i="7"/>
  <c r="O139" i="7"/>
  <c r="K139" i="7"/>
  <c r="H139" i="7"/>
  <c r="N139" i="7" s="1"/>
  <c r="P138" i="7"/>
  <c r="O138" i="7"/>
  <c r="K138" i="7"/>
  <c r="N138" i="7" s="1"/>
  <c r="H138" i="7"/>
  <c r="P137" i="7"/>
  <c r="O137" i="7"/>
  <c r="N137" i="7"/>
  <c r="K137" i="7"/>
  <c r="H137" i="7"/>
  <c r="P136" i="7"/>
  <c r="O136" i="7"/>
  <c r="K136" i="7"/>
  <c r="N136" i="7" s="1"/>
  <c r="H136" i="7"/>
  <c r="P135" i="7"/>
  <c r="O135" i="7"/>
  <c r="K135" i="7"/>
  <c r="H135" i="7"/>
  <c r="N135" i="7" s="1"/>
  <c r="Q134" i="7"/>
  <c r="P134" i="7"/>
  <c r="O134" i="7"/>
  <c r="N134" i="7"/>
  <c r="K134" i="7"/>
  <c r="H134" i="7"/>
  <c r="P133" i="7"/>
  <c r="O133" i="7"/>
  <c r="K133" i="7"/>
  <c r="N133" i="7" s="1"/>
  <c r="H133" i="7"/>
  <c r="P132" i="7"/>
  <c r="O132" i="7"/>
  <c r="K132" i="7"/>
  <c r="H132" i="7"/>
  <c r="N132" i="7" s="1"/>
  <c r="P131" i="7"/>
  <c r="O131" i="7"/>
  <c r="K131" i="7"/>
  <c r="N131" i="7" s="1"/>
  <c r="H131" i="7"/>
  <c r="P130" i="7"/>
  <c r="O130" i="7"/>
  <c r="N130" i="7"/>
  <c r="K130" i="7"/>
  <c r="H130" i="7"/>
  <c r="Q129" i="7"/>
  <c r="P129" i="7"/>
  <c r="O129" i="7"/>
  <c r="K129" i="7"/>
  <c r="H129" i="7"/>
  <c r="N129" i="7" s="1"/>
  <c r="P128" i="7"/>
  <c r="O128" i="7"/>
  <c r="K128" i="7"/>
  <c r="N128" i="7" s="1"/>
  <c r="H128" i="7"/>
  <c r="P127" i="7"/>
  <c r="O127" i="7"/>
  <c r="N127" i="7"/>
  <c r="K127" i="7"/>
  <c r="H127" i="7"/>
  <c r="P126" i="7"/>
  <c r="O126" i="7"/>
  <c r="K126" i="7"/>
  <c r="N126" i="7" s="1"/>
  <c r="H126" i="7"/>
  <c r="P125" i="7"/>
  <c r="O125" i="7"/>
  <c r="K125" i="7"/>
  <c r="H125" i="7"/>
  <c r="N125" i="7" s="1"/>
  <c r="Q124" i="7"/>
  <c r="P124" i="7"/>
  <c r="O124" i="7"/>
  <c r="N124" i="7"/>
  <c r="K124" i="7"/>
  <c r="H124" i="7"/>
  <c r="P123" i="7"/>
  <c r="O123" i="7"/>
  <c r="K123" i="7"/>
  <c r="N123" i="7" s="1"/>
  <c r="H123" i="7"/>
  <c r="P122" i="7"/>
  <c r="O122" i="7"/>
  <c r="K122" i="7"/>
  <c r="H122" i="7"/>
  <c r="N122" i="7" s="1"/>
  <c r="P121" i="7"/>
  <c r="O121" i="7"/>
  <c r="K121" i="7"/>
  <c r="N121" i="7" s="1"/>
  <c r="H121" i="7"/>
  <c r="P120" i="7"/>
  <c r="O120" i="7"/>
  <c r="N120" i="7"/>
  <c r="K120" i="7"/>
  <c r="H120" i="7"/>
  <c r="Q119" i="7"/>
  <c r="P119" i="7"/>
  <c r="O119" i="7"/>
  <c r="K119" i="7"/>
  <c r="H119" i="7"/>
  <c r="N119" i="7" s="1"/>
  <c r="P118" i="7"/>
  <c r="O118" i="7"/>
  <c r="K118" i="7"/>
  <c r="N118" i="7" s="1"/>
  <c r="H118" i="7"/>
  <c r="P117" i="7"/>
  <c r="O117" i="7"/>
  <c r="N117" i="7"/>
  <c r="K117" i="7"/>
  <c r="H117" i="7"/>
  <c r="P116" i="7"/>
  <c r="O116" i="7"/>
  <c r="K116" i="7"/>
  <c r="N116" i="7" s="1"/>
  <c r="H116" i="7"/>
  <c r="P115" i="7"/>
  <c r="O115" i="7"/>
  <c r="K115" i="7"/>
  <c r="H115" i="7"/>
  <c r="N115" i="7" s="1"/>
  <c r="P114" i="7"/>
  <c r="O114" i="7"/>
  <c r="N114" i="7"/>
  <c r="K114" i="7"/>
  <c r="H114" i="7"/>
  <c r="P113" i="7"/>
  <c r="O113" i="7"/>
  <c r="K113" i="7"/>
  <c r="N113" i="7" s="1"/>
  <c r="H113" i="7"/>
  <c r="H112" i="7"/>
  <c r="H111" i="7"/>
  <c r="P110" i="7"/>
  <c r="M110" i="7"/>
  <c r="Q114" i="7" s="1"/>
  <c r="H110" i="7"/>
  <c r="P109" i="7"/>
  <c r="M109" i="7"/>
  <c r="H109" i="7"/>
  <c r="M108" i="7"/>
  <c r="P108" i="7" s="1"/>
  <c r="H108" i="7"/>
  <c r="P107" i="7"/>
  <c r="M107" i="7"/>
  <c r="H107" i="7"/>
  <c r="M106" i="7"/>
  <c r="P106" i="7" s="1"/>
  <c r="H106" i="7"/>
  <c r="P105" i="7"/>
  <c r="M105" i="7"/>
  <c r="Q109" i="7" s="1"/>
  <c r="H105" i="7"/>
  <c r="P104" i="7"/>
  <c r="K104" i="7"/>
  <c r="H104" i="7"/>
  <c r="P103" i="7"/>
  <c r="O103" i="7"/>
  <c r="N103" i="7"/>
  <c r="K102" i="7"/>
  <c r="H102" i="7"/>
  <c r="K101" i="7"/>
  <c r="H101" i="7"/>
  <c r="K100" i="7"/>
  <c r="H100" i="7"/>
  <c r="P99" i="7"/>
  <c r="O99" i="7"/>
  <c r="N99" i="7"/>
  <c r="K98" i="7"/>
  <c r="H98" i="7"/>
  <c r="K97" i="7"/>
  <c r="H97" i="7"/>
  <c r="P96" i="7"/>
  <c r="O96" i="7"/>
  <c r="K96" i="7"/>
  <c r="H96" i="7"/>
  <c r="N96" i="7" s="1"/>
  <c r="P95" i="7"/>
  <c r="O95" i="7"/>
  <c r="K95" i="7"/>
  <c r="N95" i="7" s="1"/>
  <c r="H95" i="7"/>
  <c r="P94" i="7"/>
  <c r="O94" i="7"/>
  <c r="N94" i="7"/>
  <c r="K94" i="7"/>
  <c r="H94" i="7"/>
  <c r="P93" i="7"/>
  <c r="O93" i="7"/>
  <c r="K93" i="7"/>
  <c r="N93" i="7" s="1"/>
  <c r="H93" i="7"/>
  <c r="P92" i="7"/>
  <c r="O92" i="7"/>
  <c r="K92" i="7"/>
  <c r="H92" i="7"/>
  <c r="N92" i="7" s="1"/>
  <c r="P91" i="7"/>
  <c r="O91" i="7"/>
  <c r="K91" i="7"/>
  <c r="N91" i="7" s="1"/>
  <c r="H91" i="7"/>
  <c r="P90" i="7"/>
  <c r="O90" i="7"/>
  <c r="N90" i="7"/>
  <c r="K90" i="7"/>
  <c r="H90" i="7"/>
  <c r="P89" i="7"/>
  <c r="O89" i="7"/>
  <c r="K89" i="7"/>
  <c r="N89" i="7" s="1"/>
  <c r="H89" i="7"/>
  <c r="P88" i="7"/>
  <c r="O88" i="7"/>
  <c r="K88" i="7"/>
  <c r="H88" i="7"/>
  <c r="N88" i="7" s="1"/>
  <c r="P87" i="7"/>
  <c r="O87" i="7"/>
  <c r="K87" i="7"/>
  <c r="N87" i="7" s="1"/>
  <c r="H87" i="7"/>
  <c r="P86" i="7"/>
  <c r="O86" i="7"/>
  <c r="N86" i="7"/>
  <c r="K86" i="7"/>
  <c r="H86" i="7"/>
  <c r="P85" i="7"/>
  <c r="O85" i="7"/>
  <c r="K85" i="7"/>
  <c r="N85" i="7" s="1"/>
  <c r="H85" i="7"/>
  <c r="P84" i="7"/>
  <c r="O84" i="7"/>
  <c r="K84" i="7"/>
  <c r="H84" i="7"/>
  <c r="N84" i="7" s="1"/>
  <c r="P83" i="7"/>
  <c r="O83" i="7"/>
  <c r="K83" i="7"/>
  <c r="N83" i="7" s="1"/>
  <c r="H83" i="7"/>
  <c r="P82" i="7"/>
  <c r="O82" i="7"/>
  <c r="N82" i="7"/>
  <c r="K82" i="7"/>
  <c r="H82" i="7"/>
  <c r="P81" i="7"/>
  <c r="O81" i="7"/>
  <c r="K81" i="7"/>
  <c r="N81" i="7" s="1"/>
  <c r="H81" i="7"/>
  <c r="P80" i="7"/>
  <c r="O80" i="7"/>
  <c r="K80" i="7"/>
  <c r="H80" i="7"/>
  <c r="N80" i="7" s="1"/>
  <c r="P79" i="7"/>
  <c r="O79" i="7"/>
  <c r="K79" i="7"/>
  <c r="N79" i="7" s="1"/>
  <c r="H79" i="7"/>
  <c r="P78" i="7"/>
  <c r="O78" i="7"/>
  <c r="N78" i="7"/>
  <c r="K78" i="7"/>
  <c r="H78" i="7"/>
  <c r="P77" i="7"/>
  <c r="O77" i="7"/>
  <c r="K77" i="7"/>
  <c r="N77" i="7" s="1"/>
  <c r="H77" i="7"/>
  <c r="P76" i="7"/>
  <c r="O76" i="7"/>
  <c r="K76" i="7"/>
  <c r="H76" i="7"/>
  <c r="N76" i="7" s="1"/>
  <c r="P75" i="7"/>
  <c r="O75" i="7"/>
  <c r="K75" i="7"/>
  <c r="N75" i="7" s="1"/>
  <c r="H75" i="7"/>
  <c r="P74" i="7"/>
  <c r="O74" i="7"/>
  <c r="N74" i="7"/>
  <c r="K74" i="7"/>
  <c r="H74" i="7"/>
  <c r="P73" i="7"/>
  <c r="O73" i="7"/>
  <c r="K73" i="7"/>
  <c r="N73" i="7" s="1"/>
  <c r="H73" i="7"/>
  <c r="P72" i="7"/>
  <c r="O72" i="7"/>
  <c r="K72" i="7"/>
  <c r="H72" i="7"/>
  <c r="N72" i="7" s="1"/>
  <c r="P71" i="7"/>
  <c r="O71" i="7"/>
  <c r="K71" i="7"/>
  <c r="N71" i="7" s="1"/>
  <c r="H71" i="7"/>
  <c r="P70" i="7"/>
  <c r="O70" i="7"/>
  <c r="N70" i="7"/>
  <c r="K70" i="7"/>
  <c r="H70" i="7"/>
  <c r="P69" i="7"/>
  <c r="O69" i="7"/>
  <c r="K69" i="7"/>
  <c r="N69" i="7" s="1"/>
  <c r="H69" i="7"/>
  <c r="P68" i="7"/>
  <c r="O68" i="7"/>
  <c r="K68" i="7"/>
  <c r="H68" i="7"/>
  <c r="N68" i="7" s="1"/>
  <c r="P67" i="7"/>
  <c r="O67" i="7"/>
  <c r="K67" i="7"/>
  <c r="N67" i="7" s="1"/>
  <c r="H67" i="7"/>
  <c r="P66" i="7"/>
  <c r="O66" i="7"/>
  <c r="N66" i="7"/>
  <c r="K66" i="7"/>
  <c r="H66" i="7"/>
  <c r="P65" i="7"/>
  <c r="O65" i="7"/>
  <c r="K65" i="7"/>
  <c r="N65" i="7" s="1"/>
  <c r="H65" i="7"/>
  <c r="P64" i="7"/>
  <c r="O64" i="7"/>
  <c r="K64" i="7"/>
  <c r="H64" i="7"/>
  <c r="N64" i="7" s="1"/>
  <c r="P63" i="7"/>
  <c r="O63" i="7"/>
  <c r="K63" i="7"/>
  <c r="N63" i="7" s="1"/>
  <c r="H63" i="7"/>
  <c r="P62" i="7"/>
  <c r="O62" i="7"/>
  <c r="N62" i="7"/>
  <c r="K62" i="7"/>
  <c r="H62" i="7"/>
  <c r="P61" i="7"/>
  <c r="O61" i="7"/>
  <c r="K61" i="7"/>
  <c r="N61" i="7" s="1"/>
  <c r="H61" i="7"/>
  <c r="P60" i="7"/>
  <c r="O60" i="7"/>
  <c r="K60" i="7"/>
  <c r="H60" i="7"/>
  <c r="N60" i="7" s="1"/>
  <c r="P59" i="7"/>
  <c r="O59" i="7"/>
  <c r="K59" i="7"/>
  <c r="N59" i="7" s="1"/>
  <c r="H59" i="7"/>
  <c r="P58" i="7"/>
  <c r="O58" i="7"/>
  <c r="N58" i="7"/>
  <c r="K58" i="7"/>
  <c r="H58" i="7"/>
  <c r="P57" i="7"/>
  <c r="O57" i="7"/>
  <c r="K57" i="7"/>
  <c r="N57" i="7" s="1"/>
  <c r="H57" i="7"/>
  <c r="P56" i="7"/>
  <c r="O56" i="7"/>
  <c r="K56" i="7"/>
  <c r="H56" i="7"/>
  <c r="N56" i="7" s="1"/>
  <c r="P55" i="7"/>
  <c r="O55" i="7"/>
  <c r="K55" i="7"/>
  <c r="N55" i="7" s="1"/>
  <c r="H55" i="7"/>
  <c r="P54" i="7"/>
  <c r="O54" i="7"/>
  <c r="N54" i="7"/>
  <c r="K54" i="7"/>
  <c r="H54" i="7"/>
  <c r="P53" i="7"/>
  <c r="O53" i="7"/>
  <c r="K53" i="7"/>
  <c r="N53" i="7" s="1"/>
  <c r="H53" i="7"/>
  <c r="P52" i="7"/>
  <c r="O52" i="7"/>
  <c r="K52" i="7"/>
  <c r="H52" i="7"/>
  <c r="N52" i="7" s="1"/>
  <c r="P51" i="7"/>
  <c r="O51" i="7"/>
  <c r="K51" i="7"/>
  <c r="N51" i="7" s="1"/>
  <c r="H51" i="7"/>
  <c r="P50" i="7"/>
  <c r="O50" i="7"/>
  <c r="N50" i="7"/>
  <c r="K50" i="7"/>
  <c r="H50" i="7"/>
  <c r="P49" i="7"/>
  <c r="O49" i="7"/>
  <c r="K49" i="7"/>
  <c r="N49" i="7" s="1"/>
  <c r="H49" i="7"/>
  <c r="P48" i="7"/>
  <c r="O48" i="7"/>
  <c r="K48" i="7"/>
  <c r="H48" i="7"/>
  <c r="N48" i="7" s="1"/>
  <c r="P47" i="7"/>
  <c r="O47" i="7"/>
  <c r="K47" i="7"/>
  <c r="N47" i="7" s="1"/>
  <c r="H47" i="7"/>
  <c r="P46" i="7"/>
  <c r="O46" i="7"/>
  <c r="N46" i="7"/>
  <c r="K46" i="7"/>
  <c r="H46" i="7"/>
  <c r="P45" i="7"/>
  <c r="O45" i="7"/>
  <c r="K45" i="7"/>
  <c r="N45" i="7" s="1"/>
  <c r="H45" i="7"/>
  <c r="P44" i="7"/>
  <c r="O44" i="7"/>
  <c r="K44" i="7"/>
  <c r="H44" i="7"/>
  <c r="N44" i="7" s="1"/>
  <c r="P43" i="7"/>
  <c r="O43" i="7"/>
  <c r="K43" i="7"/>
  <c r="N43" i="7" s="1"/>
  <c r="H43" i="7"/>
  <c r="P42" i="7"/>
  <c r="O42" i="7"/>
  <c r="N42" i="7"/>
  <c r="K42" i="7"/>
  <c r="H42" i="7"/>
  <c r="P41" i="7"/>
  <c r="O41" i="7"/>
  <c r="K41" i="7"/>
  <c r="N41" i="7" s="1"/>
  <c r="H41" i="7"/>
  <c r="P40" i="7"/>
  <c r="O40" i="7"/>
  <c r="K40" i="7"/>
  <c r="H40" i="7"/>
  <c r="N40" i="7" s="1"/>
  <c r="P39" i="7"/>
  <c r="O39" i="7"/>
  <c r="K39" i="7"/>
  <c r="N39" i="7" s="1"/>
  <c r="H39" i="7"/>
  <c r="P38" i="7"/>
  <c r="O38" i="7"/>
  <c r="N38" i="7"/>
  <c r="K38" i="7"/>
  <c r="H38" i="7"/>
  <c r="P37" i="7"/>
  <c r="O37" i="7"/>
  <c r="K37" i="7"/>
  <c r="N37" i="7" s="1"/>
  <c r="H37" i="7"/>
  <c r="P36" i="7"/>
  <c r="O36" i="7"/>
  <c r="K36" i="7"/>
  <c r="H36" i="7"/>
  <c r="N36" i="7" s="1"/>
  <c r="P35" i="7"/>
  <c r="O35" i="7"/>
  <c r="K35" i="7"/>
  <c r="N35" i="7" s="1"/>
  <c r="H35" i="7"/>
  <c r="P34" i="7"/>
  <c r="O34" i="7"/>
  <c r="N34" i="7"/>
  <c r="K34" i="7"/>
  <c r="H34" i="7"/>
  <c r="P33" i="7"/>
  <c r="O33" i="7"/>
  <c r="K33" i="7"/>
  <c r="N33" i="7" s="1"/>
  <c r="H33" i="7"/>
  <c r="P32" i="7"/>
  <c r="O32" i="7"/>
  <c r="K32" i="7"/>
  <c r="H32" i="7"/>
  <c r="N32" i="7" s="1"/>
  <c r="P31" i="7"/>
  <c r="O31" i="7"/>
  <c r="K31" i="7"/>
  <c r="N31" i="7" s="1"/>
  <c r="H31" i="7"/>
  <c r="P30" i="7"/>
  <c r="O30" i="7"/>
  <c r="N30" i="7"/>
  <c r="K30" i="7"/>
  <c r="H30" i="7"/>
  <c r="P29" i="7"/>
  <c r="O29" i="7"/>
  <c r="K29" i="7"/>
  <c r="N29" i="7" s="1"/>
  <c r="H29" i="7"/>
  <c r="P28" i="7"/>
  <c r="O28" i="7"/>
  <c r="K28" i="7"/>
  <c r="H28" i="7"/>
  <c r="N28" i="7" s="1"/>
  <c r="P27" i="7"/>
  <c r="O27" i="7"/>
  <c r="K27" i="7"/>
  <c r="N27" i="7" s="1"/>
  <c r="H27" i="7"/>
  <c r="P26" i="7"/>
  <c r="O26" i="7"/>
  <c r="N26" i="7"/>
  <c r="K26" i="7"/>
  <c r="H26" i="7"/>
  <c r="P25" i="7"/>
  <c r="O25" i="7"/>
  <c r="K25" i="7"/>
  <c r="N25" i="7" s="1"/>
  <c r="H25" i="7"/>
  <c r="P24" i="7"/>
  <c r="O24" i="7"/>
  <c r="K24" i="7"/>
  <c r="H24" i="7"/>
  <c r="N24" i="7" s="1"/>
  <c r="P23" i="7"/>
  <c r="O23" i="7"/>
  <c r="K23" i="7"/>
  <c r="N23" i="7" s="1"/>
  <c r="H23" i="7"/>
  <c r="P22" i="7"/>
  <c r="O22" i="7"/>
  <c r="N22" i="7"/>
  <c r="K22" i="7"/>
  <c r="H22" i="7"/>
  <c r="P21" i="7"/>
  <c r="O21" i="7"/>
  <c r="K21" i="7"/>
  <c r="N21" i="7" s="1"/>
  <c r="H21" i="7"/>
  <c r="P20" i="7"/>
  <c r="O20" i="7"/>
  <c r="K20" i="7"/>
  <c r="H20" i="7"/>
  <c r="N20" i="7" s="1"/>
  <c r="P19" i="7"/>
  <c r="O19" i="7"/>
  <c r="K19" i="7"/>
  <c r="N19" i="7" s="1"/>
  <c r="H19" i="7"/>
  <c r="P18" i="7"/>
  <c r="O18" i="7"/>
  <c r="N18" i="7"/>
  <c r="K18" i="7"/>
  <c r="H18" i="7"/>
  <c r="P17" i="7"/>
  <c r="O17" i="7"/>
  <c r="K17" i="7"/>
  <c r="N17" i="7" s="1"/>
  <c r="H17" i="7"/>
  <c r="P16" i="7"/>
  <c r="O16" i="7"/>
  <c r="K16" i="7"/>
  <c r="H16" i="7"/>
  <c r="N16" i="7" s="1"/>
  <c r="P15" i="7"/>
  <c r="O15" i="7"/>
  <c r="K15" i="7"/>
  <c r="N15" i="7" s="1"/>
  <c r="H15" i="7"/>
  <c r="P14" i="7"/>
  <c r="O14" i="7"/>
  <c r="N14" i="7"/>
  <c r="K14" i="7"/>
  <c r="H14" i="7"/>
  <c r="P13" i="7"/>
  <c r="O13" i="7"/>
  <c r="K13" i="7"/>
  <c r="N13" i="7" s="1"/>
  <c r="H13" i="7"/>
  <c r="P12" i="7"/>
  <c r="O12" i="7"/>
  <c r="K12" i="7"/>
  <c r="H12" i="7"/>
  <c r="N12" i="7" s="1"/>
  <c r="P11" i="7"/>
  <c r="O11" i="7"/>
  <c r="K11" i="7"/>
  <c r="N11" i="7" s="1"/>
  <c r="H11" i="7"/>
  <c r="P10" i="7"/>
  <c r="O10" i="7"/>
  <c r="N10" i="7"/>
  <c r="K10" i="7"/>
  <c r="H10" i="7"/>
  <c r="P9" i="7"/>
  <c r="O9" i="7"/>
  <c r="K9" i="7"/>
  <c r="N9" i="7" s="1"/>
  <c r="H9" i="7"/>
  <c r="P8" i="7"/>
  <c r="O8" i="7"/>
  <c r="N8" i="7"/>
  <c r="K8" i="7"/>
  <c r="H8" i="7"/>
  <c r="P7" i="7"/>
  <c r="O7" i="7"/>
  <c r="K7" i="7"/>
  <c r="N7" i="7" s="1"/>
  <c r="H7" i="7"/>
  <c r="P6" i="7"/>
  <c r="O6" i="7"/>
  <c r="K6" i="7"/>
  <c r="H6" i="7"/>
  <c r="N6" i="7" s="1"/>
  <c r="P127" i="6"/>
  <c r="O127" i="6"/>
  <c r="K127" i="6"/>
  <c r="N127" i="6" s="1"/>
  <c r="H127" i="6"/>
  <c r="P126" i="6"/>
  <c r="O126" i="6"/>
  <c r="K126" i="6"/>
  <c r="H126" i="6"/>
  <c r="N126" i="6" s="1"/>
  <c r="P125" i="6"/>
  <c r="O125" i="6"/>
  <c r="K125" i="6"/>
  <c r="N125" i="6" s="1"/>
  <c r="H125" i="6"/>
  <c r="P124" i="6"/>
  <c r="O124" i="6"/>
  <c r="N124" i="6"/>
  <c r="K124" i="6"/>
  <c r="H124" i="6"/>
  <c r="Q123" i="6"/>
  <c r="P123" i="6"/>
  <c r="O123" i="6"/>
  <c r="K123" i="6"/>
  <c r="H123" i="6"/>
  <c r="N123" i="6" s="1"/>
  <c r="P122" i="6"/>
  <c r="O122" i="6"/>
  <c r="K122" i="6"/>
  <c r="N122" i="6" s="1"/>
  <c r="H122" i="6"/>
  <c r="P121" i="6"/>
  <c r="O121" i="6"/>
  <c r="N121" i="6"/>
  <c r="K121" i="6"/>
  <c r="H121" i="6"/>
  <c r="P120" i="6"/>
  <c r="O120" i="6"/>
  <c r="K120" i="6"/>
  <c r="N120" i="6" s="1"/>
  <c r="H120" i="6"/>
  <c r="P119" i="6"/>
  <c r="O119" i="6"/>
  <c r="N119" i="6"/>
  <c r="K119" i="6"/>
  <c r="H119" i="6"/>
  <c r="Q118" i="6"/>
  <c r="P118" i="6"/>
  <c r="O118" i="6"/>
  <c r="K118" i="6"/>
  <c r="H118" i="6"/>
  <c r="N118" i="6" s="1"/>
  <c r="P117" i="6"/>
  <c r="O117" i="6"/>
  <c r="K117" i="6"/>
  <c r="N117" i="6" s="1"/>
  <c r="H117" i="6"/>
  <c r="P116" i="6"/>
  <c r="O116" i="6"/>
  <c r="N116" i="6"/>
  <c r="K116" i="6"/>
  <c r="H116" i="6"/>
  <c r="P115" i="6"/>
  <c r="O115" i="6"/>
  <c r="K115" i="6"/>
  <c r="N115" i="6" s="1"/>
  <c r="H115" i="6"/>
  <c r="P114" i="6"/>
  <c r="O114" i="6"/>
  <c r="K114" i="6"/>
  <c r="H114" i="6"/>
  <c r="N114" i="6" s="1"/>
  <c r="Q113" i="6"/>
  <c r="P113" i="6"/>
  <c r="O113" i="6"/>
  <c r="N113" i="6"/>
  <c r="K113" i="6"/>
  <c r="H113" i="6"/>
  <c r="P112" i="6"/>
  <c r="O112" i="6"/>
  <c r="K112" i="6"/>
  <c r="N112" i="6" s="1"/>
  <c r="H112" i="6"/>
  <c r="P111" i="6"/>
  <c r="O111" i="6"/>
  <c r="K111" i="6"/>
  <c r="H111" i="6"/>
  <c r="N111" i="6" s="1"/>
  <c r="P110" i="6"/>
  <c r="O110" i="6"/>
  <c r="K110" i="6"/>
  <c r="N110" i="6" s="1"/>
  <c r="H110" i="6"/>
  <c r="P109" i="6"/>
  <c r="O109" i="6"/>
  <c r="N109" i="6"/>
  <c r="K109" i="6"/>
  <c r="H109" i="6"/>
  <c r="Q108" i="6"/>
  <c r="P108" i="6"/>
  <c r="O108" i="6"/>
  <c r="K108" i="6"/>
  <c r="H108" i="6"/>
  <c r="N108" i="6" s="1"/>
  <c r="P107" i="6"/>
  <c r="O107" i="6"/>
  <c r="K107" i="6"/>
  <c r="N107" i="6" s="1"/>
  <c r="H107" i="6"/>
  <c r="P106" i="6"/>
  <c r="O106" i="6"/>
  <c r="N106" i="6"/>
  <c r="K106" i="6"/>
  <c r="H106" i="6"/>
  <c r="P105" i="6"/>
  <c r="O105" i="6"/>
  <c r="K105" i="6"/>
  <c r="N105" i="6" s="1"/>
  <c r="H105" i="6"/>
  <c r="P104" i="6"/>
  <c r="O104" i="6"/>
  <c r="K104" i="6"/>
  <c r="H104" i="6"/>
  <c r="N104" i="6" s="1"/>
  <c r="Q103" i="6"/>
  <c r="P103" i="6"/>
  <c r="O103" i="6"/>
  <c r="N103" i="6"/>
  <c r="K103" i="6"/>
  <c r="H103" i="6"/>
  <c r="P102" i="6"/>
  <c r="O102" i="6"/>
  <c r="K102" i="6"/>
  <c r="N102" i="6" s="1"/>
  <c r="H102" i="6"/>
  <c r="P101" i="6"/>
  <c r="O101" i="6"/>
  <c r="K101" i="6"/>
  <c r="H101" i="6"/>
  <c r="N101" i="6" s="1"/>
  <c r="P100" i="6"/>
  <c r="O100" i="6"/>
  <c r="K100" i="6"/>
  <c r="N100" i="6" s="1"/>
  <c r="H100" i="6"/>
  <c r="P99" i="6"/>
  <c r="O99" i="6"/>
  <c r="N99" i="6"/>
  <c r="K99" i="6"/>
  <c r="H99" i="6"/>
  <c r="Q98" i="6"/>
  <c r="P98" i="6"/>
  <c r="O98" i="6"/>
  <c r="K98" i="6"/>
  <c r="H98" i="6"/>
  <c r="N98" i="6" s="1"/>
  <c r="P97" i="6"/>
  <c r="O97" i="6"/>
  <c r="K97" i="6"/>
  <c r="N97" i="6" s="1"/>
  <c r="H97" i="6"/>
  <c r="P96" i="6"/>
  <c r="O96" i="6"/>
  <c r="N96" i="6"/>
  <c r="K96" i="6"/>
  <c r="H96" i="6"/>
  <c r="P95" i="6"/>
  <c r="O95" i="6"/>
  <c r="K95" i="6"/>
  <c r="N95" i="6" s="1"/>
  <c r="H95" i="6"/>
  <c r="Q94" i="6"/>
  <c r="P94" i="6"/>
  <c r="O94" i="6"/>
  <c r="K94" i="6"/>
  <c r="N94" i="6" s="1"/>
  <c r="H94" i="6"/>
  <c r="P93" i="6"/>
  <c r="O93" i="6"/>
  <c r="N93" i="6"/>
  <c r="K93" i="6"/>
  <c r="H93" i="6"/>
  <c r="P92" i="6"/>
  <c r="O92" i="6"/>
  <c r="K92" i="6"/>
  <c r="N92" i="6" s="1"/>
  <c r="H92" i="6"/>
  <c r="P91" i="6"/>
  <c r="O91" i="6"/>
  <c r="K91" i="6"/>
  <c r="H91" i="6"/>
  <c r="N91" i="6" s="1"/>
  <c r="P90" i="6"/>
  <c r="O90" i="6"/>
  <c r="K90" i="6"/>
  <c r="N90" i="6" s="1"/>
  <c r="H90" i="6"/>
  <c r="Q89" i="6"/>
  <c r="P89" i="6"/>
  <c r="O89" i="6"/>
  <c r="K89" i="6"/>
  <c r="N89" i="6" s="1"/>
  <c r="H89" i="6"/>
  <c r="P88" i="6"/>
  <c r="O88" i="6"/>
  <c r="K88" i="6"/>
  <c r="H88" i="6"/>
  <c r="N88" i="6" s="1"/>
  <c r="P87" i="6"/>
  <c r="O87" i="6"/>
  <c r="K87" i="6"/>
  <c r="N87" i="6" s="1"/>
  <c r="H87" i="6"/>
  <c r="P86" i="6"/>
  <c r="O86" i="6"/>
  <c r="N86" i="6"/>
  <c r="K86" i="6"/>
  <c r="H86" i="6"/>
  <c r="P85" i="6"/>
  <c r="O85" i="6"/>
  <c r="K85" i="6"/>
  <c r="N85" i="6" s="1"/>
  <c r="H85" i="6"/>
  <c r="Q84" i="6"/>
  <c r="P84" i="6"/>
  <c r="O84" i="6"/>
  <c r="K84" i="6"/>
  <c r="N84" i="6" s="1"/>
  <c r="H84" i="6"/>
  <c r="P83" i="6"/>
  <c r="O83" i="6"/>
  <c r="N83" i="6"/>
  <c r="K83" i="6"/>
  <c r="H83" i="6"/>
  <c r="P82" i="6"/>
  <c r="O82" i="6"/>
  <c r="K82" i="6"/>
  <c r="N82" i="6" s="1"/>
  <c r="H82" i="6"/>
  <c r="P81" i="6"/>
  <c r="O81" i="6"/>
  <c r="K81" i="6"/>
  <c r="H81" i="6"/>
  <c r="N81" i="6" s="1"/>
  <c r="P80" i="6"/>
  <c r="O80" i="6"/>
  <c r="K80" i="6"/>
  <c r="N80" i="6" s="1"/>
  <c r="H80" i="6"/>
  <c r="Q79" i="6"/>
  <c r="P79" i="6"/>
  <c r="O79" i="6"/>
  <c r="K79" i="6"/>
  <c r="N79" i="6" s="1"/>
  <c r="H79" i="6"/>
  <c r="P78" i="6"/>
  <c r="O78" i="6"/>
  <c r="K78" i="6"/>
  <c r="H78" i="6"/>
  <c r="N78" i="6" s="1"/>
  <c r="P77" i="6"/>
  <c r="O77" i="6"/>
  <c r="K77" i="6"/>
  <c r="N77" i="6" s="1"/>
  <c r="H77" i="6"/>
  <c r="P76" i="6"/>
  <c r="O76" i="6"/>
  <c r="N76" i="6"/>
  <c r="K76" i="6"/>
  <c r="H76" i="6"/>
  <c r="P75" i="6"/>
  <c r="O75" i="6"/>
  <c r="K75" i="6"/>
  <c r="N75" i="6" s="1"/>
  <c r="H75" i="6"/>
  <c r="Q74" i="6"/>
  <c r="P74" i="6"/>
  <c r="O74" i="6"/>
  <c r="K74" i="6"/>
  <c r="N74" i="6" s="1"/>
  <c r="H74" i="6"/>
  <c r="P73" i="6"/>
  <c r="O73" i="6"/>
  <c r="N73" i="6"/>
  <c r="K73" i="6"/>
  <c r="H73" i="6"/>
  <c r="P72" i="6"/>
  <c r="O72" i="6"/>
  <c r="K72" i="6"/>
  <c r="N72" i="6" s="1"/>
  <c r="H72" i="6"/>
  <c r="P71" i="6"/>
  <c r="O71" i="6"/>
  <c r="K71" i="6"/>
  <c r="H71" i="6"/>
  <c r="N71" i="6" s="1"/>
  <c r="P70" i="6"/>
  <c r="O70" i="6"/>
  <c r="K70" i="6"/>
  <c r="N70" i="6" s="1"/>
  <c r="H70" i="6"/>
  <c r="Q69" i="6"/>
  <c r="P69" i="6"/>
  <c r="O69" i="6"/>
  <c r="K69" i="6"/>
  <c r="N69" i="6" s="1"/>
  <c r="H69" i="6"/>
  <c r="P68" i="6"/>
  <c r="O68" i="6"/>
  <c r="K68" i="6"/>
  <c r="H68" i="6"/>
  <c r="N68" i="6" s="1"/>
  <c r="P67" i="6"/>
  <c r="O67" i="6"/>
  <c r="K67" i="6"/>
  <c r="N67" i="6" s="1"/>
  <c r="H67" i="6"/>
  <c r="P66" i="6"/>
  <c r="O66" i="6"/>
  <c r="N66" i="6"/>
  <c r="K66" i="6"/>
  <c r="H66" i="6"/>
  <c r="P65" i="6"/>
  <c r="O65" i="6"/>
  <c r="K65" i="6"/>
  <c r="N65" i="6" s="1"/>
  <c r="H65" i="6"/>
  <c r="Q64" i="6"/>
  <c r="P64" i="6"/>
  <c r="O64" i="6"/>
  <c r="K64" i="6"/>
  <c r="N64" i="6" s="1"/>
  <c r="H64" i="6"/>
  <c r="P63" i="6"/>
  <c r="O63" i="6"/>
  <c r="N63" i="6"/>
  <c r="K63" i="6"/>
  <c r="H63" i="6"/>
  <c r="P62" i="6"/>
  <c r="O62" i="6"/>
  <c r="K62" i="6"/>
  <c r="N62" i="6" s="1"/>
  <c r="H62" i="6"/>
  <c r="P61" i="6"/>
  <c r="O61" i="6"/>
  <c r="K61" i="6"/>
  <c r="H61" i="6"/>
  <c r="N61" i="6" s="1"/>
  <c r="P60" i="6"/>
  <c r="O60" i="6"/>
  <c r="K60" i="6"/>
  <c r="N60" i="6" s="1"/>
  <c r="H60" i="6"/>
  <c r="Q59" i="6"/>
  <c r="P59" i="6"/>
  <c r="O59" i="6"/>
  <c r="K59" i="6"/>
  <c r="N59" i="6" s="1"/>
  <c r="H59" i="6"/>
  <c r="P58" i="6"/>
  <c r="O58" i="6"/>
  <c r="K58" i="6"/>
  <c r="H58" i="6"/>
  <c r="N58" i="6" s="1"/>
  <c r="P57" i="6"/>
  <c r="O57" i="6"/>
  <c r="K57" i="6"/>
  <c r="N57" i="6" s="1"/>
  <c r="H57" i="6"/>
  <c r="P56" i="6"/>
  <c r="O56" i="6"/>
  <c r="N56" i="6"/>
  <c r="K56" i="6"/>
  <c r="H56" i="6"/>
  <c r="P55" i="6"/>
  <c r="O55" i="6"/>
  <c r="K55" i="6"/>
  <c r="N55" i="6" s="1"/>
  <c r="H55" i="6"/>
  <c r="Q54" i="6"/>
  <c r="P54" i="6"/>
  <c r="O54" i="6"/>
  <c r="K54" i="6"/>
  <c r="N54" i="6" s="1"/>
  <c r="H54" i="6"/>
  <c r="P53" i="6"/>
  <c r="O53" i="6"/>
  <c r="N53" i="6"/>
  <c r="K53" i="6"/>
  <c r="H53" i="6"/>
  <c r="P52" i="6"/>
  <c r="O52" i="6"/>
  <c r="K52" i="6"/>
  <c r="N52" i="6" s="1"/>
  <c r="H52" i="6"/>
  <c r="P51" i="6"/>
  <c r="O51" i="6"/>
  <c r="K51" i="6"/>
  <c r="H51" i="6"/>
  <c r="N51" i="6" s="1"/>
  <c r="P50" i="6"/>
  <c r="O50" i="6"/>
  <c r="K50" i="6"/>
  <c r="N50" i="6" s="1"/>
  <c r="H50" i="6"/>
  <c r="Q49" i="6"/>
  <c r="P49" i="6"/>
  <c r="O49" i="6"/>
  <c r="K49" i="6"/>
  <c r="N49" i="6" s="1"/>
  <c r="H49" i="6"/>
  <c r="P48" i="6"/>
  <c r="O48" i="6"/>
  <c r="K48" i="6"/>
  <c r="H48" i="6"/>
  <c r="N48" i="6" s="1"/>
  <c r="P47" i="6"/>
  <c r="O47" i="6"/>
  <c r="K47" i="6"/>
  <c r="N47" i="6" s="1"/>
  <c r="H47" i="6"/>
  <c r="P46" i="6"/>
  <c r="O46" i="6"/>
  <c r="N46" i="6"/>
  <c r="K46" i="6"/>
  <c r="H46" i="6"/>
  <c r="Q45" i="6"/>
  <c r="P45" i="6"/>
  <c r="O45" i="6"/>
  <c r="K45" i="6"/>
  <c r="H45" i="6"/>
  <c r="N45" i="6" s="1"/>
  <c r="P44" i="6"/>
  <c r="O44" i="6"/>
  <c r="K44" i="6"/>
  <c r="N44" i="6" s="1"/>
  <c r="H44" i="6"/>
  <c r="P43" i="6"/>
  <c r="O43" i="6"/>
  <c r="N43" i="6"/>
  <c r="K43" i="6"/>
  <c r="H43" i="6"/>
  <c r="P42" i="6"/>
  <c r="O42" i="6"/>
  <c r="K42" i="6"/>
  <c r="N42" i="6" s="1"/>
  <c r="H42" i="6"/>
  <c r="P41" i="6"/>
  <c r="O41" i="6"/>
  <c r="K41" i="6"/>
  <c r="H41" i="6"/>
  <c r="N41" i="6" s="1"/>
  <c r="Q40" i="6"/>
  <c r="P40" i="6"/>
  <c r="O40" i="6"/>
  <c r="N40" i="6"/>
  <c r="K40" i="6"/>
  <c r="H40" i="6"/>
  <c r="P39" i="6"/>
  <c r="O39" i="6"/>
  <c r="K39" i="6"/>
  <c r="N39" i="6" s="1"/>
  <c r="H39" i="6"/>
  <c r="P38" i="6"/>
  <c r="O38" i="6"/>
  <c r="K38" i="6"/>
  <c r="H38" i="6"/>
  <c r="N38" i="6" s="1"/>
  <c r="P37" i="6"/>
  <c r="O37" i="6"/>
  <c r="K37" i="6"/>
  <c r="N37" i="6" s="1"/>
  <c r="H37" i="6"/>
  <c r="P36" i="6"/>
  <c r="O36" i="6"/>
  <c r="N36" i="6"/>
  <c r="K36" i="6"/>
  <c r="H36" i="6"/>
  <c r="Q35" i="6"/>
  <c r="P35" i="6"/>
  <c r="O35" i="6"/>
  <c r="K35" i="6"/>
  <c r="H35" i="6"/>
  <c r="N35" i="6" s="1"/>
  <c r="P34" i="6"/>
  <c r="O34" i="6"/>
  <c r="K34" i="6"/>
  <c r="N34" i="6" s="1"/>
  <c r="H34" i="6"/>
  <c r="P33" i="6"/>
  <c r="O33" i="6"/>
  <c r="N33" i="6"/>
  <c r="K33" i="6"/>
  <c r="H33" i="6"/>
  <c r="P32" i="6"/>
  <c r="O32" i="6"/>
  <c r="K32" i="6"/>
  <c r="N32" i="6" s="1"/>
  <c r="H32" i="6"/>
  <c r="P31" i="6"/>
  <c r="O31" i="6"/>
  <c r="K31" i="6"/>
  <c r="H31" i="6"/>
  <c r="N31" i="6" s="1"/>
  <c r="Q30" i="6"/>
  <c r="P30" i="6"/>
  <c r="O30" i="6"/>
  <c r="N30" i="6"/>
  <c r="K30" i="6"/>
  <c r="H30" i="6"/>
  <c r="P29" i="6"/>
  <c r="O29" i="6"/>
  <c r="K29" i="6"/>
  <c r="N29" i="6" s="1"/>
  <c r="H29" i="6"/>
  <c r="P28" i="6"/>
  <c r="O28" i="6"/>
  <c r="K28" i="6"/>
  <c r="H28" i="6"/>
  <c r="N28" i="6" s="1"/>
  <c r="P27" i="6"/>
  <c r="O27" i="6"/>
  <c r="K27" i="6"/>
  <c r="N27" i="6" s="1"/>
  <c r="H27" i="6"/>
  <c r="P26" i="6"/>
  <c r="O26" i="6"/>
  <c r="N26" i="6"/>
  <c r="K26" i="6"/>
  <c r="H26" i="6"/>
  <c r="P25" i="6"/>
  <c r="O25" i="6"/>
  <c r="K25" i="6"/>
  <c r="N25" i="6" s="1"/>
  <c r="H25" i="6"/>
  <c r="Q24" i="6"/>
  <c r="P24" i="6"/>
  <c r="O24" i="6"/>
  <c r="K24" i="6"/>
  <c r="N24" i="6" s="1"/>
  <c r="H24" i="6"/>
  <c r="P23" i="6"/>
  <c r="O23" i="6"/>
  <c r="N23" i="6"/>
  <c r="K23" i="6"/>
  <c r="H23" i="6"/>
  <c r="P22" i="6"/>
  <c r="O22" i="6"/>
  <c r="K22" i="6"/>
  <c r="N22" i="6" s="1"/>
  <c r="H22" i="6"/>
  <c r="P21" i="6"/>
  <c r="O21" i="6"/>
  <c r="K21" i="6"/>
  <c r="H21" i="6"/>
  <c r="N21" i="6" s="1"/>
  <c r="P20" i="6"/>
  <c r="O20" i="6"/>
  <c r="K20" i="6"/>
  <c r="N20" i="6" s="1"/>
  <c r="H20" i="6"/>
  <c r="Q19" i="6"/>
  <c r="P19" i="6"/>
  <c r="O19" i="6"/>
  <c r="K19" i="6"/>
  <c r="N19" i="6" s="1"/>
  <c r="H19" i="6"/>
  <c r="P18" i="6"/>
  <c r="O18" i="6"/>
  <c r="K18" i="6"/>
  <c r="H18" i="6"/>
  <c r="N18" i="6" s="1"/>
  <c r="P17" i="6"/>
  <c r="O17" i="6"/>
  <c r="K17" i="6"/>
  <c r="N17" i="6" s="1"/>
  <c r="H17" i="6"/>
  <c r="P16" i="6"/>
  <c r="O16" i="6"/>
  <c r="N16" i="6"/>
  <c r="K16" i="6"/>
  <c r="H16" i="6"/>
  <c r="P15" i="6"/>
  <c r="O15" i="6"/>
  <c r="K15" i="6"/>
  <c r="N15" i="6" s="1"/>
  <c r="H15" i="6"/>
  <c r="Q14" i="6"/>
  <c r="P14" i="6"/>
  <c r="O14" i="6"/>
  <c r="K14" i="6"/>
  <c r="N14" i="6" s="1"/>
  <c r="H14" i="6"/>
  <c r="P13" i="6"/>
  <c r="O13" i="6"/>
  <c r="N13" i="6"/>
  <c r="K13" i="6"/>
  <c r="H13" i="6"/>
  <c r="P12" i="6"/>
  <c r="O12" i="6"/>
  <c r="K12" i="6"/>
  <c r="N12" i="6" s="1"/>
  <c r="H12" i="6"/>
  <c r="P11" i="6"/>
  <c r="O11" i="6"/>
  <c r="K11" i="6"/>
  <c r="H11" i="6"/>
  <c r="N11" i="6" s="1"/>
  <c r="Q10" i="6"/>
  <c r="P10" i="6"/>
  <c r="O10" i="6"/>
  <c r="N10" i="6"/>
  <c r="K10" i="6"/>
  <c r="H10" i="6"/>
  <c r="Q9" i="6"/>
  <c r="P9" i="6"/>
  <c r="O9" i="6"/>
  <c r="K9" i="6"/>
  <c r="H9" i="6"/>
  <c r="N9" i="6" s="1"/>
  <c r="P8" i="6"/>
  <c r="O8" i="6"/>
  <c r="K8" i="6"/>
  <c r="N8" i="6" s="1"/>
  <c r="H8" i="6"/>
  <c r="P7" i="6"/>
  <c r="O7" i="6"/>
  <c r="N7" i="6"/>
  <c r="K7" i="6"/>
  <c r="H7" i="6"/>
  <c r="P6" i="6"/>
  <c r="O6" i="6"/>
  <c r="K6" i="6"/>
  <c r="N6" i="6" s="1"/>
  <c r="H6" i="6"/>
  <c r="M393" i="12" l="1"/>
  <c r="M425" i="12"/>
  <c r="M471" i="12"/>
  <c r="M474" i="12"/>
  <c r="M475" i="12"/>
  <c r="M480" i="12"/>
  <c r="M491" i="12"/>
  <c r="M496" i="12"/>
  <c r="M516" i="12"/>
  <c r="M547" i="12"/>
  <c r="M549" i="12"/>
  <c r="M57" i="12"/>
  <c r="M62" i="12"/>
  <c r="M68" i="12"/>
  <c r="M69" i="12"/>
  <c r="M97" i="12"/>
  <c r="M99" i="12"/>
  <c r="M225" i="12"/>
  <c r="M228" i="12"/>
  <c r="J229" i="12"/>
  <c r="M230" i="12"/>
  <c r="M247" i="12"/>
  <c r="M250" i="12"/>
  <c r="M255" i="12"/>
  <c r="M258" i="12"/>
  <c r="M623" i="12"/>
  <c r="M624" i="12"/>
  <c r="M625" i="12"/>
  <c r="M634" i="12"/>
  <c r="M640" i="12"/>
  <c r="M650" i="12"/>
  <c r="M660" i="12"/>
  <c r="M670" i="12"/>
  <c r="M671" i="12"/>
  <c r="M593" i="12"/>
  <c r="M595" i="12"/>
  <c r="M129" i="12"/>
  <c r="M131" i="12"/>
  <c r="M137" i="12"/>
  <c r="M145" i="12"/>
  <c r="M153" i="12"/>
  <c r="M161" i="12"/>
  <c r="M163" i="12"/>
  <c r="M316" i="12"/>
  <c r="M359" i="12"/>
  <c r="M644" i="12"/>
  <c r="M654" i="12"/>
  <c r="M664" i="12"/>
  <c r="M420" i="12"/>
  <c r="M467" i="12"/>
  <c r="M545" i="12"/>
  <c r="M16" i="12"/>
  <c r="M18" i="12"/>
  <c r="M32" i="12"/>
  <c r="M40" i="12"/>
  <c r="M192" i="12"/>
  <c r="M200" i="12"/>
  <c r="M201" i="12"/>
  <c r="M216" i="12"/>
  <c r="M242" i="12"/>
  <c r="M301" i="12"/>
  <c r="M637" i="12"/>
  <c r="M647" i="12"/>
  <c r="M657" i="12"/>
  <c r="M668" i="12"/>
  <c r="M402" i="12"/>
  <c r="M481" i="12"/>
  <c r="M485" i="12"/>
  <c r="M607" i="12"/>
  <c r="M608" i="12"/>
  <c r="M609" i="12"/>
  <c r="M610" i="12"/>
  <c r="M611" i="12"/>
  <c r="M2" i="12"/>
  <c r="M65" i="12"/>
  <c r="M67" i="12"/>
  <c r="M320" i="12"/>
  <c r="M325" i="12"/>
  <c r="M328" i="12"/>
  <c r="M337" i="12"/>
  <c r="M348" i="12"/>
  <c r="M363" i="12"/>
  <c r="M447" i="12"/>
  <c r="M488" i="12"/>
  <c r="M540" i="12"/>
  <c r="M557" i="12"/>
  <c r="M559" i="12"/>
  <c r="M560" i="12"/>
  <c r="M578" i="12"/>
  <c r="M81" i="12"/>
  <c r="M83" i="12"/>
  <c r="M122" i="12"/>
  <c r="M126" i="12"/>
  <c r="M132" i="12"/>
  <c r="M133" i="12"/>
  <c r="M147" i="12"/>
  <c r="M189" i="12"/>
  <c r="M190" i="12"/>
  <c r="M193" i="12"/>
  <c r="M194" i="12"/>
  <c r="M196" i="12"/>
  <c r="M204" i="12"/>
  <c r="M206" i="12"/>
  <c r="N230" i="12"/>
  <c r="M235" i="12"/>
  <c r="M238" i="12"/>
  <c r="M243" i="12"/>
  <c r="M254" i="12"/>
  <c r="M352" i="12"/>
  <c r="M426" i="12"/>
  <c r="M430" i="12"/>
  <c r="M13" i="12"/>
  <c r="M19" i="12"/>
  <c r="M20" i="12"/>
  <c r="M34" i="12"/>
  <c r="M270" i="12"/>
  <c r="M492" i="12"/>
  <c r="M494" i="12"/>
  <c r="M512" i="12"/>
  <c r="M530" i="12"/>
  <c r="M550" i="12"/>
  <c r="M555" i="12"/>
  <c r="M25" i="12"/>
  <c r="M29" i="12"/>
  <c r="M35" i="12"/>
  <c r="M36" i="12"/>
  <c r="M48" i="12"/>
  <c r="M50" i="12"/>
  <c r="M90" i="12"/>
  <c r="M94" i="12"/>
  <c r="M100" i="12"/>
  <c r="M101" i="12"/>
  <c r="M113" i="12"/>
  <c r="M115" i="12"/>
  <c r="M164" i="12"/>
  <c r="M165" i="12"/>
  <c r="M177" i="12"/>
  <c r="M179" i="12"/>
  <c r="M213" i="12"/>
  <c r="M217" i="12"/>
  <c r="M220" i="12"/>
  <c r="M274" i="12"/>
  <c r="M282" i="12"/>
  <c r="M295" i="12"/>
  <c r="M296" i="12"/>
  <c r="M297" i="12"/>
  <c r="M305" i="12"/>
  <c r="M312" i="12"/>
  <c r="M324" i="12"/>
  <c r="M409" i="12"/>
  <c r="M366" i="12"/>
  <c r="M346" i="12"/>
  <c r="M367" i="12"/>
  <c r="M369" i="12"/>
  <c r="M370" i="12"/>
  <c r="M371" i="12"/>
  <c r="M375" i="12"/>
  <c r="M391" i="12"/>
  <c r="M395" i="12"/>
  <c r="M396" i="12"/>
  <c r="M410" i="12"/>
  <c r="M414" i="12"/>
  <c r="M418" i="12"/>
  <c r="M423" i="12"/>
  <c r="M438" i="12"/>
  <c r="M440" i="12"/>
  <c r="M442" i="12"/>
  <c r="M454" i="12"/>
  <c r="M457" i="12"/>
  <c r="M459" i="12"/>
  <c r="M360" i="12"/>
  <c r="M404" i="12"/>
  <c r="M477" i="12"/>
  <c r="M478" i="12"/>
  <c r="M483" i="12"/>
  <c r="M502" i="12"/>
  <c r="M504" i="12"/>
  <c r="M506" i="12"/>
  <c r="M519" i="12"/>
  <c r="M532" i="12"/>
  <c r="M533" i="12"/>
  <c r="M572" i="12"/>
  <c r="M5" i="12"/>
  <c r="M6" i="12"/>
  <c r="M12" i="12"/>
  <c r="M21" i="12"/>
  <c r="M22" i="12"/>
  <c r="M28" i="12"/>
  <c r="M37" i="12"/>
  <c r="M38" i="12"/>
  <c r="M44" i="12"/>
  <c r="M53" i="12"/>
  <c r="M54" i="12"/>
  <c r="M61" i="12"/>
  <c r="M70" i="12"/>
  <c r="M77" i="12"/>
  <c r="M86" i="12"/>
  <c r="M93" i="12"/>
  <c r="M102" i="12"/>
  <c r="M109" i="12"/>
  <c r="M118" i="12"/>
  <c r="M125" i="12"/>
  <c r="M134" i="12"/>
  <c r="M141" i="12"/>
  <c r="M150" i="12"/>
  <c r="M157" i="12"/>
  <c r="M166" i="12"/>
  <c r="M173" i="12"/>
  <c r="M182" i="12"/>
  <c r="M188" i="12"/>
  <c r="M197" i="12"/>
  <c r="M209" i="12"/>
  <c r="M221" i="12"/>
  <c r="M231" i="12"/>
  <c r="M244" i="12"/>
  <c r="M245" i="12"/>
  <c r="M259" i="12"/>
  <c r="M287" i="12"/>
  <c r="M292" i="12"/>
  <c r="M293" i="12"/>
  <c r="M298" i="12"/>
  <c r="M313" i="12"/>
  <c r="M329" i="12"/>
  <c r="M341" i="12"/>
  <c r="M388" i="12"/>
  <c r="M405" i="12"/>
  <c r="M416" i="12"/>
  <c r="M432" i="12"/>
  <c r="M448" i="12"/>
  <c r="M450" i="12"/>
  <c r="M469" i="12"/>
  <c r="M473" i="12"/>
  <c r="M486" i="12"/>
  <c r="M523" i="12"/>
  <c r="M524" i="12"/>
  <c r="M525" i="12"/>
  <c r="M526" i="12"/>
  <c r="M542" i="12"/>
  <c r="M543" i="12"/>
  <c r="M579" i="12"/>
  <c r="M580" i="12"/>
  <c r="M582" i="12"/>
  <c r="M596" i="12"/>
  <c r="M14" i="12"/>
  <c r="M17" i="12"/>
  <c r="M30" i="12"/>
  <c r="M33" i="12"/>
  <c r="M46" i="12"/>
  <c r="M49" i="12"/>
  <c r="M63" i="12"/>
  <c r="M66" i="12"/>
  <c r="M79" i="12"/>
  <c r="M82" i="12"/>
  <c r="M95" i="12"/>
  <c r="M98" i="12"/>
  <c r="M111" i="12"/>
  <c r="M114" i="12"/>
  <c r="M127" i="12"/>
  <c r="M130" i="12"/>
  <c r="M143" i="12"/>
  <c r="M146" i="12"/>
  <c r="M159" i="12"/>
  <c r="M162" i="12"/>
  <c r="M175" i="12"/>
  <c r="M178" i="12"/>
  <c r="M191" i="12"/>
  <c r="M203" i="12"/>
  <c r="M205" i="12"/>
  <c r="M214" i="12"/>
  <c r="M215" i="12"/>
  <c r="M229" i="12"/>
  <c r="M239" i="12"/>
  <c r="M251" i="12"/>
  <c r="M267" i="12"/>
  <c r="M279" i="12"/>
  <c r="M303" i="12"/>
  <c r="M304" i="12"/>
  <c r="M321" i="12"/>
  <c r="J357" i="12"/>
  <c r="M357" i="12" s="1"/>
  <c r="M412" i="12"/>
  <c r="M444" i="12"/>
  <c r="M514" i="12"/>
  <c r="M508" i="12"/>
  <c r="M10" i="12"/>
  <c r="M26" i="12"/>
  <c r="M42" i="12"/>
  <c r="M58" i="12"/>
  <c r="M576" i="12"/>
  <c r="M384" i="12"/>
  <c r="M428" i="12"/>
  <c r="M468" i="12"/>
  <c r="M498" i="12"/>
  <c r="M381" i="12"/>
  <c r="M383" i="12"/>
  <c r="M392" i="12"/>
  <c r="M394" i="12"/>
  <c r="M403" i="12"/>
  <c r="M411" i="12"/>
  <c r="M417" i="12"/>
  <c r="M427" i="12"/>
  <c r="M441" i="12"/>
  <c r="M443" i="12"/>
  <c r="M451" i="12"/>
  <c r="M453" i="12"/>
  <c r="M466" i="12"/>
  <c r="M472" i="12"/>
  <c r="M497" i="12"/>
  <c r="M527" i="12"/>
  <c r="M573" i="12"/>
  <c r="M575" i="12"/>
  <c r="M603" i="12"/>
  <c r="M605" i="12"/>
  <c r="M47" i="12"/>
  <c r="M87" i="12"/>
  <c r="M107" i="12"/>
  <c r="M119" i="12"/>
  <c r="M128" i="12"/>
  <c r="M139" i="12"/>
  <c r="M151" i="12"/>
  <c r="M160" i="12"/>
  <c r="M171" i="12"/>
  <c r="M183" i="12"/>
  <c r="M236" i="12"/>
  <c r="M237" i="12"/>
  <c r="M268" i="12"/>
  <c r="M269" i="12"/>
  <c r="J294" i="12"/>
  <c r="M294" i="12" s="1"/>
  <c r="N294" i="12"/>
  <c r="M331" i="12"/>
  <c r="M372" i="12"/>
  <c r="M385" i="12"/>
  <c r="M387" i="12"/>
  <c r="M413" i="12"/>
  <c r="M419" i="12"/>
  <c r="M421" i="12"/>
  <c r="M429" i="12"/>
  <c r="M431" i="12"/>
  <c r="M435" i="12"/>
  <c r="M445" i="12"/>
  <c r="M455" i="12"/>
  <c r="M489" i="12"/>
  <c r="M499" i="12"/>
  <c r="M515" i="12"/>
  <c r="M517" i="12"/>
  <c r="M528" i="12"/>
  <c r="M529" i="12"/>
  <c r="M551" i="12"/>
  <c r="M562" i="12"/>
  <c r="M563" i="12"/>
  <c r="M564" i="12"/>
  <c r="M565" i="12"/>
  <c r="M566" i="12"/>
  <c r="M577" i="12"/>
  <c r="M583" i="12"/>
  <c r="M584" i="12"/>
  <c r="M585" i="12"/>
  <c r="M11" i="12"/>
  <c r="M27" i="12"/>
  <c r="M43" i="12"/>
  <c r="M59" i="12"/>
  <c r="M187" i="12"/>
  <c r="M198" i="12"/>
  <c r="M210" i="12"/>
  <c r="M260" i="12"/>
  <c r="M261" i="12"/>
  <c r="N310" i="12"/>
  <c r="J310" i="12"/>
  <c r="M310" i="12" s="1"/>
  <c r="M322" i="12"/>
  <c r="M323" i="12"/>
  <c r="M347" i="12"/>
  <c r="K347" i="12"/>
  <c r="N347" i="12" s="1"/>
  <c r="M358" i="12"/>
  <c r="M479" i="12"/>
  <c r="M487" i="12"/>
  <c r="M495" i="12"/>
  <c r="M505" i="12"/>
  <c r="M507" i="12"/>
  <c r="M513" i="12"/>
  <c r="M561" i="12"/>
  <c r="M574" i="12"/>
  <c r="M602" i="12"/>
  <c r="M604" i="12"/>
  <c r="M15" i="12"/>
  <c r="M31" i="12"/>
  <c r="M64" i="12"/>
  <c r="M75" i="12"/>
  <c r="M96" i="12"/>
  <c r="M330" i="12"/>
  <c r="M365" i="12"/>
  <c r="M368" i="12"/>
  <c r="M374" i="12"/>
  <c r="M376" i="12"/>
  <c r="M379" i="12"/>
  <c r="M389" i="12"/>
  <c r="M397" i="12"/>
  <c r="M400" i="12"/>
  <c r="M406" i="12"/>
  <c r="M408" i="12"/>
  <c r="M422" i="12"/>
  <c r="M424" i="12"/>
  <c r="M433" i="12"/>
  <c r="M436" i="12"/>
  <c r="M439" i="12"/>
  <c r="M446" i="12"/>
  <c r="M449" i="12"/>
  <c r="M456" i="12"/>
  <c r="M458" i="12"/>
  <c r="M460" i="12"/>
  <c r="M462" i="12"/>
  <c r="M464" i="12"/>
  <c r="M470" i="12"/>
  <c r="M476" i="12"/>
  <c r="M482" i="12"/>
  <c r="M484" i="12"/>
  <c r="M490" i="12"/>
  <c r="M493" i="12"/>
  <c r="M500" i="12"/>
  <c r="M503" i="12"/>
  <c r="M510" i="12"/>
  <c r="M518" i="12"/>
  <c r="M520" i="12"/>
  <c r="M521" i="12"/>
  <c r="M522" i="12"/>
  <c r="M531" i="12"/>
  <c r="M541" i="12"/>
  <c r="M552" i="12"/>
  <c r="M553" i="12"/>
  <c r="M590" i="12"/>
  <c r="M598" i="12"/>
  <c r="M600" i="12"/>
  <c r="M7" i="12"/>
  <c r="M23" i="12"/>
  <c r="M39" i="12"/>
  <c r="M55" i="12"/>
  <c r="M71" i="12"/>
  <c r="M80" i="12"/>
  <c r="M91" i="12"/>
  <c r="M103" i="12"/>
  <c r="M112" i="12"/>
  <c r="M123" i="12"/>
  <c r="M135" i="12"/>
  <c r="M144" i="12"/>
  <c r="M155" i="12"/>
  <c r="M167" i="12"/>
  <c r="M176" i="12"/>
  <c r="M222" i="12"/>
  <c r="M223" i="12"/>
  <c r="M252" i="12"/>
  <c r="M253" i="12"/>
  <c r="M284" i="12"/>
  <c r="M285" i="12"/>
  <c r="M314" i="12"/>
  <c r="M315" i="12"/>
  <c r="M534" i="12"/>
  <c r="M535" i="12"/>
  <c r="M536" i="12"/>
  <c r="M544" i="12"/>
  <c r="M546" i="12"/>
  <c r="M548" i="12"/>
  <c r="M554" i="12"/>
  <c r="M556" i="12"/>
  <c r="M558" i="12"/>
  <c r="M567" i="12"/>
  <c r="M568" i="12"/>
  <c r="M569" i="12"/>
  <c r="M570" i="12"/>
  <c r="M571" i="12"/>
  <c r="M581" i="12"/>
  <c r="M586" i="12"/>
  <c r="M587" i="12"/>
  <c r="M594" i="12"/>
  <c r="M606" i="12"/>
  <c r="M60" i="12"/>
  <c r="M76" i="12"/>
  <c r="M92" i="12"/>
  <c r="M108" i="12"/>
  <c r="M124" i="12"/>
  <c r="M140" i="12"/>
  <c r="M156" i="12"/>
  <c r="M172" i="12"/>
  <c r="M199" i="12"/>
  <c r="M299" i="12"/>
  <c r="M300" i="12"/>
  <c r="M307" i="12"/>
  <c r="M308" i="12"/>
  <c r="M350" i="12"/>
  <c r="M351" i="12"/>
  <c r="M72" i="12"/>
  <c r="M88" i="12"/>
  <c r="M104" i="12"/>
  <c r="M120" i="12"/>
  <c r="M136" i="12"/>
  <c r="M152" i="12"/>
  <c r="M168" i="12"/>
  <c r="M184" i="12"/>
  <c r="M195" i="12"/>
  <c r="M211" i="12"/>
  <c r="M218" i="12"/>
  <c r="M219" i="12"/>
  <c r="M226" i="12"/>
  <c r="M227" i="12"/>
  <c r="M232" i="12"/>
  <c r="M233" i="12"/>
  <c r="M240" i="12"/>
  <c r="M241" i="12"/>
  <c r="M248" i="12"/>
  <c r="M249" i="12"/>
  <c r="M256" i="12"/>
  <c r="M257" i="12"/>
  <c r="M264" i="12"/>
  <c r="M265" i="12"/>
  <c r="M272" i="12"/>
  <c r="M273" i="12"/>
  <c r="M280" i="12"/>
  <c r="M281" i="12"/>
  <c r="M288" i="12"/>
  <c r="M289" i="12"/>
  <c r="M311" i="12"/>
  <c r="M318" i="12"/>
  <c r="M319" i="12"/>
  <c r="M326" i="12"/>
  <c r="M327" i="12"/>
  <c r="M334" i="12"/>
  <c r="M335" i="12"/>
  <c r="M342" i="12"/>
  <c r="M343" i="12"/>
  <c r="J344" i="12"/>
  <c r="M344" i="12" s="1"/>
  <c r="N344" i="12"/>
  <c r="M345" i="12"/>
  <c r="K345" i="12"/>
  <c r="N345" i="12" s="1"/>
  <c r="M361" i="12"/>
  <c r="M362" i="12"/>
  <c r="N117" i="11"/>
  <c r="N180" i="9"/>
  <c r="N188" i="9"/>
  <c r="N196" i="9"/>
  <c r="N204" i="9"/>
  <c r="N212" i="9"/>
  <c r="N220" i="9"/>
  <c r="N270" i="9"/>
  <c r="N278" i="9"/>
  <c r="N286" i="9"/>
  <c r="N294" i="9"/>
  <c r="N302" i="9"/>
  <c r="T16" i="9"/>
  <c r="N223" i="9"/>
  <c r="N231" i="9"/>
  <c r="N239" i="9"/>
  <c r="N247" i="9"/>
  <c r="N255" i="9"/>
  <c r="N263" i="9"/>
  <c r="K312" i="9"/>
  <c r="N6" i="9"/>
  <c r="N216" i="9"/>
  <c r="H312" i="9"/>
  <c r="L312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박현신</author>
  </authors>
  <commentList>
    <comment ref="S11" authorId="0" shapeId="0" xr:uid="{FE48367B-E703-46B0-B970-AA29A05490A1}">
      <text>
        <r>
          <rPr>
            <b/>
            <sz val="9"/>
            <color indexed="81"/>
            <rFont val="돋움"/>
            <family val="3"/>
            <charset val="129"/>
          </rPr>
          <t>박현신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전체거래대금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전체거래량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B65" authorId="0" shapeId="0" xr:uid="{E3F93B72-22B8-4FC8-995A-0AEB84534DF6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거래법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시행세칙</t>
        </r>
        <r>
          <rPr>
            <sz val="9"/>
            <color indexed="81"/>
            <rFont val="Tahoma"/>
            <family val="2"/>
          </rPr>
          <t xml:space="preserve"> 14</t>
        </r>
        <r>
          <rPr>
            <sz val="9"/>
            <color indexed="81"/>
            <rFont val="돋움"/>
            <family val="3"/>
            <charset val="129"/>
          </rPr>
          <t>조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5</t>
        </r>
        <r>
          <rPr>
            <sz val="9"/>
            <color indexed="81"/>
            <rFont val="돋움"/>
            <family val="3"/>
            <charset val="129"/>
          </rPr>
          <t>거래일전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기준가격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</text>
    </comment>
  </commentList>
</comments>
</file>

<file path=xl/sharedStrings.xml><?xml version="1.0" encoding="utf-8"?>
<sst xmlns="http://schemas.openxmlformats.org/spreadsheetml/2006/main" count="501" uniqueCount="280">
  <si>
    <t>일자</t>
    <phoneticPr fontId="1" type="noConversion"/>
  </si>
  <si>
    <t>아반떼</t>
    <phoneticPr fontId="1" type="noConversion"/>
  </si>
  <si>
    <t>그렌저</t>
    <phoneticPr fontId="1" type="noConversion"/>
  </si>
  <si>
    <t>소나타</t>
    <phoneticPr fontId="1" type="noConversion"/>
  </si>
  <si>
    <t>에쿠스</t>
    <phoneticPr fontId="1" type="noConversion"/>
  </si>
  <si>
    <t>가격</t>
    <phoneticPr fontId="1" type="noConversion"/>
  </si>
  <si>
    <t>거래량(톤)</t>
    <phoneticPr fontId="1" type="noConversion"/>
  </si>
  <si>
    <t>시가</t>
    <phoneticPr fontId="1" type="noConversion"/>
  </si>
  <si>
    <t>고가</t>
    <phoneticPr fontId="1" type="noConversion"/>
  </si>
  <si>
    <t>저가</t>
    <phoneticPr fontId="1" type="noConversion"/>
  </si>
  <si>
    <t>종가</t>
    <phoneticPr fontId="1" type="noConversion"/>
  </si>
  <si>
    <t>등락률</t>
    <phoneticPr fontId="1" type="noConversion"/>
  </si>
  <si>
    <t>경쟁매매</t>
    <phoneticPr fontId="1" type="noConversion"/>
  </si>
  <si>
    <t>협의매매</t>
    <phoneticPr fontId="1" type="noConversion"/>
  </si>
  <si>
    <t>종합</t>
    <phoneticPr fontId="1" type="noConversion"/>
  </si>
  <si>
    <t>경쟁매매</t>
    <phoneticPr fontId="1" type="noConversion"/>
  </si>
  <si>
    <t>종합</t>
    <phoneticPr fontId="1" type="noConversion"/>
  </si>
  <si>
    <t>주간평균거래가</t>
    <phoneticPr fontId="1" type="noConversion"/>
  </si>
  <si>
    <t>KCU16 거래 실적</t>
    <phoneticPr fontId="1" type="noConversion"/>
  </si>
  <si>
    <t>구분</t>
    <phoneticPr fontId="1" type="noConversion"/>
  </si>
  <si>
    <t>거래량(톤)</t>
    <phoneticPr fontId="1" type="noConversion"/>
  </si>
  <si>
    <t>거래대금(원)</t>
    <phoneticPr fontId="1" type="noConversion"/>
  </si>
  <si>
    <t>평균거래가격(원)</t>
    <phoneticPr fontId="1" type="noConversion"/>
  </si>
  <si>
    <t>등락률</t>
    <phoneticPr fontId="1" type="noConversion"/>
  </si>
  <si>
    <t>협의매매</t>
    <phoneticPr fontId="1" type="noConversion"/>
  </si>
  <si>
    <t>종합</t>
    <phoneticPr fontId="1" type="noConversion"/>
  </si>
  <si>
    <t>경쟁매매</t>
    <phoneticPr fontId="1" type="noConversion"/>
  </si>
  <si>
    <t>주간평균거래가</t>
    <phoneticPr fontId="1" type="noConversion"/>
  </si>
  <si>
    <t>KOC 거래 실적</t>
    <phoneticPr fontId="1" type="noConversion"/>
  </si>
  <si>
    <t>구분</t>
    <phoneticPr fontId="1" type="noConversion"/>
  </si>
  <si>
    <t>거래대금(원)</t>
    <phoneticPr fontId="1" type="noConversion"/>
  </si>
  <si>
    <t>시가</t>
    <phoneticPr fontId="1" type="noConversion"/>
  </si>
  <si>
    <t>고가</t>
    <phoneticPr fontId="1" type="noConversion"/>
  </si>
  <si>
    <t>저가</t>
    <phoneticPr fontId="1" type="noConversion"/>
  </si>
  <si>
    <t>등락률</t>
    <phoneticPr fontId="1" type="noConversion"/>
  </si>
  <si>
    <t>2016/05/23</t>
  </si>
  <si>
    <t>2016/05/24</t>
  </si>
  <si>
    <t>2016/05/25</t>
  </si>
  <si>
    <t>2016/05/26</t>
  </si>
  <si>
    <t>2016/05/27</t>
  </si>
  <si>
    <t>2016/05/30</t>
  </si>
  <si>
    <t>2016/05/31</t>
  </si>
  <si>
    <t>2016/06/01</t>
  </si>
  <si>
    <t>2016/06/02</t>
  </si>
  <si>
    <t>2016/06/03</t>
  </si>
  <si>
    <t>2016/06/07</t>
  </si>
  <si>
    <t>2016/06/08</t>
  </si>
  <si>
    <t>2016/06/09</t>
  </si>
  <si>
    <t>2016/06/10</t>
  </si>
  <si>
    <t>2016/06/13</t>
  </si>
  <si>
    <t>2016/06/14</t>
  </si>
  <si>
    <t>2016/06/15</t>
  </si>
  <si>
    <t>2016/06/16</t>
  </si>
  <si>
    <t>2016/06/17</t>
  </si>
  <si>
    <t>2016/06/20</t>
  </si>
  <si>
    <t>2016/06/21</t>
  </si>
  <si>
    <t>2016/06/22</t>
  </si>
  <si>
    <t>2016/06/23</t>
  </si>
  <si>
    <t>2016/06/24</t>
  </si>
  <si>
    <t>2016/06/27</t>
  </si>
  <si>
    <t>2016/06/28</t>
  </si>
  <si>
    <t>2016/06/29</t>
  </si>
  <si>
    <t>2016/06/30</t>
  </si>
  <si>
    <t>2016/07/01</t>
  </si>
  <si>
    <t>2016/07/04</t>
  </si>
  <si>
    <t>2016/07/05</t>
  </si>
  <si>
    <t>2016/07/06</t>
  </si>
  <si>
    <t>2016/07/07</t>
  </si>
  <si>
    <t>2016/07/08</t>
  </si>
  <si>
    <t>2016/07/11</t>
  </si>
  <si>
    <t>2016/07/12</t>
  </si>
  <si>
    <t>2016/07/13</t>
  </si>
  <si>
    <t>2016/07/14</t>
  </si>
  <si>
    <t>2016/07/15</t>
  </si>
  <si>
    <t>2016/07/18</t>
  </si>
  <si>
    <t>2016/07/19</t>
  </si>
  <si>
    <t>2016/07/20</t>
  </si>
  <si>
    <t>2016/07/21</t>
  </si>
  <si>
    <t>2016/07/22</t>
  </si>
  <si>
    <t>2016/07/25</t>
  </si>
  <si>
    <t>2016/07/26</t>
  </si>
  <si>
    <t>2016/07/27</t>
  </si>
  <si>
    <t>2016/07/28</t>
  </si>
  <si>
    <t>2016/07/29</t>
  </si>
  <si>
    <t>2016/08/01</t>
  </si>
  <si>
    <t>2016/08/02</t>
  </si>
  <si>
    <t>2016/08/03</t>
  </si>
  <si>
    <t>2016/08/04</t>
  </si>
  <si>
    <t>2016/08/05</t>
  </si>
  <si>
    <t>2016/08/08</t>
  </si>
  <si>
    <t>2016/08/09</t>
  </si>
  <si>
    <t>2016/08/10</t>
  </si>
  <si>
    <t>2016/08/11</t>
  </si>
  <si>
    <t>2016/08/12</t>
  </si>
  <si>
    <t>2016/08/16</t>
  </si>
  <si>
    <t>2016/08/17</t>
  </si>
  <si>
    <t>2016/08/18</t>
  </si>
  <si>
    <t>2016/08/19</t>
  </si>
  <si>
    <t>2016/08/22</t>
  </si>
  <si>
    <t>2016/08/23</t>
  </si>
  <si>
    <t>2016/08/24</t>
  </si>
  <si>
    <t>2016/08/25</t>
  </si>
  <si>
    <t>2016/08/26</t>
  </si>
  <si>
    <t>2016/08/29</t>
  </si>
  <si>
    <t>2016/08/30</t>
  </si>
  <si>
    <t>2016/08/31</t>
  </si>
  <si>
    <t>2016/09/01</t>
  </si>
  <si>
    <t>2016/09/02</t>
  </si>
  <si>
    <t>2016/09/05</t>
  </si>
  <si>
    <t>2016/09/06</t>
  </si>
  <si>
    <t>2016/09/07</t>
  </si>
  <si>
    <t>2016/09/08</t>
  </si>
  <si>
    <t>2016/09/09</t>
  </si>
  <si>
    <t>2016/09/12</t>
  </si>
  <si>
    <t>2016/09/13</t>
  </si>
  <si>
    <t>2016/09/19</t>
  </si>
  <si>
    <t>2016/09/20</t>
  </si>
  <si>
    <t>2016/09/21</t>
  </si>
  <si>
    <t>2016/09/22</t>
  </si>
  <si>
    <t>2016/09/23</t>
  </si>
  <si>
    <t>2016/09/26</t>
  </si>
  <si>
    <t>2016/09/27</t>
  </si>
  <si>
    <t>2016/09/28</t>
  </si>
  <si>
    <t>2016/09/29</t>
  </si>
  <si>
    <t>2016/09/30</t>
  </si>
  <si>
    <t>2016/10/04</t>
  </si>
  <si>
    <t>2016/10/05</t>
  </si>
  <si>
    <t>2016/10/06</t>
  </si>
  <si>
    <t>2016/10/07</t>
  </si>
  <si>
    <t>2016/10/10</t>
  </si>
  <si>
    <t>2016/10/11</t>
  </si>
  <si>
    <t>2016/10/12</t>
  </si>
  <si>
    <t>2016/10/13</t>
  </si>
  <si>
    <t>2016/10/14</t>
  </si>
  <si>
    <t>평균거래가격(원)</t>
    <phoneticPr fontId="1" type="noConversion"/>
  </si>
  <si>
    <t>고가</t>
    <phoneticPr fontId="1" type="noConversion"/>
  </si>
  <si>
    <t>KCU15 거래 실적</t>
    <phoneticPr fontId="1" type="noConversion"/>
  </si>
  <si>
    <t>평균거래가격(원)</t>
    <phoneticPr fontId="1" type="noConversion"/>
  </si>
  <si>
    <t>비고</t>
    <phoneticPr fontId="1" type="noConversion"/>
  </si>
  <si>
    <t>시가</t>
    <phoneticPr fontId="1" type="noConversion"/>
  </si>
  <si>
    <t>종가</t>
    <phoneticPr fontId="1" type="noConversion"/>
  </si>
  <si>
    <t>거래 종합(20160701~)</t>
    <phoneticPr fontId="1" type="noConversion"/>
  </si>
  <si>
    <t>구분</t>
    <phoneticPr fontId="1" type="noConversion"/>
  </si>
  <si>
    <t>KAU15</t>
    <phoneticPr fontId="1" type="noConversion"/>
  </si>
  <si>
    <t>KCU15</t>
    <phoneticPr fontId="1" type="noConversion"/>
  </si>
  <si>
    <t>KOC</t>
    <phoneticPr fontId="1" type="noConversion"/>
  </si>
  <si>
    <t>종가</t>
    <phoneticPr fontId="1" type="noConversion"/>
  </si>
  <si>
    <t>거래가격</t>
    <phoneticPr fontId="1" type="noConversion"/>
  </si>
  <si>
    <t xml:space="preserve">평균가  </t>
    <phoneticPr fontId="1" type="noConversion"/>
  </si>
  <si>
    <t xml:space="preserve">최고가  </t>
    <phoneticPr fontId="1" type="noConversion"/>
  </si>
  <si>
    <t xml:space="preserve">최저가  </t>
    <phoneticPr fontId="1" type="noConversion"/>
  </si>
  <si>
    <t>거래량</t>
    <phoneticPr fontId="1" type="noConversion"/>
  </si>
  <si>
    <t xml:space="preserve">전체     </t>
    <phoneticPr fontId="1" type="noConversion"/>
  </si>
  <si>
    <t xml:space="preserve">경쟁     </t>
    <phoneticPr fontId="1" type="noConversion"/>
  </si>
  <si>
    <t xml:space="preserve">협의     </t>
    <phoneticPr fontId="1" type="noConversion"/>
  </si>
  <si>
    <t>2016/01/18</t>
  </si>
  <si>
    <t>2016/01/19</t>
  </si>
  <si>
    <t>2016/01/20</t>
  </si>
  <si>
    <t>2016/01/21</t>
  </si>
  <si>
    <t>2016/01/22</t>
  </si>
  <si>
    <t>2016/01/25</t>
  </si>
  <si>
    <t>2016/01/26</t>
  </si>
  <si>
    <t>2016/01/27</t>
  </si>
  <si>
    <t>2016/01/28</t>
  </si>
  <si>
    <t>2016/01/29</t>
  </si>
  <si>
    <t>2016/02/01</t>
  </si>
  <si>
    <t>2016/02/02</t>
  </si>
  <si>
    <t>2016/02/03</t>
  </si>
  <si>
    <t>2016/02/04</t>
  </si>
  <si>
    <t>2016/02/05</t>
  </si>
  <si>
    <t>2016/02/11</t>
  </si>
  <si>
    <t>2016/02/12</t>
  </si>
  <si>
    <t>2016/02/15</t>
  </si>
  <si>
    <t>2016/02/16</t>
  </si>
  <si>
    <t>2016/02/17</t>
  </si>
  <si>
    <t>2016/02/18</t>
  </si>
  <si>
    <t>2016/02/19</t>
  </si>
  <si>
    <t>2016/02/22</t>
  </si>
  <si>
    <t>2016/02/23</t>
  </si>
  <si>
    <t>2016/02/24</t>
  </si>
  <si>
    <t>2016/02/25</t>
  </si>
  <si>
    <t>2016/02/26</t>
  </si>
  <si>
    <t>2016/02/29</t>
  </si>
  <si>
    <t>2016/03/02</t>
  </si>
  <si>
    <t>2016/03/03</t>
  </si>
  <si>
    <t>2016/03/04</t>
  </si>
  <si>
    <t>2016/03/07</t>
  </si>
  <si>
    <t>2016/03/08</t>
  </si>
  <si>
    <t>2016/03/09</t>
  </si>
  <si>
    <t>2016/03/10</t>
  </si>
  <si>
    <t>2016/03/11</t>
  </si>
  <si>
    <t>2016/03/14</t>
  </si>
  <si>
    <t>2016/03/15</t>
  </si>
  <si>
    <t>2016/03/16</t>
  </si>
  <si>
    <t>2016/03/17</t>
  </si>
  <si>
    <t>2016/03/18</t>
  </si>
  <si>
    <t>2016/03/21</t>
  </si>
  <si>
    <t>2016/03/22</t>
  </si>
  <si>
    <t>2016/03/23</t>
  </si>
  <si>
    <t>2016/03/24</t>
  </si>
  <si>
    <t>2016/03/25</t>
  </si>
  <si>
    <t>2016/03/28</t>
  </si>
  <si>
    <t>2016/03/29</t>
  </si>
  <si>
    <t>2016/03/30</t>
  </si>
  <si>
    <t>2016/03/31</t>
  </si>
  <si>
    <t>2016/04/01</t>
  </si>
  <si>
    <t>2016/04/04</t>
  </si>
  <si>
    <t>2016/04/05</t>
  </si>
  <si>
    <t>2016/04/06</t>
  </si>
  <si>
    <t>2016/04/07</t>
  </si>
  <si>
    <t>2016/04/08</t>
  </si>
  <si>
    <t>2016/04/11</t>
  </si>
  <si>
    <t>2016/04/12</t>
  </si>
  <si>
    <t>2016/04/14</t>
  </si>
  <si>
    <t>2016/04/15</t>
  </si>
  <si>
    <t>2016/04/18</t>
  </si>
  <si>
    <t>2016/04/19</t>
  </si>
  <si>
    <t>2016/04/20</t>
  </si>
  <si>
    <t>2016/04/21</t>
  </si>
  <si>
    <t>2016/04/22</t>
  </si>
  <si>
    <t>2016/04/25</t>
  </si>
  <si>
    <t>2016/04/26</t>
  </si>
  <si>
    <t>2016/04/27</t>
  </si>
  <si>
    <t>2016/04/28</t>
  </si>
  <si>
    <t>2016/04/29</t>
  </si>
  <si>
    <t>2016/05/02</t>
  </si>
  <si>
    <t>2016/05/03</t>
  </si>
  <si>
    <t>2016/05/04</t>
  </si>
  <si>
    <t>2016/05/09</t>
  </si>
  <si>
    <t>2016/05/10</t>
  </si>
  <si>
    <t>2016/05/11</t>
  </si>
  <si>
    <t>2016/05/12</t>
  </si>
  <si>
    <t>2016/05/13</t>
  </si>
  <si>
    <t>2016/05/16</t>
  </si>
  <si>
    <t>2016/05/17</t>
  </si>
  <si>
    <t>2016/05/18</t>
  </si>
  <si>
    <t>2016/05/19</t>
  </si>
  <si>
    <t>2016/05/20</t>
  </si>
  <si>
    <t>KCU16 거래 실적</t>
    <phoneticPr fontId="1" type="noConversion"/>
  </si>
  <si>
    <t>가격</t>
    <phoneticPr fontId="1" type="noConversion"/>
  </si>
  <si>
    <t>고가</t>
    <phoneticPr fontId="1" type="noConversion"/>
  </si>
  <si>
    <t>협의매매</t>
    <phoneticPr fontId="1" type="noConversion"/>
  </si>
  <si>
    <t>경쟁매매</t>
    <phoneticPr fontId="1" type="noConversion"/>
  </si>
  <si>
    <t>종합</t>
    <phoneticPr fontId="1" type="noConversion"/>
  </si>
  <si>
    <t>거래량(톤) 경쟁매매</t>
    <phoneticPr fontId="1" type="noConversion"/>
  </si>
  <si>
    <t>거래량(톤) 협의매매</t>
    <phoneticPr fontId="1" type="noConversion"/>
  </si>
  <si>
    <t>거래량(톤) 종합</t>
    <phoneticPr fontId="1" type="noConversion"/>
  </si>
  <si>
    <t>거래대금(원) 경쟁매매</t>
    <phoneticPr fontId="1" type="noConversion"/>
  </si>
  <si>
    <t>거래대금(원) 협의매매</t>
    <phoneticPr fontId="1" type="noConversion"/>
  </si>
  <si>
    <t>거래대금(원) 종합</t>
    <phoneticPr fontId="1" type="noConversion"/>
  </si>
  <si>
    <t>평균거래가격(원) 경쟁매매</t>
    <phoneticPr fontId="1" type="noConversion"/>
  </si>
  <si>
    <t>평균거래가격(원) 협의매매</t>
    <phoneticPr fontId="1" type="noConversion"/>
  </si>
  <si>
    <t>평균거래가격(원) 종합</t>
    <phoneticPr fontId="1" type="noConversion"/>
  </si>
  <si>
    <t>비고</t>
    <phoneticPr fontId="1" type="noConversion"/>
  </si>
  <si>
    <r>
      <t>차트는 변경되지</t>
    </r>
    <r>
      <rPr>
        <sz val="11"/>
        <color theme="1"/>
        <rFont val="맑은 고딕"/>
        <family val="2"/>
        <charset val="129"/>
        <scheme val="minor"/>
      </rPr>
      <t xml:space="preserve"> 않음</t>
    </r>
    <phoneticPr fontId="1" type="noConversion"/>
  </si>
  <si>
    <t>combobox1</t>
    <phoneticPr fontId="1" type="noConversion"/>
  </si>
  <si>
    <t>combobox2</t>
    <phoneticPr fontId="1" type="noConversion"/>
  </si>
  <si>
    <t>경쟁매매</t>
    <phoneticPr fontId="1" type="noConversion"/>
  </si>
  <si>
    <t>협의 매매</t>
    <phoneticPr fontId="1" type="noConversion"/>
  </si>
  <si>
    <t>종합</t>
    <phoneticPr fontId="1" type="noConversion"/>
  </si>
  <si>
    <t>누적값</t>
    <phoneticPr fontId="1" type="noConversion"/>
  </si>
  <si>
    <t>기간값</t>
    <phoneticPr fontId="1" type="noConversion"/>
  </si>
  <si>
    <r>
      <t>휴장이 있으면</t>
    </r>
    <r>
      <rPr>
        <sz val="11"/>
        <color theme="1"/>
        <rFont val="맑은 고딕"/>
        <family val="2"/>
        <charset val="129"/>
        <scheme val="minor"/>
      </rPr>
      <t xml:space="preserve"> 안나온다</t>
    </r>
    <phoneticPr fontId="1" type="noConversion"/>
  </si>
  <si>
    <t>filter</t>
    <phoneticPr fontId="1" type="noConversion"/>
  </si>
  <si>
    <t>case1</t>
    <phoneticPr fontId="1" type="noConversion"/>
  </si>
  <si>
    <t>case2</t>
    <phoneticPr fontId="1" type="noConversion"/>
  </si>
  <si>
    <t>날짜선택</t>
    <phoneticPr fontId="1" type="noConversion"/>
  </si>
  <si>
    <t>시작</t>
    <phoneticPr fontId="1" type="noConversion"/>
  </si>
  <si>
    <t>끝</t>
    <phoneticPr fontId="1" type="noConversion"/>
  </si>
  <si>
    <r>
      <t>빈 값이</t>
    </r>
    <r>
      <rPr>
        <sz val="11"/>
        <color theme="1"/>
        <rFont val="맑은 고딕"/>
        <family val="2"/>
        <charset val="129"/>
        <scheme val="minor"/>
      </rPr>
      <t xml:space="preserve"> 있는 날짜는 뺀다</t>
    </r>
    <phoneticPr fontId="1" type="noConversion"/>
  </si>
  <si>
    <r>
      <t>데이터는 아얘</t>
    </r>
    <r>
      <rPr>
        <sz val="11"/>
        <color theme="1"/>
        <rFont val="맑은 고딕"/>
        <family val="2"/>
        <charset val="129"/>
        <scheme val="minor"/>
      </rPr>
      <t xml:space="preserve"> 없는데 날짜가 넘게 선택 된경우</t>
    </r>
    <phoneticPr fontId="1" type="noConversion"/>
  </si>
  <si>
    <r>
      <t>버튼 누르는</t>
    </r>
    <r>
      <rPr>
        <sz val="11"/>
        <color theme="1"/>
        <rFont val="맑은 고딕"/>
        <family val="2"/>
        <charset val="129"/>
        <scheme val="minor"/>
      </rPr>
      <t xml:space="preserve"> 날짜 기준</t>
    </r>
    <phoneticPr fontId="1" type="noConversion"/>
  </si>
  <si>
    <t>목요일</t>
    <phoneticPr fontId="1" type="noConversion"/>
  </si>
  <si>
    <t>월</t>
    <phoneticPr fontId="1" type="noConversion"/>
  </si>
  <si>
    <t>금</t>
    <phoneticPr fontId="1" type="noConversion"/>
  </si>
  <si>
    <t>버튼 클릭</t>
    <phoneticPr fontId="1" type="noConversion"/>
  </si>
  <si>
    <t>화</t>
    <phoneticPr fontId="1" type="noConversion"/>
  </si>
  <si>
    <t>기준</t>
    <phoneticPr fontId="1" type="noConversion"/>
  </si>
  <si>
    <t>데이터의 마지막</t>
    <phoneticPr fontId="1" type="noConversion"/>
  </si>
  <si>
    <t>Click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</si>
</sst>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-* #,##0_-;\-* #,##0_-;_-* &quot;-&quot;_-;_-@_-"/>
    <numFmt numFmtId="176" formatCode="_-* #,##0.0_-;\-* #,##0.0_-;_-* &quot;-&quot;_-;_-@_-"/>
    <numFmt numFmtId="177" formatCode="yyyy&quot;/&quot;mm&quot;/&quot;dd;@"/>
    <numFmt numFmtId="178" formatCode="0.00_);[Red]\(0.00\)"/>
    <numFmt numFmtId="179" formatCode="0.0%"/>
    <numFmt numFmtId="180" formatCode="_-* #,##0.00_-;\-* #,##0.00_-;_-* &quot;-&quot;_-;_-@_-"/>
  </numFmts>
  <fonts count="2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8"/>
      <color theme="1"/>
      <name val="돋움"/>
      <family val="3"/>
      <charset val="129"/>
    </font>
    <font>
      <sz val="12"/>
      <color theme="1"/>
      <name val="돋움"/>
      <family val="3"/>
      <charset val="129"/>
    </font>
    <font>
      <b/>
      <sz val="9"/>
      <color theme="0"/>
      <name val="돋움"/>
      <family val="3"/>
      <charset val="129"/>
    </font>
    <font>
      <b/>
      <sz val="8"/>
      <color theme="0"/>
      <name val="돋움"/>
      <family val="3"/>
      <charset val="129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0"/>
      <name val="Arial"/>
      <family val="2"/>
    </font>
    <font>
      <sz val="8"/>
      <name val="돋움"/>
      <family val="3"/>
      <charset val="129"/>
    </font>
    <font>
      <b/>
      <sz val="10"/>
      <color theme="1"/>
      <name val="돋움"/>
      <family val="3"/>
      <charset val="129"/>
    </font>
    <font>
      <sz val="10"/>
      <name val="돋움"/>
      <family val="3"/>
      <charset val="129"/>
    </font>
    <font>
      <b/>
      <sz val="8"/>
      <color theme="0"/>
      <name val="맑은 고딕"/>
      <family val="3"/>
      <charset val="129"/>
      <scheme val="minor"/>
    </font>
    <font>
      <sz val="8"/>
      <color theme="1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  <font>
      <sz val="8"/>
      <color indexed="63"/>
      <name val="돋움"/>
      <family val="3"/>
      <charset val="129"/>
    </font>
    <font>
      <b/>
      <sz val="9"/>
      <color indexed="81"/>
      <name val="돋움"/>
      <family val="3"/>
      <charset val="129"/>
    </font>
    <font>
      <sz val="9"/>
      <color theme="1"/>
      <name val="돋움"/>
      <family val="3"/>
      <charset val="129"/>
    </font>
    <font>
      <sz val="10"/>
      <color theme="1"/>
      <name val="돋움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215967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theme="0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12" fillId="0" borderId="0" applyNumberFormat="0" applyFont="0" applyFill="0" applyBorder="0" applyAlignment="0" applyProtection="0"/>
  </cellStyleXfs>
  <cellXfs count="95">
    <xf numFmtId="0" fontId="0" fillId="0" borderId="0" xfId="0">
      <alignment vertical="center"/>
    </xf>
    <xf numFmtId="14" fontId="0" fillId="0" borderId="0" xfId="0" applyNumberFormat="1">
      <alignment vertical="center"/>
    </xf>
    <xf numFmtId="14" fontId="3" fillId="0" borderId="0" xfId="0" applyNumberFormat="1" applyFont="1">
      <alignment vertical="center"/>
    </xf>
    <xf numFmtId="0" fontId="3" fillId="0" borderId="0" xfId="0" applyFont="1">
      <alignment vertical="center"/>
    </xf>
    <xf numFmtId="41" fontId="5" fillId="0" borderId="1" xfId="1" applyFont="1" applyFill="1" applyBorder="1">
      <alignment vertical="center"/>
    </xf>
    <xf numFmtId="0" fontId="6" fillId="0" borderId="0" xfId="0" applyFont="1">
      <alignment vertical="center"/>
    </xf>
    <xf numFmtId="41" fontId="6" fillId="0" borderId="0" xfId="0" applyNumberFormat="1" applyFont="1">
      <alignment vertical="center"/>
    </xf>
    <xf numFmtId="0" fontId="5" fillId="0" borderId="0" xfId="0" applyFont="1">
      <alignment vertical="center"/>
    </xf>
    <xf numFmtId="0" fontId="8" fillId="2" borderId="1" xfId="0" applyFont="1" applyFill="1" applyBorder="1" applyAlignment="1">
      <alignment horizontal="center" vertical="center"/>
    </xf>
    <xf numFmtId="176" fontId="8" fillId="2" borderId="1" xfId="0" applyNumberFormat="1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41" fontId="5" fillId="0" borderId="1" xfId="1" applyFont="1" applyBorder="1" applyAlignment="1">
      <alignment horizontal="right" vertical="center"/>
    </xf>
    <xf numFmtId="178" fontId="5" fillId="0" borderId="1" xfId="1" applyNumberFormat="1" applyFont="1" applyBorder="1" applyAlignment="1">
      <alignment horizontal="right" vertical="center"/>
    </xf>
    <xf numFmtId="41" fontId="5" fillId="0" borderId="1" xfId="1" applyFont="1" applyFill="1" applyBorder="1" applyAlignment="1">
      <alignment horizontal="right" vertical="center"/>
    </xf>
    <xf numFmtId="41" fontId="5" fillId="0" borderId="1" xfId="1" applyFont="1" applyFill="1" applyBorder="1" applyAlignment="1">
      <alignment horizontal="center" vertical="center"/>
    </xf>
    <xf numFmtId="0" fontId="0" fillId="3" borderId="0" xfId="0" applyFill="1">
      <alignment vertical="center"/>
    </xf>
    <xf numFmtId="177" fontId="5" fillId="0" borderId="1" xfId="0" applyNumberFormat="1" applyFont="1" applyBorder="1" applyAlignment="1">
      <alignment horizontal="center" vertical="center"/>
    </xf>
    <xf numFmtId="41" fontId="0" fillId="0" borderId="0" xfId="0" applyNumberFormat="1">
      <alignment vertical="center"/>
    </xf>
    <xf numFmtId="0" fontId="6" fillId="0" borderId="0" xfId="0" applyFont="1" applyFill="1">
      <alignment vertical="center"/>
    </xf>
    <xf numFmtId="178" fontId="5" fillId="0" borderId="1" xfId="1" applyNumberFormat="1" applyFont="1" applyFill="1" applyBorder="1" applyAlignment="1">
      <alignment horizontal="right" vertical="center"/>
    </xf>
    <xf numFmtId="41" fontId="5" fillId="0" borderId="1" xfId="1" applyNumberFormat="1" applyFont="1" applyFill="1" applyBorder="1" applyAlignment="1">
      <alignment horizontal="right" vertical="center"/>
    </xf>
    <xf numFmtId="41" fontId="5" fillId="0" borderId="1" xfId="1" applyFont="1" applyBorder="1" applyAlignment="1">
      <alignment horizontal="center" vertical="center"/>
    </xf>
    <xf numFmtId="41" fontId="6" fillId="0" borderId="1" xfId="1" applyFont="1" applyFill="1" applyBorder="1">
      <alignment vertical="center"/>
    </xf>
    <xf numFmtId="41" fontId="5" fillId="0" borderId="1" xfId="1" applyNumberFormat="1" applyFont="1" applyBorder="1" applyAlignment="1">
      <alignment horizontal="right" vertical="center"/>
    </xf>
    <xf numFmtId="41" fontId="0" fillId="0" borderId="0" xfId="1" applyFont="1">
      <alignment vertical="center"/>
    </xf>
    <xf numFmtId="41" fontId="5" fillId="0" borderId="1" xfId="2" applyNumberFormat="1" applyFont="1" applyBorder="1" applyAlignment="1">
      <alignment horizontal="right" vertical="center"/>
    </xf>
    <xf numFmtId="14" fontId="5" fillId="0" borderId="1" xfId="0" applyNumberFormat="1" applyFont="1" applyBorder="1" applyAlignment="1">
      <alignment horizontal="center" vertical="center"/>
    </xf>
    <xf numFmtId="0" fontId="7" fillId="4" borderId="2" xfId="0" applyFont="1" applyFill="1" applyBorder="1" applyAlignment="1">
      <alignment horizontal="center" vertical="center"/>
    </xf>
    <xf numFmtId="0" fontId="7" fillId="4" borderId="0" xfId="0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0" fontId="8" fillId="4" borderId="3" xfId="0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176" fontId="8" fillId="4" borderId="1" xfId="0" applyNumberFormat="1" applyFont="1" applyFill="1" applyBorder="1" applyAlignment="1">
      <alignment horizontal="center" vertical="center"/>
    </xf>
    <xf numFmtId="0" fontId="8" fillId="4" borderId="4" xfId="0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/>
    </xf>
    <xf numFmtId="0" fontId="7" fillId="5" borderId="0" xfId="0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176" fontId="8" fillId="5" borderId="1" xfId="0" applyNumberFormat="1" applyFont="1" applyFill="1" applyBorder="1" applyAlignment="1">
      <alignment horizontal="center" vertical="center"/>
    </xf>
    <xf numFmtId="0" fontId="8" fillId="5" borderId="4" xfId="0" applyFont="1" applyFill="1" applyBorder="1" applyAlignment="1">
      <alignment horizontal="center" vertical="center"/>
    </xf>
    <xf numFmtId="14" fontId="5" fillId="0" borderId="1" xfId="0" applyNumberFormat="1" applyFont="1" applyFill="1" applyBorder="1" applyAlignment="1">
      <alignment horizontal="center" vertical="center"/>
    </xf>
    <xf numFmtId="55" fontId="5" fillId="0" borderId="1" xfId="0" applyNumberFormat="1" applyFont="1" applyBorder="1" applyAlignment="1">
      <alignment horizontal="center" vertical="center"/>
    </xf>
    <xf numFmtId="41" fontId="4" fillId="0" borderId="0" xfId="1" applyFont="1">
      <alignment vertical="center"/>
    </xf>
    <xf numFmtId="14" fontId="13" fillId="0" borderId="4" xfId="3" applyNumberFormat="1" applyFont="1" applyFill="1" applyBorder="1" applyAlignment="1">
      <alignment horizontal="center" vertical="center" wrapText="1"/>
    </xf>
    <xf numFmtId="41" fontId="13" fillId="0" borderId="4" xfId="3" applyNumberFormat="1" applyFont="1" applyFill="1" applyBorder="1" applyAlignment="1">
      <alignment horizontal="center" vertical="center" wrapText="1"/>
    </xf>
    <xf numFmtId="178" fontId="5" fillId="0" borderId="4" xfId="3" applyNumberFormat="1" applyFont="1" applyFill="1" applyBorder="1" applyAlignment="1">
      <alignment horizontal="right" vertical="center" wrapText="1"/>
    </xf>
    <xf numFmtId="41" fontId="5" fillId="0" borderId="1" xfId="3" applyNumberFormat="1" applyFont="1" applyFill="1" applyBorder="1" applyAlignment="1">
      <alignment horizontal="center" vertical="center" wrapText="1"/>
    </xf>
    <xf numFmtId="41" fontId="13" fillId="0" borderId="1" xfId="3" applyNumberFormat="1" applyFont="1" applyFill="1" applyBorder="1" applyAlignment="1">
      <alignment horizontal="center" vertical="center" wrapText="1"/>
    </xf>
    <xf numFmtId="14" fontId="13" fillId="0" borderId="1" xfId="3" applyNumberFormat="1" applyFont="1" applyFill="1" applyBorder="1" applyAlignment="1">
      <alignment horizontal="center" vertical="center" wrapText="1"/>
    </xf>
    <xf numFmtId="178" fontId="5" fillId="0" borderId="1" xfId="3" applyNumberFormat="1" applyFont="1" applyFill="1" applyBorder="1" applyAlignment="1">
      <alignment horizontal="right" vertical="center" wrapText="1"/>
    </xf>
    <xf numFmtId="41" fontId="5" fillId="0" borderId="4" xfId="3" applyNumberFormat="1" applyFont="1" applyFill="1" applyBorder="1" applyAlignment="1">
      <alignment horizontal="center" vertical="center" wrapText="1"/>
    </xf>
    <xf numFmtId="41" fontId="5" fillId="0" borderId="1" xfId="1" applyFont="1" applyFill="1" applyBorder="1" applyAlignment="1">
      <alignment vertical="center"/>
    </xf>
    <xf numFmtId="41" fontId="5" fillId="0" borderId="1" xfId="1" applyFont="1" applyFill="1" applyBorder="1" applyAlignment="1">
      <alignment vertical="center" wrapText="1"/>
    </xf>
    <xf numFmtId="41" fontId="5" fillId="0" borderId="1" xfId="3" applyNumberFormat="1" applyFont="1" applyFill="1" applyBorder="1" applyAlignment="1">
      <alignment horizontal="center"/>
    </xf>
    <xf numFmtId="41" fontId="13" fillId="0" borderId="1" xfId="1" applyFont="1" applyFill="1" applyBorder="1">
      <alignment vertical="center"/>
    </xf>
    <xf numFmtId="178" fontId="13" fillId="0" borderId="1" xfId="3" applyNumberFormat="1" applyFont="1" applyFill="1" applyBorder="1" applyAlignment="1">
      <alignment horizontal="right" vertical="center" wrapText="1"/>
    </xf>
    <xf numFmtId="179" fontId="6" fillId="0" borderId="0" xfId="2" applyNumberFormat="1" applyFont="1">
      <alignment vertical="center"/>
    </xf>
    <xf numFmtId="41" fontId="6" fillId="0" borderId="0" xfId="1" applyFont="1">
      <alignment vertical="center"/>
    </xf>
    <xf numFmtId="0" fontId="7" fillId="4" borderId="1" xfId="0" applyFont="1" applyFill="1" applyBorder="1" applyAlignment="1">
      <alignment horizontal="center" vertical="center"/>
    </xf>
    <xf numFmtId="0" fontId="8" fillId="4" borderId="3" xfId="0" applyFont="1" applyFill="1" applyBorder="1" applyAlignment="1">
      <alignment horizontal="center" vertical="center"/>
    </xf>
    <xf numFmtId="0" fontId="8" fillId="4" borderId="4" xfId="0" applyFont="1" applyFill="1" applyBorder="1" applyAlignment="1">
      <alignment horizontal="center" vertical="center"/>
    </xf>
    <xf numFmtId="14" fontId="13" fillId="0" borderId="4" xfId="3" applyNumberFormat="1" applyFont="1" applyFill="1" applyBorder="1" applyAlignment="1">
      <alignment horizontal="center" vertical="center"/>
    </xf>
    <xf numFmtId="41" fontId="13" fillId="0" borderId="4" xfId="3" applyNumberFormat="1" applyFont="1" applyFill="1" applyBorder="1" applyAlignment="1">
      <alignment horizontal="center" vertical="center"/>
    </xf>
    <xf numFmtId="178" fontId="13" fillId="0" borderId="4" xfId="3" applyNumberFormat="1" applyFont="1" applyFill="1" applyBorder="1" applyAlignment="1">
      <alignment horizontal="right" vertical="center"/>
    </xf>
    <xf numFmtId="0" fontId="14" fillId="0" borderId="0" xfId="0" applyFont="1">
      <alignment vertical="center"/>
    </xf>
    <xf numFmtId="0" fontId="15" fillId="0" borderId="0" xfId="3" applyNumberFormat="1" applyFont="1" applyFill="1" applyBorder="1" applyAlignment="1"/>
    <xf numFmtId="0" fontId="16" fillId="4" borderId="5" xfId="0" applyFont="1" applyFill="1" applyBorder="1" applyAlignment="1">
      <alignment horizontal="center" vertical="center"/>
    </xf>
    <xf numFmtId="0" fontId="16" fillId="4" borderId="1" xfId="0" applyFont="1" applyFill="1" applyBorder="1" applyAlignment="1">
      <alignment horizontal="center" vertical="center"/>
    </xf>
    <xf numFmtId="0" fontId="17" fillId="0" borderId="1" xfId="0" applyFont="1" applyBorder="1" applyAlignment="1">
      <alignment horizontal="left" vertical="center"/>
    </xf>
    <xf numFmtId="41" fontId="18" fillId="0" borderId="1" xfId="1" applyFont="1" applyFill="1" applyBorder="1" applyAlignment="1">
      <alignment vertical="center"/>
    </xf>
    <xf numFmtId="41" fontId="17" fillId="0" borderId="1" xfId="1" applyFont="1" applyBorder="1" applyAlignment="1">
      <alignment vertical="center"/>
    </xf>
    <xf numFmtId="0" fontId="17" fillId="0" borderId="1" xfId="0" applyFont="1" applyBorder="1" applyAlignment="1">
      <alignment horizontal="right" vertical="center"/>
    </xf>
    <xf numFmtId="41" fontId="17" fillId="0" borderId="1" xfId="0" applyNumberFormat="1" applyFont="1" applyBorder="1" applyAlignment="1">
      <alignment horizontal="center" vertical="center"/>
    </xf>
    <xf numFmtId="14" fontId="13" fillId="0" borderId="1" xfId="3" applyNumberFormat="1" applyFont="1" applyFill="1" applyBorder="1" applyAlignment="1">
      <alignment horizontal="center" vertical="center"/>
    </xf>
    <xf numFmtId="41" fontId="13" fillId="0" borderId="1" xfId="3" applyNumberFormat="1" applyFont="1" applyFill="1" applyBorder="1" applyAlignment="1">
      <alignment horizontal="center" vertical="center"/>
    </xf>
    <xf numFmtId="178" fontId="13" fillId="0" borderId="1" xfId="3" applyNumberFormat="1" applyFont="1" applyFill="1" applyBorder="1" applyAlignment="1">
      <alignment horizontal="right" vertical="center"/>
    </xf>
    <xf numFmtId="0" fontId="17" fillId="0" borderId="1" xfId="0" applyFont="1" applyFill="1" applyBorder="1" applyAlignment="1">
      <alignment horizontal="right" vertical="center"/>
    </xf>
    <xf numFmtId="41" fontId="17" fillId="0" borderId="1" xfId="0" quotePrefix="1" applyNumberFormat="1" applyFont="1" applyFill="1" applyBorder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41" fontId="17" fillId="0" borderId="1" xfId="0" applyNumberFormat="1" applyFont="1" applyBorder="1" applyAlignment="1">
      <alignment vertical="center"/>
    </xf>
    <xf numFmtId="0" fontId="6" fillId="0" borderId="1" xfId="0" applyFont="1" applyBorder="1">
      <alignment vertical="center"/>
    </xf>
    <xf numFmtId="14" fontId="19" fillId="0" borderId="1" xfId="3" applyNumberFormat="1" applyFont="1" applyBorder="1" applyAlignment="1">
      <alignment horizontal="center" vertical="center" wrapText="1"/>
    </xf>
    <xf numFmtId="41" fontId="19" fillId="0" borderId="1" xfId="3" applyNumberFormat="1" applyFont="1" applyBorder="1" applyAlignment="1">
      <alignment horizontal="center" vertical="center" wrapText="1"/>
    </xf>
    <xf numFmtId="178" fontId="19" fillId="0" borderId="1" xfId="3" applyNumberFormat="1" applyFont="1" applyBorder="1" applyAlignment="1">
      <alignment horizontal="right" vertical="center" wrapText="1"/>
    </xf>
    <xf numFmtId="14" fontId="5" fillId="0" borderId="1" xfId="3" applyNumberFormat="1" applyFont="1" applyFill="1" applyBorder="1" applyAlignment="1">
      <alignment horizontal="center" vertical="center" wrapText="1"/>
    </xf>
    <xf numFmtId="41" fontId="5" fillId="0" borderId="1" xfId="3" applyNumberFormat="1" applyFont="1" applyFill="1" applyBorder="1" applyAlignment="1">
      <alignment horizontal="center" vertical="center"/>
    </xf>
    <xf numFmtId="41" fontId="5" fillId="0" borderId="1" xfId="2" applyNumberFormat="1" applyFont="1" applyFill="1" applyBorder="1" applyAlignment="1">
      <alignment horizontal="right" vertical="center"/>
    </xf>
    <xf numFmtId="180" fontId="5" fillId="0" borderId="1" xfId="1" applyNumberFormat="1" applyFont="1" applyFill="1" applyBorder="1" applyAlignment="1">
      <alignment horizontal="center" vertical="center"/>
    </xf>
    <xf numFmtId="41" fontId="21" fillId="0" borderId="1" xfId="1" applyFont="1" applyFill="1" applyBorder="1">
      <alignment vertical="center"/>
    </xf>
    <xf numFmtId="41" fontId="22" fillId="0" borderId="0" xfId="1" applyFont="1">
      <alignment vertical="center"/>
    </xf>
    <xf numFmtId="179" fontId="22" fillId="0" borderId="0" xfId="2" applyNumberFormat="1" applyFont="1">
      <alignment vertical="center"/>
    </xf>
    <xf numFmtId="1" fontId="0" fillId="0" borderId="0" xfId="0" applyNumberFormat="1">
      <alignment vertical="center"/>
    </xf>
    <xf numFmtId="0" fontId="0" fillId="0" borderId="0" xfId="0" applyFont="1">
      <alignment vertical="center"/>
    </xf>
    <xf numFmtId="14" fontId="0" fillId="0" borderId="0" xfId="0" applyNumberFormat="1" applyFont="1">
      <alignment vertical="center"/>
    </xf>
  </cellXfs>
  <cellStyles count="4">
    <cellStyle name="백분율" xfId="2" builtinId="5"/>
    <cellStyle name="쉼표 [0]" xfId="1" builtinId="6"/>
    <cellStyle name="표준" xfId="0" builtinId="0"/>
    <cellStyle name="표준 2" xfId="3" xr:uid="{EFB2110B-7A2C-429B-99DA-C8D9F1C1279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lvl ptCount="0"/>
      </cx:numDim>
    </cx:data>
    <cx:data id="1">
      <cx:numDim type="val">
        <cx:lvl ptCount="0"/>
      </cx:numDim>
    </cx:data>
  </cx:chartData>
  <cx:chart>
    <cx:title pos="t" align="ctr" overlay="0"/>
    <cx:plotArea>
      <cx:plotAreaRegion>
        <cx:series layoutId="clusteredColumn" uniqueId="{9944ECBA-523A-4404-9A4C-0FF93AD55CBF}" formatIdx="0">
          <cx:dataId val="0"/>
          <cx:layoutPr>
            <cx:binning intervalClosed="r"/>
          </cx:layoutPr>
          <cx:axisId val="1"/>
        </cx:series>
        <cx:series layoutId="clusteredColumn" hidden="1" uniqueId="{3EB97945-69C4-481A-8200-97118D5791EB}" formatIdx="2">
          <cx:dataId val="1"/>
          <cx:layoutPr>
            <cx:binning intervalClosed="r"/>
          </cx:layoutPr>
          <cx:axisId val="1"/>
        </cx:series>
        <cx:series layoutId="paretoLine" ownerIdx="0" uniqueId="{F625D62A-CC5F-4876-8489-3C4671DC5CD5}" formatIdx="1">
          <cx:axisId val="2"/>
        </cx:series>
        <cx:series layoutId="paretoLine" ownerIdx="1" uniqueId="{89DB7B57-D2AB-4B5B-91A4-8A4D2C8E6290}" formatIdx="3">
          <cx:axisId val="2"/>
        </cx:series>
      </cx:plotAreaRegion>
      <cx:axis id="0">
        <cx:catScaling gapWidth="0"/>
        <cx:tickLabels/>
      </cx:axis>
      <cx:axis id="1">
        <cx:valScaling/>
        <cx:majorGridlines/>
        <cx:tickLabels/>
      </cx:axis>
      <cx:axis id="2">
        <cx:valScaling max="1" min="0"/>
        <cx:units unit="percentage"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</xdr:row>
          <xdr:rowOff>76200</xdr:rowOff>
        </xdr:from>
        <xdr:to>
          <xdr:col>5</xdr:col>
          <xdr:colOff>45720</xdr:colOff>
          <xdr:row>4</xdr:row>
          <xdr:rowOff>137160</xdr:rowOff>
        </xdr:to>
        <xdr:sp macro="" textlink="">
          <xdr:nvSpPr>
            <xdr:cNvPr id="1027" name="단추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1주일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106680</xdr:colOff>
          <xdr:row>3</xdr:row>
          <xdr:rowOff>76200</xdr:rowOff>
        </xdr:from>
        <xdr:to>
          <xdr:col>6</xdr:col>
          <xdr:colOff>312420</xdr:colOff>
          <xdr:row>4</xdr:row>
          <xdr:rowOff>137160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1개월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365760</xdr:colOff>
          <xdr:row>3</xdr:row>
          <xdr:rowOff>76200</xdr:rowOff>
        </xdr:from>
        <xdr:to>
          <xdr:col>7</xdr:col>
          <xdr:colOff>251460</xdr:colOff>
          <xdr:row>4</xdr:row>
          <xdr:rowOff>137160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3개월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312420</xdr:colOff>
          <xdr:row>3</xdr:row>
          <xdr:rowOff>76200</xdr:rowOff>
        </xdr:from>
        <xdr:to>
          <xdr:col>8</xdr:col>
          <xdr:colOff>518160</xdr:colOff>
          <xdr:row>4</xdr:row>
          <xdr:rowOff>137160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6개월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335280</xdr:colOff>
          <xdr:row>0</xdr:row>
          <xdr:rowOff>198120</xdr:rowOff>
        </xdr:from>
        <xdr:to>
          <xdr:col>2</xdr:col>
          <xdr:colOff>548640</xdr:colOff>
          <xdr:row>2</xdr:row>
          <xdr:rowOff>60960</xdr:rowOff>
        </xdr:to>
        <xdr:sp macro="" textlink="">
          <xdr:nvSpPr>
            <xdr:cNvPr id="1031" name="ComboBox1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</xdr:colOff>
          <xdr:row>0</xdr:row>
          <xdr:rowOff>205740</xdr:rowOff>
        </xdr:from>
        <xdr:to>
          <xdr:col>5</xdr:col>
          <xdr:colOff>784860</xdr:colOff>
          <xdr:row>1</xdr:row>
          <xdr:rowOff>213360</xdr:rowOff>
        </xdr:to>
        <xdr:sp macro="" textlink="">
          <xdr:nvSpPr>
            <xdr:cNvPr id="1032" name="TextBox1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106680</xdr:colOff>
          <xdr:row>0</xdr:row>
          <xdr:rowOff>213360</xdr:rowOff>
        </xdr:from>
        <xdr:to>
          <xdr:col>7</xdr:col>
          <xdr:colOff>716280</xdr:colOff>
          <xdr:row>2</xdr:row>
          <xdr:rowOff>0</xdr:rowOff>
        </xdr:to>
        <xdr:sp macro="" textlink="">
          <xdr:nvSpPr>
            <xdr:cNvPr id="1033" name="TextBox2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245185</xdr:colOff>
      <xdr:row>7</xdr:row>
      <xdr:rowOff>15247</xdr:rowOff>
    </xdr:from>
    <xdr:to>
      <xdr:col>6</xdr:col>
      <xdr:colOff>473785</xdr:colOff>
      <xdr:row>19</xdr:row>
      <xdr:rowOff>106687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차트 2">
              <a:extLst>
                <a:ext uri="{FF2B5EF4-FFF2-40B4-BE49-F238E27FC236}">
                  <a16:creationId xmlns:a16="http://schemas.microsoft.com/office/drawing/2014/main" id="{918F1105-89C0-4204-A992-40C3DEA5339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45185" y="1562107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ko-KR" altLang="en-US" sz="1100"/>
                <a:t>Excel 버전에서는 이 차트를 사용할 수 없습니다.
이 도형 편집하거나 이 통합 문서를 다른 파일 형식으로 저장하면 차트가 영구적으로 손상됩니다.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335280</xdr:colOff>
      <xdr:row>6</xdr:row>
      <xdr:rowOff>160020</xdr:rowOff>
    </xdr:from>
    <xdr:to>
      <xdr:col>28</xdr:col>
      <xdr:colOff>39185</xdr:colOff>
      <xdr:row>18</xdr:row>
      <xdr:rowOff>165403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D01AFDD0-CCFA-49F2-9584-4B04670795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60580" y="1440180"/>
          <a:ext cx="6561905" cy="265714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ELL/Downloads/&#50641;&#49472;%20&#44592;&#45733;%20&#44396;&#52629;%20&#50640;&#53076;&#50500;&#51060;%20&#44608;&#51652;&#51452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AU17_실적"/>
      <sheetName val="KCU17_실적"/>
      <sheetName val="KOC_실적"/>
      <sheetName val="KAU17_주문"/>
      <sheetName val="KCU17_주문"/>
      <sheetName val="KOC_주문"/>
      <sheetName val="KAU15_실적"/>
      <sheetName val="KCU15_실적"/>
      <sheetName val="KAU15_주문"/>
      <sheetName val="KCU15_주문"/>
      <sheetName val="KAU16_실적"/>
      <sheetName val="KCU16_실적"/>
      <sheetName val="KAU16_주문"/>
      <sheetName val="KCU16_주문"/>
      <sheetName val="원본_KAU15"/>
      <sheetName val="원본_KCU15"/>
    </sheetNames>
    <sheetDataSet>
      <sheetData sheetId="0"/>
      <sheetData sheetId="1"/>
      <sheetData sheetId="2"/>
      <sheetData sheetId="3" refreshError="1"/>
      <sheetData sheetId="4" refreshError="1"/>
      <sheetData sheetId="5" refreshError="1"/>
      <sheetData sheetId="6">
        <row r="6">
          <cell r="B6">
            <v>42016</v>
          </cell>
          <cell r="F6">
            <v>8640</v>
          </cell>
        </row>
        <row r="7">
          <cell r="B7">
            <v>42017</v>
          </cell>
          <cell r="F7">
            <v>9500</v>
          </cell>
        </row>
        <row r="8">
          <cell r="B8">
            <v>42018</v>
          </cell>
          <cell r="F8">
            <v>9510</v>
          </cell>
        </row>
        <row r="9">
          <cell r="B9">
            <v>42019</v>
          </cell>
          <cell r="F9">
            <v>9580</v>
          </cell>
        </row>
        <row r="10">
          <cell r="B10">
            <v>42020</v>
          </cell>
          <cell r="F10">
            <v>9610</v>
          </cell>
        </row>
        <row r="11">
          <cell r="B11">
            <v>42023</v>
          </cell>
          <cell r="F11">
            <v>9860</v>
          </cell>
        </row>
        <row r="12">
          <cell r="B12">
            <v>42024</v>
          </cell>
          <cell r="F12">
            <v>9890</v>
          </cell>
        </row>
        <row r="13">
          <cell r="B13">
            <v>42025</v>
          </cell>
          <cell r="F13">
            <v>9910</v>
          </cell>
        </row>
        <row r="14">
          <cell r="B14">
            <v>42026</v>
          </cell>
          <cell r="F14">
            <v>9920</v>
          </cell>
        </row>
        <row r="15">
          <cell r="B15">
            <v>42027</v>
          </cell>
          <cell r="F15">
            <v>9920</v>
          </cell>
        </row>
        <row r="16">
          <cell r="B16">
            <v>42030</v>
          </cell>
          <cell r="F16">
            <v>9930</v>
          </cell>
        </row>
        <row r="17">
          <cell r="B17">
            <v>42031</v>
          </cell>
          <cell r="F17">
            <v>9930</v>
          </cell>
        </row>
        <row r="18">
          <cell r="B18">
            <v>42032</v>
          </cell>
          <cell r="F18">
            <v>9930</v>
          </cell>
        </row>
        <row r="19">
          <cell r="B19">
            <v>42033</v>
          </cell>
          <cell r="F19">
            <v>9960</v>
          </cell>
        </row>
        <row r="20">
          <cell r="B20">
            <v>42034</v>
          </cell>
          <cell r="F20">
            <v>9960</v>
          </cell>
        </row>
        <row r="21">
          <cell r="B21">
            <v>42037</v>
          </cell>
          <cell r="F21">
            <v>9960</v>
          </cell>
        </row>
        <row r="22">
          <cell r="B22">
            <v>42038</v>
          </cell>
          <cell r="F22">
            <v>9960</v>
          </cell>
        </row>
        <row r="23">
          <cell r="B23">
            <v>42039</v>
          </cell>
          <cell r="F23">
            <v>9960</v>
          </cell>
        </row>
        <row r="24">
          <cell r="B24">
            <v>42040</v>
          </cell>
          <cell r="F24">
            <v>9960</v>
          </cell>
        </row>
        <row r="25">
          <cell r="B25">
            <v>42041</v>
          </cell>
          <cell r="F25">
            <v>9970</v>
          </cell>
        </row>
        <row r="26">
          <cell r="B26">
            <v>42044</v>
          </cell>
          <cell r="F26">
            <v>9970</v>
          </cell>
        </row>
        <row r="27">
          <cell r="B27">
            <v>42045</v>
          </cell>
          <cell r="F27">
            <v>10000</v>
          </cell>
        </row>
        <row r="28">
          <cell r="B28">
            <v>42046</v>
          </cell>
          <cell r="F28">
            <v>10000</v>
          </cell>
        </row>
        <row r="29">
          <cell r="B29">
            <v>42047</v>
          </cell>
          <cell r="F29">
            <v>10000</v>
          </cell>
        </row>
        <row r="30">
          <cell r="B30">
            <v>42048</v>
          </cell>
          <cell r="F30">
            <v>10000</v>
          </cell>
        </row>
        <row r="31">
          <cell r="B31">
            <v>42051</v>
          </cell>
          <cell r="F31">
            <v>10000</v>
          </cell>
        </row>
        <row r="32">
          <cell r="B32">
            <v>42052</v>
          </cell>
          <cell r="F32">
            <v>10000</v>
          </cell>
        </row>
        <row r="33">
          <cell r="B33">
            <v>42058</v>
          </cell>
          <cell r="F33">
            <v>10100</v>
          </cell>
        </row>
        <row r="34">
          <cell r="B34">
            <v>42059</v>
          </cell>
          <cell r="F34">
            <v>10100</v>
          </cell>
        </row>
        <row r="35">
          <cell r="B35">
            <v>42060</v>
          </cell>
          <cell r="F35">
            <v>10100</v>
          </cell>
        </row>
        <row r="36">
          <cell r="B36">
            <v>42061</v>
          </cell>
          <cell r="F36">
            <v>10100</v>
          </cell>
        </row>
        <row r="37">
          <cell r="B37">
            <v>42062</v>
          </cell>
          <cell r="F37">
            <v>10100</v>
          </cell>
        </row>
        <row r="38">
          <cell r="B38">
            <v>42065</v>
          </cell>
          <cell r="F38">
            <v>10100</v>
          </cell>
        </row>
        <row r="39">
          <cell r="B39">
            <v>42066</v>
          </cell>
          <cell r="F39">
            <v>10100</v>
          </cell>
        </row>
        <row r="40">
          <cell r="B40">
            <v>42067</v>
          </cell>
          <cell r="F40">
            <v>10100</v>
          </cell>
        </row>
        <row r="41">
          <cell r="B41">
            <v>42068</v>
          </cell>
          <cell r="F41">
            <v>10100</v>
          </cell>
        </row>
        <row r="42">
          <cell r="B42">
            <v>42069</v>
          </cell>
          <cell r="F42">
            <v>10100</v>
          </cell>
        </row>
        <row r="43">
          <cell r="B43">
            <v>42072</v>
          </cell>
          <cell r="F43">
            <v>10100</v>
          </cell>
        </row>
        <row r="44">
          <cell r="B44">
            <v>42073</v>
          </cell>
          <cell r="F44">
            <v>10100</v>
          </cell>
        </row>
        <row r="45">
          <cell r="B45">
            <v>42074</v>
          </cell>
          <cell r="F45">
            <v>10100</v>
          </cell>
        </row>
        <row r="46">
          <cell r="B46">
            <v>42075</v>
          </cell>
          <cell r="F46">
            <v>10100</v>
          </cell>
        </row>
        <row r="47">
          <cell r="B47">
            <v>42076</v>
          </cell>
          <cell r="F47">
            <v>10100</v>
          </cell>
        </row>
        <row r="48">
          <cell r="B48">
            <v>42079</v>
          </cell>
          <cell r="F48">
            <v>10100</v>
          </cell>
        </row>
        <row r="49">
          <cell r="B49">
            <v>42080</v>
          </cell>
          <cell r="F49">
            <v>10100</v>
          </cell>
        </row>
        <row r="50">
          <cell r="B50">
            <v>42081</v>
          </cell>
          <cell r="F50">
            <v>10100</v>
          </cell>
        </row>
        <row r="51">
          <cell r="B51">
            <v>42082</v>
          </cell>
          <cell r="F51">
            <v>10100</v>
          </cell>
        </row>
        <row r="52">
          <cell r="B52">
            <v>42083</v>
          </cell>
          <cell r="F52">
            <v>10100</v>
          </cell>
        </row>
        <row r="53">
          <cell r="B53">
            <v>42086</v>
          </cell>
          <cell r="F53">
            <v>10100</v>
          </cell>
        </row>
        <row r="54">
          <cell r="B54">
            <v>42087</v>
          </cell>
          <cell r="F54">
            <v>10100</v>
          </cell>
        </row>
        <row r="55">
          <cell r="B55">
            <v>42088</v>
          </cell>
          <cell r="F55">
            <v>10100</v>
          </cell>
        </row>
        <row r="56">
          <cell r="B56">
            <v>42089</v>
          </cell>
          <cell r="F56">
            <v>10100</v>
          </cell>
        </row>
        <row r="57">
          <cell r="B57">
            <v>42090</v>
          </cell>
          <cell r="F57">
            <v>10100</v>
          </cell>
        </row>
        <row r="58">
          <cell r="B58">
            <v>42093</v>
          </cell>
          <cell r="F58">
            <v>10100</v>
          </cell>
        </row>
        <row r="59">
          <cell r="B59">
            <v>42094</v>
          </cell>
          <cell r="F59">
            <v>10100</v>
          </cell>
        </row>
        <row r="60">
          <cell r="B60">
            <v>42095</v>
          </cell>
          <cell r="F60">
            <v>10100</v>
          </cell>
        </row>
        <row r="61">
          <cell r="B61">
            <v>42096</v>
          </cell>
          <cell r="F61">
            <v>10100</v>
          </cell>
        </row>
        <row r="62">
          <cell r="B62">
            <v>42097</v>
          </cell>
          <cell r="F62">
            <v>10100</v>
          </cell>
        </row>
        <row r="63">
          <cell r="B63">
            <v>42100</v>
          </cell>
          <cell r="F63">
            <v>10100</v>
          </cell>
        </row>
        <row r="64">
          <cell r="B64">
            <v>42101</v>
          </cell>
          <cell r="F64">
            <v>10100</v>
          </cell>
        </row>
        <row r="65">
          <cell r="B65">
            <v>42102</v>
          </cell>
          <cell r="F65">
            <v>10100</v>
          </cell>
        </row>
        <row r="66">
          <cell r="B66">
            <v>42103</v>
          </cell>
          <cell r="F66">
            <v>10100</v>
          </cell>
        </row>
        <row r="67">
          <cell r="B67">
            <v>42104</v>
          </cell>
          <cell r="F67">
            <v>10100</v>
          </cell>
        </row>
        <row r="68">
          <cell r="B68">
            <v>42107</v>
          </cell>
          <cell r="F68">
            <v>10100</v>
          </cell>
        </row>
        <row r="69">
          <cell r="B69">
            <v>42108</v>
          </cell>
          <cell r="F69">
            <v>10100</v>
          </cell>
        </row>
        <row r="70">
          <cell r="B70">
            <v>42109</v>
          </cell>
          <cell r="F70">
            <v>10100</v>
          </cell>
        </row>
        <row r="71">
          <cell r="B71">
            <v>42110</v>
          </cell>
          <cell r="F71">
            <v>10100</v>
          </cell>
        </row>
        <row r="72">
          <cell r="B72">
            <v>42111</v>
          </cell>
          <cell r="F72">
            <v>10100</v>
          </cell>
        </row>
        <row r="73">
          <cell r="B73">
            <v>42114</v>
          </cell>
          <cell r="F73">
            <v>10250</v>
          </cell>
        </row>
        <row r="74">
          <cell r="B74">
            <v>42115</v>
          </cell>
          <cell r="F74">
            <v>10250</v>
          </cell>
        </row>
        <row r="75">
          <cell r="B75">
            <v>42116</v>
          </cell>
          <cell r="F75">
            <v>10250</v>
          </cell>
        </row>
        <row r="76">
          <cell r="B76">
            <v>42117</v>
          </cell>
          <cell r="F76">
            <v>10300</v>
          </cell>
        </row>
        <row r="77">
          <cell r="B77">
            <v>42118</v>
          </cell>
          <cell r="F77">
            <v>10300</v>
          </cell>
        </row>
        <row r="78">
          <cell r="B78">
            <v>42121</v>
          </cell>
          <cell r="F78">
            <v>10300</v>
          </cell>
        </row>
        <row r="79">
          <cell r="B79">
            <v>42122</v>
          </cell>
          <cell r="F79">
            <v>10300</v>
          </cell>
        </row>
        <row r="80">
          <cell r="B80">
            <v>42123</v>
          </cell>
          <cell r="F80">
            <v>10300</v>
          </cell>
        </row>
        <row r="81">
          <cell r="B81">
            <v>42124</v>
          </cell>
          <cell r="F81">
            <v>10300</v>
          </cell>
        </row>
        <row r="82">
          <cell r="B82">
            <v>42128</v>
          </cell>
          <cell r="F82">
            <v>10300</v>
          </cell>
        </row>
        <row r="83">
          <cell r="B83">
            <v>42130</v>
          </cell>
          <cell r="F83">
            <v>10300</v>
          </cell>
        </row>
        <row r="84">
          <cell r="B84">
            <v>42131</v>
          </cell>
          <cell r="F84">
            <v>10300</v>
          </cell>
        </row>
        <row r="85">
          <cell r="B85">
            <v>42132</v>
          </cell>
          <cell r="F85">
            <v>10300</v>
          </cell>
        </row>
        <row r="86">
          <cell r="B86">
            <v>42135</v>
          </cell>
          <cell r="F86">
            <v>10300</v>
          </cell>
        </row>
        <row r="87">
          <cell r="B87">
            <v>42136</v>
          </cell>
          <cell r="F87">
            <v>10300</v>
          </cell>
        </row>
        <row r="88">
          <cell r="B88">
            <v>42137</v>
          </cell>
          <cell r="F88">
            <v>10300</v>
          </cell>
        </row>
        <row r="89">
          <cell r="B89">
            <v>42138</v>
          </cell>
          <cell r="F89">
            <v>10300</v>
          </cell>
        </row>
        <row r="90">
          <cell r="B90">
            <v>42139</v>
          </cell>
          <cell r="F90">
            <v>10300</v>
          </cell>
        </row>
        <row r="91">
          <cell r="B91">
            <v>42142</v>
          </cell>
          <cell r="F91">
            <v>10300</v>
          </cell>
        </row>
        <row r="92">
          <cell r="B92">
            <v>42143</v>
          </cell>
          <cell r="F92">
            <v>10300</v>
          </cell>
        </row>
        <row r="93">
          <cell r="B93">
            <v>42144</v>
          </cell>
          <cell r="F93">
            <v>10300</v>
          </cell>
        </row>
        <row r="94">
          <cell r="B94">
            <v>42145</v>
          </cell>
          <cell r="F94">
            <v>10300</v>
          </cell>
        </row>
        <row r="95">
          <cell r="B95">
            <v>42146</v>
          </cell>
          <cell r="F95">
            <v>10300</v>
          </cell>
        </row>
        <row r="96">
          <cell r="B96">
            <v>42150</v>
          </cell>
          <cell r="F96">
            <v>10300</v>
          </cell>
        </row>
        <row r="97">
          <cell r="B97">
            <v>42151</v>
          </cell>
          <cell r="F97">
            <v>10300</v>
          </cell>
        </row>
        <row r="98">
          <cell r="B98">
            <v>42152</v>
          </cell>
          <cell r="F98">
            <v>10300</v>
          </cell>
        </row>
        <row r="99">
          <cell r="B99">
            <v>42153</v>
          </cell>
          <cell r="F99">
            <v>10300</v>
          </cell>
        </row>
        <row r="100">
          <cell r="B100">
            <v>42156</v>
          </cell>
          <cell r="F100">
            <v>10300</v>
          </cell>
        </row>
        <row r="101">
          <cell r="B101">
            <v>42157</v>
          </cell>
          <cell r="F101">
            <v>10300</v>
          </cell>
        </row>
        <row r="102">
          <cell r="B102">
            <v>42158</v>
          </cell>
          <cell r="F102">
            <v>10300</v>
          </cell>
        </row>
        <row r="103">
          <cell r="B103">
            <v>42159</v>
          </cell>
          <cell r="F103">
            <v>10300</v>
          </cell>
        </row>
        <row r="104">
          <cell r="B104">
            <v>42160</v>
          </cell>
          <cell r="F104">
            <v>10300</v>
          </cell>
        </row>
        <row r="105">
          <cell r="B105">
            <v>42163</v>
          </cell>
          <cell r="F105">
            <v>10300</v>
          </cell>
        </row>
        <row r="106">
          <cell r="B106">
            <v>42164</v>
          </cell>
          <cell r="F106">
            <v>10300</v>
          </cell>
        </row>
        <row r="107">
          <cell r="B107">
            <v>42165</v>
          </cell>
          <cell r="F107">
            <v>10300</v>
          </cell>
        </row>
        <row r="108">
          <cell r="B108">
            <v>42166</v>
          </cell>
          <cell r="F108">
            <v>10300</v>
          </cell>
        </row>
        <row r="109">
          <cell r="B109">
            <v>42167</v>
          </cell>
          <cell r="F109">
            <v>10300</v>
          </cell>
        </row>
        <row r="110">
          <cell r="B110">
            <v>42170</v>
          </cell>
          <cell r="F110">
            <v>10300</v>
          </cell>
        </row>
        <row r="111">
          <cell r="B111">
            <v>42171</v>
          </cell>
          <cell r="F111">
            <v>10300</v>
          </cell>
        </row>
        <row r="112">
          <cell r="B112">
            <v>42172</v>
          </cell>
          <cell r="F112">
            <v>10300</v>
          </cell>
        </row>
        <row r="113">
          <cell r="B113">
            <v>42173</v>
          </cell>
          <cell r="F113">
            <v>10300</v>
          </cell>
        </row>
        <row r="114">
          <cell r="B114">
            <v>42174</v>
          </cell>
          <cell r="F114">
            <v>10300</v>
          </cell>
        </row>
        <row r="115">
          <cell r="B115">
            <v>42177</v>
          </cell>
          <cell r="F115">
            <v>10300</v>
          </cell>
        </row>
        <row r="116">
          <cell r="B116">
            <v>42178</v>
          </cell>
          <cell r="F116">
            <v>10300</v>
          </cell>
        </row>
        <row r="117">
          <cell r="B117">
            <v>42179</v>
          </cell>
          <cell r="F117">
            <v>10300</v>
          </cell>
        </row>
        <row r="118">
          <cell r="B118">
            <v>42180</v>
          </cell>
          <cell r="F118">
            <v>10300</v>
          </cell>
        </row>
        <row r="119">
          <cell r="B119">
            <v>42181</v>
          </cell>
          <cell r="F119">
            <v>10300</v>
          </cell>
        </row>
        <row r="120">
          <cell r="B120">
            <v>42184</v>
          </cell>
          <cell r="F120">
            <v>10300</v>
          </cell>
        </row>
        <row r="121">
          <cell r="B121">
            <v>42185</v>
          </cell>
          <cell r="F121">
            <v>10300</v>
          </cell>
        </row>
        <row r="122">
          <cell r="B122">
            <v>42186</v>
          </cell>
          <cell r="F122">
            <v>10300</v>
          </cell>
        </row>
        <row r="123">
          <cell r="B123">
            <v>42187</v>
          </cell>
          <cell r="F123">
            <v>10300</v>
          </cell>
        </row>
        <row r="124">
          <cell r="B124">
            <v>42188</v>
          </cell>
          <cell r="F124">
            <v>10300</v>
          </cell>
        </row>
        <row r="125">
          <cell r="B125">
            <v>42191</v>
          </cell>
          <cell r="F125">
            <v>10300</v>
          </cell>
        </row>
        <row r="126">
          <cell r="B126">
            <v>42192</v>
          </cell>
          <cell r="F126">
            <v>10300</v>
          </cell>
        </row>
        <row r="127">
          <cell r="B127">
            <v>42193</v>
          </cell>
          <cell r="F127">
            <v>10300</v>
          </cell>
        </row>
        <row r="128">
          <cell r="B128">
            <v>42194</v>
          </cell>
          <cell r="F128">
            <v>10300</v>
          </cell>
        </row>
        <row r="129">
          <cell r="B129">
            <v>42195</v>
          </cell>
          <cell r="F129">
            <v>10300</v>
          </cell>
        </row>
        <row r="130">
          <cell r="B130">
            <v>42198</v>
          </cell>
          <cell r="F130">
            <v>10300</v>
          </cell>
        </row>
        <row r="131">
          <cell r="B131">
            <v>42199</v>
          </cell>
          <cell r="F131">
            <v>10300</v>
          </cell>
        </row>
        <row r="132">
          <cell r="B132">
            <v>42200</v>
          </cell>
          <cell r="F132">
            <v>10300</v>
          </cell>
        </row>
        <row r="133">
          <cell r="B133">
            <v>42201</v>
          </cell>
          <cell r="F133">
            <v>10300</v>
          </cell>
        </row>
        <row r="134">
          <cell r="B134">
            <v>42202</v>
          </cell>
          <cell r="F134">
            <v>10300</v>
          </cell>
        </row>
        <row r="135">
          <cell r="B135">
            <v>42205</v>
          </cell>
          <cell r="F135">
            <v>10300</v>
          </cell>
        </row>
        <row r="136">
          <cell r="B136">
            <v>42206</v>
          </cell>
          <cell r="F136">
            <v>10300</v>
          </cell>
        </row>
        <row r="137">
          <cell r="B137">
            <v>42207</v>
          </cell>
          <cell r="F137">
            <v>10300</v>
          </cell>
        </row>
        <row r="138">
          <cell r="B138">
            <v>42208</v>
          </cell>
          <cell r="F138">
            <v>10300</v>
          </cell>
        </row>
        <row r="139">
          <cell r="B139">
            <v>42209</v>
          </cell>
          <cell r="F139">
            <v>10300</v>
          </cell>
        </row>
        <row r="140">
          <cell r="B140">
            <v>42212</v>
          </cell>
          <cell r="F140">
            <v>10300</v>
          </cell>
        </row>
        <row r="141">
          <cell r="B141">
            <v>42213</v>
          </cell>
          <cell r="F141">
            <v>10300</v>
          </cell>
        </row>
        <row r="142">
          <cell r="B142">
            <v>42214</v>
          </cell>
          <cell r="F142">
            <v>10300</v>
          </cell>
        </row>
        <row r="143">
          <cell r="B143">
            <v>42215</v>
          </cell>
          <cell r="F143">
            <v>10300</v>
          </cell>
        </row>
        <row r="144">
          <cell r="B144">
            <v>42216</v>
          </cell>
          <cell r="F144">
            <v>10300</v>
          </cell>
        </row>
        <row r="145">
          <cell r="B145">
            <v>42219</v>
          </cell>
          <cell r="F145">
            <v>10300</v>
          </cell>
        </row>
        <row r="146">
          <cell r="B146">
            <v>42220</v>
          </cell>
          <cell r="F146">
            <v>10300</v>
          </cell>
        </row>
        <row r="147">
          <cell r="B147">
            <v>42221</v>
          </cell>
          <cell r="F147">
            <v>10300</v>
          </cell>
        </row>
        <row r="148">
          <cell r="B148">
            <v>42222</v>
          </cell>
          <cell r="F148">
            <v>10300</v>
          </cell>
        </row>
        <row r="149">
          <cell r="B149">
            <v>42223</v>
          </cell>
          <cell r="F149">
            <v>10300</v>
          </cell>
        </row>
        <row r="150">
          <cell r="B150">
            <v>42226</v>
          </cell>
          <cell r="F150">
            <v>10300</v>
          </cell>
        </row>
        <row r="151">
          <cell r="B151">
            <v>42227</v>
          </cell>
          <cell r="F151">
            <v>10300</v>
          </cell>
        </row>
        <row r="152">
          <cell r="B152">
            <v>42228</v>
          </cell>
          <cell r="F152">
            <v>10300</v>
          </cell>
        </row>
        <row r="153">
          <cell r="B153">
            <v>42229</v>
          </cell>
          <cell r="F153">
            <v>10300</v>
          </cell>
        </row>
        <row r="154">
          <cell r="B154">
            <v>42233</v>
          </cell>
          <cell r="F154">
            <v>10300</v>
          </cell>
        </row>
        <row r="155">
          <cell r="B155">
            <v>42234</v>
          </cell>
          <cell r="F155">
            <v>10300</v>
          </cell>
        </row>
        <row r="156">
          <cell r="B156">
            <v>42235</v>
          </cell>
          <cell r="F156">
            <v>10300</v>
          </cell>
        </row>
        <row r="157">
          <cell r="B157">
            <v>42236</v>
          </cell>
          <cell r="F157">
            <v>10300</v>
          </cell>
        </row>
        <row r="158">
          <cell r="B158">
            <v>42237</v>
          </cell>
          <cell r="F158">
            <v>10300</v>
          </cell>
        </row>
        <row r="159">
          <cell r="B159">
            <v>42240</v>
          </cell>
          <cell r="F159">
            <v>10300</v>
          </cell>
        </row>
        <row r="160">
          <cell r="B160">
            <v>42241</v>
          </cell>
          <cell r="F160">
            <v>10300</v>
          </cell>
        </row>
        <row r="161">
          <cell r="B161">
            <v>42242</v>
          </cell>
          <cell r="F161">
            <v>10300</v>
          </cell>
        </row>
        <row r="162">
          <cell r="B162">
            <v>42243</v>
          </cell>
          <cell r="F162">
            <v>10300</v>
          </cell>
        </row>
        <row r="163">
          <cell r="B163">
            <v>42244</v>
          </cell>
          <cell r="F163">
            <v>10300</v>
          </cell>
        </row>
        <row r="164">
          <cell r="B164">
            <v>42247</v>
          </cell>
          <cell r="F164">
            <v>10300</v>
          </cell>
        </row>
        <row r="165">
          <cell r="B165">
            <v>42248</v>
          </cell>
          <cell r="F165">
            <v>10300</v>
          </cell>
        </row>
        <row r="166">
          <cell r="B166">
            <v>42249</v>
          </cell>
          <cell r="F166">
            <v>10300</v>
          </cell>
        </row>
        <row r="167">
          <cell r="B167">
            <v>42250</v>
          </cell>
          <cell r="F167">
            <v>10300</v>
          </cell>
        </row>
        <row r="168">
          <cell r="B168">
            <v>42251</v>
          </cell>
          <cell r="F168">
            <v>10300</v>
          </cell>
        </row>
        <row r="169">
          <cell r="B169">
            <v>42254</v>
          </cell>
          <cell r="F169">
            <v>10300</v>
          </cell>
        </row>
        <row r="170">
          <cell r="B170">
            <v>42255</v>
          </cell>
          <cell r="F170">
            <v>10300</v>
          </cell>
        </row>
        <row r="171">
          <cell r="B171">
            <v>42256</v>
          </cell>
          <cell r="F171">
            <v>10300</v>
          </cell>
        </row>
        <row r="172">
          <cell r="B172">
            <v>42257</v>
          </cell>
          <cell r="F172">
            <v>10300</v>
          </cell>
        </row>
        <row r="173">
          <cell r="B173">
            <v>42258</v>
          </cell>
          <cell r="F173">
            <v>10300</v>
          </cell>
        </row>
        <row r="174">
          <cell r="B174">
            <v>42261</v>
          </cell>
          <cell r="F174">
            <v>10300</v>
          </cell>
        </row>
        <row r="175">
          <cell r="B175">
            <v>42262</v>
          </cell>
          <cell r="F175">
            <v>10300</v>
          </cell>
        </row>
        <row r="176">
          <cell r="B176">
            <v>42263</v>
          </cell>
          <cell r="F176">
            <v>10300</v>
          </cell>
        </row>
        <row r="177">
          <cell r="B177">
            <v>42264</v>
          </cell>
          <cell r="F177">
            <v>10300</v>
          </cell>
        </row>
        <row r="178">
          <cell r="B178">
            <v>42265</v>
          </cell>
          <cell r="F178">
            <v>10300</v>
          </cell>
        </row>
        <row r="179">
          <cell r="B179">
            <v>42268</v>
          </cell>
          <cell r="F179">
            <v>10300</v>
          </cell>
        </row>
        <row r="180">
          <cell r="B180">
            <v>42269</v>
          </cell>
          <cell r="F180">
            <v>10300</v>
          </cell>
        </row>
        <row r="181">
          <cell r="B181">
            <v>42270</v>
          </cell>
          <cell r="F181">
            <v>10300</v>
          </cell>
        </row>
        <row r="182">
          <cell r="B182">
            <v>42271</v>
          </cell>
          <cell r="F182">
            <v>10300</v>
          </cell>
        </row>
        <row r="183">
          <cell r="B183">
            <v>42272</v>
          </cell>
          <cell r="F183">
            <v>10300</v>
          </cell>
        </row>
        <row r="184">
          <cell r="B184">
            <v>42277</v>
          </cell>
          <cell r="F184">
            <v>10300</v>
          </cell>
        </row>
        <row r="185">
          <cell r="B185">
            <v>42278</v>
          </cell>
          <cell r="F185">
            <v>10300</v>
          </cell>
        </row>
        <row r="186">
          <cell r="B186">
            <v>42279</v>
          </cell>
          <cell r="F186">
            <v>10300</v>
          </cell>
        </row>
        <row r="187">
          <cell r="B187">
            <v>42282</v>
          </cell>
          <cell r="F187">
            <v>10300</v>
          </cell>
        </row>
        <row r="188">
          <cell r="B188">
            <v>42283</v>
          </cell>
          <cell r="F188">
            <v>10300</v>
          </cell>
        </row>
        <row r="189">
          <cell r="B189">
            <v>42284</v>
          </cell>
          <cell r="F189">
            <v>11300</v>
          </cell>
        </row>
        <row r="190">
          <cell r="B190">
            <v>42285</v>
          </cell>
          <cell r="F190">
            <v>11300</v>
          </cell>
        </row>
        <row r="191">
          <cell r="B191">
            <v>42289</v>
          </cell>
          <cell r="F191">
            <v>11300</v>
          </cell>
        </row>
        <row r="192">
          <cell r="B192">
            <v>42290</v>
          </cell>
          <cell r="F192">
            <v>11300</v>
          </cell>
        </row>
        <row r="193">
          <cell r="B193">
            <v>42291</v>
          </cell>
          <cell r="F193">
            <v>11300</v>
          </cell>
        </row>
        <row r="194">
          <cell r="B194">
            <v>42292</v>
          </cell>
          <cell r="F194">
            <v>11300</v>
          </cell>
        </row>
        <row r="195">
          <cell r="B195">
            <v>42293</v>
          </cell>
          <cell r="F195">
            <v>11300</v>
          </cell>
        </row>
        <row r="196">
          <cell r="B196">
            <v>42296</v>
          </cell>
          <cell r="F196">
            <v>11300</v>
          </cell>
        </row>
        <row r="197">
          <cell r="B197">
            <v>42297</v>
          </cell>
          <cell r="F197">
            <v>11300</v>
          </cell>
        </row>
        <row r="198">
          <cell r="B198">
            <v>42298</v>
          </cell>
          <cell r="F198">
            <v>11300</v>
          </cell>
        </row>
        <row r="199">
          <cell r="B199">
            <v>42299</v>
          </cell>
          <cell r="F199">
            <v>11300</v>
          </cell>
        </row>
        <row r="200">
          <cell r="B200">
            <v>42300</v>
          </cell>
          <cell r="F200">
            <v>11300</v>
          </cell>
        </row>
        <row r="201">
          <cell r="B201">
            <v>42303</v>
          </cell>
          <cell r="F201">
            <v>11300</v>
          </cell>
        </row>
        <row r="202">
          <cell r="B202">
            <v>42304</v>
          </cell>
          <cell r="F202">
            <v>11300</v>
          </cell>
        </row>
        <row r="203">
          <cell r="B203">
            <v>42305</v>
          </cell>
          <cell r="F203">
            <v>11300</v>
          </cell>
        </row>
        <row r="204">
          <cell r="B204">
            <v>42306</v>
          </cell>
          <cell r="F204">
            <v>11300</v>
          </cell>
        </row>
        <row r="205">
          <cell r="B205">
            <v>42307</v>
          </cell>
          <cell r="F205">
            <v>11300</v>
          </cell>
        </row>
        <row r="206">
          <cell r="B206">
            <v>42310</v>
          </cell>
          <cell r="F206">
            <v>11300</v>
          </cell>
        </row>
        <row r="207">
          <cell r="B207">
            <v>42311</v>
          </cell>
          <cell r="F207">
            <v>11300</v>
          </cell>
        </row>
        <row r="208">
          <cell r="B208">
            <v>42312</v>
          </cell>
          <cell r="F208">
            <v>11300</v>
          </cell>
        </row>
        <row r="209">
          <cell r="B209">
            <v>42313</v>
          </cell>
          <cell r="F209">
            <v>11300</v>
          </cell>
        </row>
        <row r="210">
          <cell r="B210">
            <v>42314</v>
          </cell>
          <cell r="F210">
            <v>11300</v>
          </cell>
        </row>
        <row r="211">
          <cell r="B211">
            <v>42317</v>
          </cell>
          <cell r="F211">
            <v>11500</v>
          </cell>
        </row>
        <row r="212">
          <cell r="B212">
            <v>42318</v>
          </cell>
          <cell r="F212">
            <v>11500</v>
          </cell>
        </row>
        <row r="213">
          <cell r="B213">
            <v>42319</v>
          </cell>
          <cell r="F213">
            <v>11500</v>
          </cell>
        </row>
        <row r="214">
          <cell r="B214">
            <v>42320</v>
          </cell>
          <cell r="F214">
            <v>11500</v>
          </cell>
        </row>
        <row r="215">
          <cell r="B215">
            <v>42321</v>
          </cell>
          <cell r="F215">
            <v>11500</v>
          </cell>
        </row>
        <row r="216">
          <cell r="B216">
            <v>42324</v>
          </cell>
          <cell r="F216">
            <v>11500</v>
          </cell>
        </row>
        <row r="217">
          <cell r="B217">
            <v>42325</v>
          </cell>
          <cell r="F217">
            <v>11500</v>
          </cell>
        </row>
        <row r="218">
          <cell r="B218">
            <v>42326</v>
          </cell>
          <cell r="F218">
            <v>11500</v>
          </cell>
        </row>
        <row r="219">
          <cell r="B219">
            <v>42327</v>
          </cell>
          <cell r="F219">
            <v>11500</v>
          </cell>
        </row>
        <row r="220">
          <cell r="B220">
            <v>42328</v>
          </cell>
          <cell r="F220">
            <v>11500</v>
          </cell>
        </row>
        <row r="221">
          <cell r="B221">
            <v>42331</v>
          </cell>
          <cell r="F221">
            <v>11500</v>
          </cell>
        </row>
        <row r="222">
          <cell r="B222">
            <v>42332</v>
          </cell>
          <cell r="F222">
            <v>11500</v>
          </cell>
        </row>
        <row r="223">
          <cell r="B223">
            <v>42333</v>
          </cell>
          <cell r="F223">
            <v>11500</v>
          </cell>
        </row>
        <row r="224">
          <cell r="B224">
            <v>42334</v>
          </cell>
          <cell r="F224">
            <v>11500</v>
          </cell>
        </row>
        <row r="225">
          <cell r="B225">
            <v>42335</v>
          </cell>
          <cell r="F225">
            <v>11500</v>
          </cell>
        </row>
        <row r="226">
          <cell r="B226">
            <v>42338</v>
          </cell>
          <cell r="F226">
            <v>11500</v>
          </cell>
        </row>
        <row r="227">
          <cell r="B227">
            <v>42339</v>
          </cell>
          <cell r="F227">
            <v>11500</v>
          </cell>
        </row>
        <row r="228">
          <cell r="B228">
            <v>42340</v>
          </cell>
          <cell r="F228">
            <v>11500</v>
          </cell>
        </row>
        <row r="229">
          <cell r="B229">
            <v>42341</v>
          </cell>
          <cell r="F229">
            <v>11500</v>
          </cell>
        </row>
        <row r="230">
          <cell r="B230">
            <v>42342</v>
          </cell>
          <cell r="F230">
            <v>11500</v>
          </cell>
        </row>
        <row r="231">
          <cell r="B231">
            <v>42345</v>
          </cell>
          <cell r="F231">
            <v>11600</v>
          </cell>
        </row>
        <row r="232">
          <cell r="B232">
            <v>42346</v>
          </cell>
          <cell r="F232">
            <v>11600</v>
          </cell>
        </row>
        <row r="233">
          <cell r="B233">
            <v>42347</v>
          </cell>
          <cell r="F233">
            <v>11600</v>
          </cell>
        </row>
        <row r="234">
          <cell r="B234">
            <v>42348</v>
          </cell>
          <cell r="F234">
            <v>11600</v>
          </cell>
        </row>
        <row r="235">
          <cell r="B235">
            <v>42349</v>
          </cell>
          <cell r="F235">
            <v>11600</v>
          </cell>
        </row>
        <row r="236">
          <cell r="B236">
            <v>42352</v>
          </cell>
          <cell r="F236">
            <v>11600</v>
          </cell>
        </row>
        <row r="237">
          <cell r="B237">
            <v>42353</v>
          </cell>
          <cell r="F237">
            <v>11600</v>
          </cell>
        </row>
        <row r="238">
          <cell r="B238">
            <v>42354</v>
          </cell>
          <cell r="F238">
            <v>11600</v>
          </cell>
        </row>
        <row r="239">
          <cell r="B239">
            <v>42355</v>
          </cell>
          <cell r="F239">
            <v>11600</v>
          </cell>
        </row>
        <row r="240">
          <cell r="B240">
            <v>42356</v>
          </cell>
          <cell r="F240">
            <v>11600</v>
          </cell>
        </row>
        <row r="241">
          <cell r="B241">
            <v>42359</v>
          </cell>
          <cell r="F241">
            <v>11700</v>
          </cell>
        </row>
        <row r="242">
          <cell r="B242">
            <v>42360</v>
          </cell>
          <cell r="F242">
            <v>11700</v>
          </cell>
        </row>
        <row r="243">
          <cell r="B243">
            <v>42361</v>
          </cell>
          <cell r="F243">
            <v>12000</v>
          </cell>
        </row>
        <row r="244">
          <cell r="B244">
            <v>42362</v>
          </cell>
          <cell r="F244">
            <v>12000</v>
          </cell>
        </row>
        <row r="245">
          <cell r="B245">
            <v>42366</v>
          </cell>
          <cell r="F245">
            <v>12000</v>
          </cell>
        </row>
        <row r="246">
          <cell r="B246">
            <v>42367</v>
          </cell>
          <cell r="F246">
            <v>12000</v>
          </cell>
        </row>
        <row r="247">
          <cell r="B247">
            <v>42368</v>
          </cell>
          <cell r="F247">
            <v>12000</v>
          </cell>
        </row>
        <row r="248">
          <cell r="B248">
            <v>42373</v>
          </cell>
          <cell r="F248">
            <v>12000</v>
          </cell>
        </row>
        <row r="249">
          <cell r="B249">
            <v>42374</v>
          </cell>
          <cell r="F249">
            <v>12000</v>
          </cell>
        </row>
        <row r="250">
          <cell r="B250">
            <v>42375</v>
          </cell>
          <cell r="F250">
            <v>12000</v>
          </cell>
        </row>
        <row r="251">
          <cell r="B251">
            <v>42376</v>
          </cell>
          <cell r="F251">
            <v>12000</v>
          </cell>
        </row>
        <row r="252">
          <cell r="B252">
            <v>42377</v>
          </cell>
          <cell r="F252">
            <v>12000</v>
          </cell>
        </row>
        <row r="253">
          <cell r="B253">
            <v>42380</v>
          </cell>
          <cell r="F253">
            <v>12000</v>
          </cell>
        </row>
        <row r="254">
          <cell r="B254">
            <v>42381</v>
          </cell>
          <cell r="F254">
            <v>12000</v>
          </cell>
        </row>
        <row r="255">
          <cell r="B255">
            <v>42382</v>
          </cell>
          <cell r="F255">
            <v>12000</v>
          </cell>
        </row>
        <row r="256">
          <cell r="B256">
            <v>42383</v>
          </cell>
          <cell r="F256">
            <v>12000</v>
          </cell>
        </row>
        <row r="257">
          <cell r="B257">
            <v>42384</v>
          </cell>
          <cell r="F257">
            <v>12600</v>
          </cell>
        </row>
        <row r="258">
          <cell r="B258">
            <v>42387</v>
          </cell>
          <cell r="F258">
            <v>12600</v>
          </cell>
        </row>
        <row r="259">
          <cell r="B259">
            <v>42388</v>
          </cell>
          <cell r="F259">
            <v>12600</v>
          </cell>
        </row>
        <row r="260">
          <cell r="B260">
            <v>42389</v>
          </cell>
          <cell r="F260">
            <v>12600</v>
          </cell>
        </row>
        <row r="261">
          <cell r="B261">
            <v>42390</v>
          </cell>
          <cell r="F261">
            <v>12600</v>
          </cell>
        </row>
        <row r="262">
          <cell r="B262">
            <v>42391</v>
          </cell>
          <cell r="F262">
            <v>12600</v>
          </cell>
        </row>
        <row r="263">
          <cell r="B263">
            <v>42394</v>
          </cell>
          <cell r="F263">
            <v>12700</v>
          </cell>
        </row>
        <row r="264">
          <cell r="B264">
            <v>42395</v>
          </cell>
          <cell r="F264">
            <v>12700</v>
          </cell>
        </row>
        <row r="265">
          <cell r="B265">
            <v>42396</v>
          </cell>
          <cell r="F265">
            <v>12700</v>
          </cell>
        </row>
        <row r="266">
          <cell r="B266">
            <v>42397</v>
          </cell>
          <cell r="F266">
            <v>12700</v>
          </cell>
        </row>
        <row r="267">
          <cell r="B267">
            <v>42398</v>
          </cell>
          <cell r="F267">
            <v>12700</v>
          </cell>
        </row>
        <row r="268">
          <cell r="B268">
            <v>42401</v>
          </cell>
          <cell r="F268">
            <v>12700</v>
          </cell>
        </row>
        <row r="269">
          <cell r="B269">
            <v>42402</v>
          </cell>
          <cell r="F269">
            <v>12700</v>
          </cell>
        </row>
        <row r="270">
          <cell r="B270">
            <v>42403</v>
          </cell>
          <cell r="F270">
            <v>12700</v>
          </cell>
        </row>
        <row r="271">
          <cell r="B271">
            <v>42404</v>
          </cell>
          <cell r="F271">
            <v>12700</v>
          </cell>
        </row>
        <row r="272">
          <cell r="B272">
            <v>42405</v>
          </cell>
          <cell r="F272">
            <v>12800</v>
          </cell>
        </row>
        <row r="273">
          <cell r="B273">
            <v>42411</v>
          </cell>
          <cell r="F273">
            <v>12800</v>
          </cell>
        </row>
        <row r="274">
          <cell r="B274">
            <v>42412</v>
          </cell>
          <cell r="F274">
            <v>12800</v>
          </cell>
        </row>
        <row r="275">
          <cell r="B275">
            <v>42415</v>
          </cell>
          <cell r="F275">
            <v>12800</v>
          </cell>
        </row>
        <row r="276">
          <cell r="B276">
            <v>42416</v>
          </cell>
          <cell r="F276">
            <v>12800</v>
          </cell>
        </row>
        <row r="277">
          <cell r="B277">
            <v>42417</v>
          </cell>
          <cell r="F277">
            <v>12800</v>
          </cell>
        </row>
        <row r="278">
          <cell r="B278">
            <v>42418</v>
          </cell>
          <cell r="F278">
            <v>12800</v>
          </cell>
        </row>
        <row r="279">
          <cell r="B279">
            <v>42419</v>
          </cell>
          <cell r="F279">
            <v>13100</v>
          </cell>
        </row>
        <row r="280">
          <cell r="B280">
            <v>42422</v>
          </cell>
          <cell r="F280">
            <v>14400</v>
          </cell>
        </row>
        <row r="281">
          <cell r="B281">
            <v>42423</v>
          </cell>
          <cell r="F281">
            <v>15800</v>
          </cell>
        </row>
        <row r="282">
          <cell r="B282">
            <v>42424</v>
          </cell>
          <cell r="F282">
            <v>16000</v>
          </cell>
        </row>
        <row r="283">
          <cell r="B283">
            <v>42425</v>
          </cell>
          <cell r="F283">
            <v>16000</v>
          </cell>
        </row>
        <row r="284">
          <cell r="B284">
            <v>42426</v>
          </cell>
          <cell r="F284">
            <v>16000</v>
          </cell>
        </row>
        <row r="285">
          <cell r="B285">
            <v>42429</v>
          </cell>
          <cell r="F285">
            <v>16000</v>
          </cell>
        </row>
        <row r="286">
          <cell r="B286">
            <v>42431</v>
          </cell>
          <cell r="F286">
            <v>16000</v>
          </cell>
        </row>
        <row r="287">
          <cell r="B287">
            <v>42432</v>
          </cell>
          <cell r="F287">
            <v>16000</v>
          </cell>
        </row>
        <row r="288">
          <cell r="B288">
            <v>42433</v>
          </cell>
          <cell r="F288">
            <v>16000</v>
          </cell>
        </row>
        <row r="289">
          <cell r="B289">
            <v>42436</v>
          </cell>
          <cell r="F289">
            <v>16800</v>
          </cell>
        </row>
        <row r="290">
          <cell r="B290">
            <v>42437</v>
          </cell>
          <cell r="F290">
            <v>16800</v>
          </cell>
        </row>
        <row r="291">
          <cell r="B291">
            <v>42438</v>
          </cell>
          <cell r="F291">
            <v>16800</v>
          </cell>
        </row>
        <row r="292">
          <cell r="B292">
            <v>42439</v>
          </cell>
          <cell r="F292">
            <v>16800</v>
          </cell>
        </row>
        <row r="293">
          <cell r="B293">
            <v>42440</v>
          </cell>
          <cell r="F293">
            <v>16800</v>
          </cell>
        </row>
        <row r="294">
          <cell r="B294">
            <v>42443</v>
          </cell>
          <cell r="F294">
            <v>16800</v>
          </cell>
        </row>
        <row r="295">
          <cell r="B295">
            <v>42444</v>
          </cell>
          <cell r="F295">
            <v>18450</v>
          </cell>
        </row>
        <row r="296">
          <cell r="B296">
            <v>42445</v>
          </cell>
          <cell r="F296">
            <v>18450</v>
          </cell>
        </row>
        <row r="297">
          <cell r="B297">
            <v>42446</v>
          </cell>
          <cell r="F297">
            <v>18450</v>
          </cell>
        </row>
        <row r="298">
          <cell r="B298">
            <v>42447</v>
          </cell>
          <cell r="F298">
            <v>18450</v>
          </cell>
        </row>
        <row r="299">
          <cell r="B299">
            <v>42450</v>
          </cell>
          <cell r="F299">
            <v>18450</v>
          </cell>
        </row>
        <row r="300">
          <cell r="B300">
            <v>42451</v>
          </cell>
          <cell r="F300">
            <v>18450</v>
          </cell>
        </row>
        <row r="301">
          <cell r="B301">
            <v>42452</v>
          </cell>
          <cell r="F301">
            <v>18450</v>
          </cell>
        </row>
        <row r="302">
          <cell r="B302">
            <v>42453</v>
          </cell>
          <cell r="F302">
            <v>18450</v>
          </cell>
        </row>
        <row r="303">
          <cell r="B303">
            <v>42454</v>
          </cell>
          <cell r="F303">
            <v>18450</v>
          </cell>
        </row>
        <row r="304">
          <cell r="B304">
            <v>42457</v>
          </cell>
          <cell r="F304">
            <v>18450</v>
          </cell>
        </row>
        <row r="305">
          <cell r="B305">
            <v>42458</v>
          </cell>
          <cell r="F305">
            <v>18450</v>
          </cell>
        </row>
        <row r="306">
          <cell r="B306">
            <v>42459</v>
          </cell>
          <cell r="F306">
            <v>18450</v>
          </cell>
        </row>
        <row r="307">
          <cell r="B307">
            <v>42460</v>
          </cell>
          <cell r="F307">
            <v>18450</v>
          </cell>
        </row>
        <row r="308">
          <cell r="B308">
            <v>42461</v>
          </cell>
          <cell r="F308">
            <v>18450</v>
          </cell>
        </row>
        <row r="309">
          <cell r="B309">
            <v>42464</v>
          </cell>
          <cell r="F309">
            <v>18450</v>
          </cell>
        </row>
        <row r="310">
          <cell r="B310">
            <v>42465</v>
          </cell>
          <cell r="F310">
            <v>18450</v>
          </cell>
        </row>
        <row r="311">
          <cell r="B311">
            <v>42466</v>
          </cell>
          <cell r="F311">
            <v>18450</v>
          </cell>
        </row>
        <row r="312">
          <cell r="B312">
            <v>42467</v>
          </cell>
          <cell r="F312">
            <v>18450</v>
          </cell>
        </row>
        <row r="313">
          <cell r="B313">
            <v>42468</v>
          </cell>
          <cell r="F313">
            <v>18450</v>
          </cell>
        </row>
        <row r="314">
          <cell r="B314">
            <v>42471</v>
          </cell>
          <cell r="F314">
            <v>18450</v>
          </cell>
        </row>
        <row r="315">
          <cell r="B315">
            <v>42472</v>
          </cell>
          <cell r="F315">
            <v>18450</v>
          </cell>
        </row>
        <row r="316">
          <cell r="B316">
            <v>42474</v>
          </cell>
          <cell r="F316">
            <v>18450</v>
          </cell>
        </row>
        <row r="317">
          <cell r="B317">
            <v>42475</v>
          </cell>
          <cell r="F317">
            <v>18450</v>
          </cell>
        </row>
        <row r="318">
          <cell r="B318">
            <v>42478</v>
          </cell>
          <cell r="F318">
            <v>18450</v>
          </cell>
        </row>
        <row r="319">
          <cell r="B319">
            <v>42479</v>
          </cell>
          <cell r="F319">
            <v>18450</v>
          </cell>
        </row>
        <row r="320">
          <cell r="B320">
            <v>42480</v>
          </cell>
          <cell r="F320">
            <v>18450</v>
          </cell>
        </row>
        <row r="321">
          <cell r="B321">
            <v>42481</v>
          </cell>
          <cell r="F321">
            <v>18450</v>
          </cell>
        </row>
        <row r="322">
          <cell r="B322">
            <v>42482</v>
          </cell>
          <cell r="F322">
            <v>18450</v>
          </cell>
        </row>
        <row r="323">
          <cell r="B323">
            <v>42485</v>
          </cell>
          <cell r="F323">
            <v>18450</v>
          </cell>
        </row>
        <row r="324">
          <cell r="B324">
            <v>42486</v>
          </cell>
          <cell r="F324">
            <v>18450</v>
          </cell>
        </row>
        <row r="325">
          <cell r="B325">
            <v>42487</v>
          </cell>
          <cell r="F325">
            <v>18450</v>
          </cell>
        </row>
        <row r="326">
          <cell r="B326">
            <v>42488</v>
          </cell>
          <cell r="F326">
            <v>19000</v>
          </cell>
        </row>
        <row r="327">
          <cell r="B327">
            <v>42489</v>
          </cell>
          <cell r="F327">
            <v>19000</v>
          </cell>
        </row>
        <row r="328">
          <cell r="B328">
            <v>42492</v>
          </cell>
          <cell r="F328">
            <v>19100</v>
          </cell>
        </row>
        <row r="329">
          <cell r="B329">
            <v>42493</v>
          </cell>
          <cell r="F329">
            <v>19200</v>
          </cell>
        </row>
        <row r="330">
          <cell r="B330">
            <v>42494</v>
          </cell>
          <cell r="F330">
            <v>19200</v>
          </cell>
        </row>
        <row r="331">
          <cell r="B331">
            <v>42499</v>
          </cell>
          <cell r="F331">
            <v>19200</v>
          </cell>
        </row>
        <row r="332">
          <cell r="B332">
            <v>42500</v>
          </cell>
          <cell r="F332">
            <v>19200</v>
          </cell>
        </row>
        <row r="333">
          <cell r="B333">
            <v>42501</v>
          </cell>
          <cell r="F333">
            <v>19300</v>
          </cell>
        </row>
        <row r="334">
          <cell r="B334">
            <v>42502</v>
          </cell>
          <cell r="F334">
            <v>19300</v>
          </cell>
        </row>
        <row r="335">
          <cell r="B335">
            <v>42503</v>
          </cell>
          <cell r="F335">
            <v>19300</v>
          </cell>
        </row>
        <row r="336">
          <cell r="B336">
            <v>42506</v>
          </cell>
          <cell r="F336">
            <v>19300</v>
          </cell>
        </row>
        <row r="337">
          <cell r="B337">
            <v>42507</v>
          </cell>
          <cell r="F337">
            <v>19300</v>
          </cell>
        </row>
        <row r="338">
          <cell r="B338">
            <v>42508</v>
          </cell>
          <cell r="F338">
            <v>19400</v>
          </cell>
        </row>
        <row r="339">
          <cell r="B339">
            <v>42509</v>
          </cell>
          <cell r="F339">
            <v>21000</v>
          </cell>
        </row>
        <row r="340">
          <cell r="B340">
            <v>42510</v>
          </cell>
          <cell r="F340">
            <v>21000</v>
          </cell>
        </row>
        <row r="341">
          <cell r="B341">
            <v>42513</v>
          </cell>
          <cell r="F341">
            <v>21000</v>
          </cell>
        </row>
        <row r="342">
          <cell r="B342">
            <v>42514</v>
          </cell>
          <cell r="F342">
            <v>21000</v>
          </cell>
        </row>
        <row r="343">
          <cell r="B343">
            <v>42515</v>
          </cell>
          <cell r="F343">
            <v>21000</v>
          </cell>
        </row>
        <row r="344">
          <cell r="B344">
            <v>42516</v>
          </cell>
          <cell r="F344">
            <v>21000</v>
          </cell>
        </row>
        <row r="345">
          <cell r="B345">
            <v>42517</v>
          </cell>
          <cell r="F345">
            <v>18950</v>
          </cell>
        </row>
        <row r="346">
          <cell r="B346">
            <v>42520</v>
          </cell>
          <cell r="F346">
            <v>18500</v>
          </cell>
        </row>
        <row r="347">
          <cell r="B347">
            <v>42521</v>
          </cell>
          <cell r="F347">
            <v>18500</v>
          </cell>
        </row>
        <row r="348">
          <cell r="B348">
            <v>42522</v>
          </cell>
          <cell r="F348">
            <v>18500</v>
          </cell>
        </row>
        <row r="349">
          <cell r="B349">
            <v>42523</v>
          </cell>
          <cell r="F349">
            <v>18400</v>
          </cell>
        </row>
        <row r="350">
          <cell r="B350">
            <v>42524</v>
          </cell>
          <cell r="F350">
            <v>18400</v>
          </cell>
        </row>
        <row r="351">
          <cell r="B351">
            <v>42528</v>
          </cell>
          <cell r="F351">
            <v>17900</v>
          </cell>
        </row>
        <row r="352">
          <cell r="B352">
            <v>42529</v>
          </cell>
          <cell r="F352">
            <v>17600</v>
          </cell>
        </row>
        <row r="353">
          <cell r="B353">
            <v>42530</v>
          </cell>
          <cell r="F353">
            <v>16700</v>
          </cell>
        </row>
        <row r="354">
          <cell r="B354">
            <v>42531</v>
          </cell>
          <cell r="F354">
            <v>16600</v>
          </cell>
        </row>
        <row r="355">
          <cell r="B355">
            <v>42534</v>
          </cell>
          <cell r="F355">
            <v>16600</v>
          </cell>
        </row>
        <row r="356">
          <cell r="B356">
            <v>42535</v>
          </cell>
          <cell r="F356">
            <v>17000</v>
          </cell>
        </row>
        <row r="357">
          <cell r="B357">
            <v>42536</v>
          </cell>
          <cell r="F357">
            <v>17000</v>
          </cell>
        </row>
        <row r="358">
          <cell r="B358">
            <v>42537</v>
          </cell>
          <cell r="F358">
            <v>17000</v>
          </cell>
        </row>
        <row r="359">
          <cell r="B359">
            <v>42538</v>
          </cell>
          <cell r="F359">
            <v>17050</v>
          </cell>
        </row>
        <row r="360">
          <cell r="B360">
            <v>42541</v>
          </cell>
          <cell r="F360">
            <v>17000</v>
          </cell>
        </row>
        <row r="361">
          <cell r="B361">
            <v>42542</v>
          </cell>
          <cell r="F361">
            <v>17000</v>
          </cell>
        </row>
        <row r="362">
          <cell r="B362">
            <v>42543</v>
          </cell>
          <cell r="F362">
            <v>16800</v>
          </cell>
        </row>
        <row r="363">
          <cell r="B363">
            <v>42544</v>
          </cell>
          <cell r="F363">
            <v>17000</v>
          </cell>
        </row>
        <row r="364">
          <cell r="B364">
            <v>42545</v>
          </cell>
          <cell r="F364">
            <v>17000</v>
          </cell>
        </row>
        <row r="365">
          <cell r="B365">
            <v>42548</v>
          </cell>
          <cell r="F365">
            <v>17000</v>
          </cell>
        </row>
        <row r="366">
          <cell r="B366">
            <v>42549</v>
          </cell>
          <cell r="F366">
            <v>17000</v>
          </cell>
        </row>
        <row r="367">
          <cell r="B367">
            <v>42550</v>
          </cell>
          <cell r="F367">
            <v>17000</v>
          </cell>
        </row>
        <row r="368">
          <cell r="B368">
            <v>42551</v>
          </cell>
          <cell r="F368">
            <v>17000</v>
          </cell>
        </row>
      </sheetData>
      <sheetData sheetId="7"/>
      <sheetData sheetId="8" refreshError="1"/>
      <sheetData sheetId="9" refreshError="1"/>
      <sheetData sheetId="10"/>
      <sheetData sheetId="11"/>
      <sheetData sheetId="12" refreshError="1"/>
      <sheetData sheetId="13" refreshError="1"/>
      <sheetData sheetId="14" refreshError="1"/>
      <sheetData sheetId="15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trlProp" Target="../ctrlProps/ctrlProp4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43"/>
  <sheetViews>
    <sheetView tabSelected="1" workbookViewId="0">
      <selection activeCell="J17" sqref="J17"/>
    </sheetView>
  </sheetViews>
  <sheetFormatPr defaultRowHeight="17.399999999999999" x14ac:dyDescent="0.4"/>
  <cols>
    <col min="1" max="1" width="8.796875" style="3"/>
    <col min="2" max="2" width="10.8984375" style="3" bestFit="1" customWidth="1"/>
    <col min="3" max="5" width="8.796875" style="3"/>
    <col min="6" max="9" width="10.8984375" style="3" bestFit="1" customWidth="1"/>
    <col min="10" max="11" width="10.8984375" style="3" customWidth="1"/>
    <col min="12" max="12" width="10.8984375" style="3" bestFit="1" customWidth="1"/>
    <col min="13" max="15" width="8.796875" style="3"/>
    <col min="16" max="16" width="10.8984375" style="3" bestFit="1" customWidth="1"/>
    <col min="17" max="16384" width="8.796875" style="3"/>
  </cols>
  <sheetData>
    <row r="1" spans="2:17" x14ac:dyDescent="0.4">
      <c r="B1" s="2"/>
    </row>
    <row r="2" spans="2:17" x14ac:dyDescent="0.4">
      <c r="F2" s="2"/>
      <c r="H2" s="2"/>
    </row>
    <row r="3" spans="2:17" x14ac:dyDescent="0.4">
      <c r="M3" s="93" t="s">
        <v>262</v>
      </c>
    </row>
    <row r="6" spans="2:17" x14ac:dyDescent="0.4">
      <c r="G6" s="2">
        <v>43006</v>
      </c>
      <c r="I6" s="2">
        <v>42999</v>
      </c>
      <c r="J6" s="2"/>
      <c r="K6" s="2"/>
    </row>
    <row r="7" spans="2:17" x14ac:dyDescent="0.4">
      <c r="J7" s="93" t="s">
        <v>266</v>
      </c>
    </row>
    <row r="8" spans="2:17" x14ac:dyDescent="0.4">
      <c r="J8" s="93" t="s">
        <v>267</v>
      </c>
      <c r="K8" s="93" t="s">
        <v>268</v>
      </c>
      <c r="L8" s="93" t="s">
        <v>254</v>
      </c>
    </row>
    <row r="9" spans="2:17" x14ac:dyDescent="0.4">
      <c r="H9" s="4"/>
    </row>
    <row r="10" spans="2:17" x14ac:dyDescent="0.4">
      <c r="L10" s="93" t="s">
        <v>269</v>
      </c>
      <c r="O10" s="93" t="s">
        <v>279</v>
      </c>
    </row>
    <row r="11" spans="2:17" x14ac:dyDescent="0.4">
      <c r="L11" s="93" t="s">
        <v>264</v>
      </c>
      <c r="O11" s="93" t="s">
        <v>263</v>
      </c>
    </row>
    <row r="12" spans="2:17" x14ac:dyDescent="0.4">
      <c r="J12" s="2">
        <v>42736</v>
      </c>
      <c r="K12" s="2">
        <v>42742</v>
      </c>
      <c r="L12" s="2">
        <v>42736</v>
      </c>
      <c r="M12" s="3">
        <v>10</v>
      </c>
      <c r="P12" s="2">
        <v>42736</v>
      </c>
      <c r="Q12" s="3">
        <v>10</v>
      </c>
    </row>
    <row r="13" spans="2:17" x14ac:dyDescent="0.4">
      <c r="J13" s="2">
        <v>42736</v>
      </c>
      <c r="K13" s="2">
        <v>42744</v>
      </c>
      <c r="L13" s="2">
        <v>42737</v>
      </c>
      <c r="M13" s="3">
        <v>20</v>
      </c>
      <c r="P13" s="2">
        <v>42737</v>
      </c>
      <c r="Q13" s="3">
        <v>20</v>
      </c>
    </row>
    <row r="14" spans="2:17" x14ac:dyDescent="0.4">
      <c r="L14" s="2">
        <v>42738</v>
      </c>
      <c r="P14" s="2">
        <v>42740</v>
      </c>
      <c r="Q14" s="93">
        <v>20</v>
      </c>
    </row>
    <row r="15" spans="2:17" x14ac:dyDescent="0.4">
      <c r="L15" s="2">
        <v>42740</v>
      </c>
      <c r="M15" s="93">
        <v>20</v>
      </c>
      <c r="P15" s="2">
        <v>42741</v>
      </c>
      <c r="Q15" s="93">
        <v>30</v>
      </c>
    </row>
    <row r="16" spans="2:17" x14ac:dyDescent="0.4">
      <c r="L16" s="2">
        <v>42741</v>
      </c>
      <c r="M16" s="93">
        <v>30</v>
      </c>
      <c r="P16" s="2"/>
      <c r="Q16" s="93"/>
    </row>
    <row r="17" spans="1:17" x14ac:dyDescent="0.4">
      <c r="L17" s="2">
        <v>42742</v>
      </c>
      <c r="P17" s="94"/>
      <c r="Q17" s="93"/>
    </row>
    <row r="18" spans="1:17" x14ac:dyDescent="0.4">
      <c r="L18" s="2">
        <v>42743</v>
      </c>
      <c r="M18" s="93">
        <v>10</v>
      </c>
      <c r="P18" s="2"/>
      <c r="Q18" s="93"/>
    </row>
    <row r="19" spans="1:17" x14ac:dyDescent="0.4">
      <c r="L19" s="2">
        <v>42744</v>
      </c>
      <c r="M19" s="93">
        <v>20</v>
      </c>
    </row>
    <row r="21" spans="1:17" x14ac:dyDescent="0.4">
      <c r="A21" s="93" t="s">
        <v>260</v>
      </c>
      <c r="F21" s="93" t="s">
        <v>261</v>
      </c>
    </row>
    <row r="22" spans="1:17" x14ac:dyDescent="0.4">
      <c r="A22" s="93" t="s">
        <v>255</v>
      </c>
      <c r="B22" s="93" t="s">
        <v>257</v>
      </c>
      <c r="F22" s="93" t="s">
        <v>256</v>
      </c>
      <c r="G22" s="93" t="s">
        <v>257</v>
      </c>
      <c r="L22" s="93" t="s">
        <v>270</v>
      </c>
    </row>
    <row r="23" spans="1:17" x14ac:dyDescent="0.4">
      <c r="B23" s="93" t="s">
        <v>258</v>
      </c>
      <c r="G23" s="93" t="s">
        <v>258</v>
      </c>
      <c r="L23" s="93" t="s">
        <v>265</v>
      </c>
    </row>
    <row r="24" spans="1:17" x14ac:dyDescent="0.4">
      <c r="B24" s="93" t="s">
        <v>259</v>
      </c>
      <c r="G24" s="93" t="s">
        <v>259</v>
      </c>
      <c r="J24" s="2">
        <v>42736</v>
      </c>
      <c r="K24" s="2">
        <v>42742</v>
      </c>
      <c r="L24" s="2">
        <v>42736</v>
      </c>
      <c r="M24" s="3">
        <v>10</v>
      </c>
      <c r="P24" s="2">
        <v>42736</v>
      </c>
      <c r="Q24" s="3">
        <v>10</v>
      </c>
    </row>
    <row r="25" spans="1:17" x14ac:dyDescent="0.4">
      <c r="L25" s="2">
        <v>42737</v>
      </c>
      <c r="M25" s="3">
        <v>20</v>
      </c>
      <c r="P25" s="2">
        <v>42737</v>
      </c>
      <c r="Q25" s="3">
        <v>20</v>
      </c>
    </row>
    <row r="26" spans="1:17" x14ac:dyDescent="0.4">
      <c r="L26" s="2">
        <v>42738</v>
      </c>
      <c r="M26" s="3">
        <v>30</v>
      </c>
      <c r="P26" s="2">
        <v>42738</v>
      </c>
      <c r="Q26" s="3">
        <v>30</v>
      </c>
    </row>
    <row r="27" spans="1:17" x14ac:dyDescent="0.4">
      <c r="L27" s="2">
        <v>42739</v>
      </c>
      <c r="M27" s="93">
        <v>10</v>
      </c>
      <c r="P27" s="2">
        <v>42739</v>
      </c>
      <c r="Q27" s="93">
        <v>10</v>
      </c>
    </row>
    <row r="28" spans="1:17" x14ac:dyDescent="0.4">
      <c r="L28" s="2">
        <v>42740</v>
      </c>
      <c r="M28" s="93">
        <v>20</v>
      </c>
      <c r="P28" s="2">
        <v>42740</v>
      </c>
      <c r="Q28" s="93">
        <v>20</v>
      </c>
    </row>
    <row r="29" spans="1:17" x14ac:dyDescent="0.4">
      <c r="L29" s="2">
        <v>42743</v>
      </c>
      <c r="M29" s="93">
        <v>20</v>
      </c>
      <c r="P29" s="2"/>
      <c r="Q29" s="93"/>
    </row>
    <row r="30" spans="1:17" x14ac:dyDescent="0.4">
      <c r="L30" s="2">
        <v>42744</v>
      </c>
      <c r="M30" s="93">
        <v>20</v>
      </c>
      <c r="P30" s="2"/>
      <c r="Q30" s="93"/>
    </row>
    <row r="32" spans="1:17" x14ac:dyDescent="0.4">
      <c r="I32" s="93" t="s">
        <v>277</v>
      </c>
    </row>
    <row r="33" spans="9:14" x14ac:dyDescent="0.4">
      <c r="I33" s="93" t="s">
        <v>271</v>
      </c>
      <c r="K33" s="2">
        <v>43006</v>
      </c>
      <c r="L33" s="93" t="s">
        <v>272</v>
      </c>
    </row>
    <row r="34" spans="9:14" x14ac:dyDescent="0.4">
      <c r="I34" s="93" t="s">
        <v>278</v>
      </c>
    </row>
    <row r="35" spans="9:14" x14ac:dyDescent="0.4">
      <c r="K35" s="2">
        <v>42999</v>
      </c>
      <c r="L35" s="93" t="s">
        <v>272</v>
      </c>
    </row>
    <row r="36" spans="9:14" x14ac:dyDescent="0.4">
      <c r="K36" s="2">
        <v>42996</v>
      </c>
      <c r="L36" s="93" t="s">
        <v>273</v>
      </c>
    </row>
    <row r="37" spans="9:14" x14ac:dyDescent="0.4">
      <c r="K37" s="2">
        <v>43000</v>
      </c>
      <c r="L37" s="93" t="s">
        <v>274</v>
      </c>
    </row>
    <row r="39" spans="9:14" x14ac:dyDescent="0.4">
      <c r="L39" s="2">
        <v>42999</v>
      </c>
    </row>
    <row r="40" spans="9:14" x14ac:dyDescent="0.4">
      <c r="L40" s="2">
        <v>43000</v>
      </c>
    </row>
    <row r="41" spans="9:14" x14ac:dyDescent="0.4">
      <c r="L41" s="2">
        <v>43001</v>
      </c>
    </row>
    <row r="42" spans="9:14" x14ac:dyDescent="0.4">
      <c r="L42" s="94">
        <v>43009</v>
      </c>
    </row>
    <row r="43" spans="9:14" x14ac:dyDescent="0.4">
      <c r="L43" s="94">
        <v>43010</v>
      </c>
      <c r="M43" s="93" t="s">
        <v>275</v>
      </c>
      <c r="N43" s="93" t="s">
        <v>276</v>
      </c>
    </row>
  </sheetData>
  <phoneticPr fontId="1" type="noConversion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33" r:id="rId4" name="TextBox2">
          <controlPr defaultSize="0" autoLine="0" r:id="rId5">
            <anchor moveWithCells="1">
              <from>
                <xdr:col>6</xdr:col>
                <xdr:colOff>106680</xdr:colOff>
                <xdr:row>0</xdr:row>
                <xdr:rowOff>213360</xdr:rowOff>
              </from>
              <to>
                <xdr:col>7</xdr:col>
                <xdr:colOff>716280</xdr:colOff>
                <xdr:row>2</xdr:row>
                <xdr:rowOff>0</xdr:rowOff>
              </to>
            </anchor>
          </controlPr>
        </control>
      </mc:Choice>
      <mc:Fallback>
        <control shapeId="1033" r:id="rId4" name="TextBox2"/>
      </mc:Fallback>
    </mc:AlternateContent>
    <mc:AlternateContent xmlns:mc="http://schemas.openxmlformats.org/markup-compatibility/2006">
      <mc:Choice Requires="x14">
        <control shapeId="1032" r:id="rId6" name="TextBox1">
          <controlPr defaultSize="0" autoLine="0" r:id="rId7">
            <anchor moveWithCells="1">
              <from>
                <xdr:col>4</xdr:col>
                <xdr:colOff>15240</xdr:colOff>
                <xdr:row>0</xdr:row>
                <xdr:rowOff>205740</xdr:rowOff>
              </from>
              <to>
                <xdr:col>5</xdr:col>
                <xdr:colOff>784860</xdr:colOff>
                <xdr:row>1</xdr:row>
                <xdr:rowOff>213360</xdr:rowOff>
              </to>
            </anchor>
          </controlPr>
        </control>
      </mc:Choice>
      <mc:Fallback>
        <control shapeId="1032" r:id="rId6" name="TextBox1"/>
      </mc:Fallback>
    </mc:AlternateContent>
    <mc:AlternateContent xmlns:mc="http://schemas.openxmlformats.org/markup-compatibility/2006">
      <mc:Choice Requires="x14">
        <control shapeId="1031" r:id="rId8" name="ComboBox1">
          <controlPr defaultSize="0" autoLine="0" r:id="rId9">
            <anchor moveWithCells="1">
              <from>
                <xdr:col>0</xdr:col>
                <xdr:colOff>335280</xdr:colOff>
                <xdr:row>0</xdr:row>
                <xdr:rowOff>198120</xdr:rowOff>
              </from>
              <to>
                <xdr:col>2</xdr:col>
                <xdr:colOff>548640</xdr:colOff>
                <xdr:row>2</xdr:row>
                <xdr:rowOff>60960</xdr:rowOff>
              </to>
            </anchor>
          </controlPr>
        </control>
      </mc:Choice>
      <mc:Fallback>
        <control shapeId="1031" r:id="rId8" name="ComboBox1"/>
      </mc:Fallback>
    </mc:AlternateContent>
    <mc:AlternateContent xmlns:mc="http://schemas.openxmlformats.org/markup-compatibility/2006">
      <mc:Choice Requires="x14">
        <control shapeId="1027" r:id="rId10" name="Button 3">
          <controlPr defaultSize="0" print="0" autoFill="0" autoPict="0" macro="[0]!click1Week">
            <anchor moveWithCells="1" sizeWithCells="1">
              <from>
                <xdr:col>4</xdr:col>
                <xdr:colOff>0</xdr:colOff>
                <xdr:row>3</xdr:row>
                <xdr:rowOff>76200</xdr:rowOff>
              </from>
              <to>
                <xdr:col>5</xdr:col>
                <xdr:colOff>45720</xdr:colOff>
                <xdr:row>4</xdr:row>
                <xdr:rowOff>137160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11" name="Button 4">
          <controlPr defaultSize="0" print="0" autoFill="0" autoPict="0" macro="[0]!click1Month">
            <anchor moveWithCells="1" sizeWithCells="1">
              <from>
                <xdr:col>5</xdr:col>
                <xdr:colOff>106680</xdr:colOff>
                <xdr:row>3</xdr:row>
                <xdr:rowOff>76200</xdr:rowOff>
              </from>
              <to>
                <xdr:col>6</xdr:col>
                <xdr:colOff>312420</xdr:colOff>
                <xdr:row>4</xdr:row>
                <xdr:rowOff>137160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12" name="Button 5">
          <controlPr defaultSize="0" print="0" autoFill="0" autoPict="0" macro="[0]!click3Month">
            <anchor moveWithCells="1" sizeWithCells="1">
              <from>
                <xdr:col>6</xdr:col>
                <xdr:colOff>365760</xdr:colOff>
                <xdr:row>3</xdr:row>
                <xdr:rowOff>76200</xdr:rowOff>
              </from>
              <to>
                <xdr:col>7</xdr:col>
                <xdr:colOff>251460</xdr:colOff>
                <xdr:row>4</xdr:row>
                <xdr:rowOff>137160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13" name="Button 6">
          <controlPr defaultSize="0" print="0" autoFill="0" autoPict="0" macro="[0]!click6Month">
            <anchor moveWithCells="1" sizeWithCells="1">
              <from>
                <xdr:col>7</xdr:col>
                <xdr:colOff>312420</xdr:colOff>
                <xdr:row>3</xdr:row>
                <xdr:rowOff>76200</xdr:rowOff>
              </from>
              <to>
                <xdr:col>8</xdr:col>
                <xdr:colOff>518160</xdr:colOff>
                <xdr:row>4</xdr:row>
                <xdr:rowOff>137160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BFBDC-8561-47EE-92D1-C563AD279A8B}">
  <sheetPr codeName="Sheet12">
    <tabColor rgb="FF002060"/>
  </sheetPr>
  <dimension ref="A1:P700"/>
  <sheetViews>
    <sheetView topLeftCell="A665" workbookViewId="0">
      <selection activeCell="A666" sqref="A666:A670"/>
    </sheetView>
  </sheetViews>
  <sheetFormatPr defaultRowHeight="17.399999999999999" x14ac:dyDescent="0.4"/>
  <sheetData>
    <row r="1" spans="1:16" x14ac:dyDescent="0.4">
      <c r="A1" s="8" t="s">
        <v>19</v>
      </c>
      <c r="B1" s="8" t="s">
        <v>7</v>
      </c>
      <c r="C1" s="9" t="s">
        <v>135</v>
      </c>
      <c r="D1" s="8" t="s">
        <v>9</v>
      </c>
      <c r="E1" s="8" t="s">
        <v>10</v>
      </c>
      <c r="F1" s="8" t="s">
        <v>11</v>
      </c>
      <c r="G1" s="8" t="s">
        <v>244</v>
      </c>
      <c r="H1" s="8" t="s">
        <v>245</v>
      </c>
      <c r="I1" s="8" t="s">
        <v>246</v>
      </c>
      <c r="J1" s="8" t="s">
        <v>247</v>
      </c>
      <c r="K1" s="8" t="s">
        <v>248</v>
      </c>
      <c r="L1" s="8" t="s">
        <v>249</v>
      </c>
      <c r="M1" s="8" t="s">
        <v>250</v>
      </c>
      <c r="N1" s="8" t="s">
        <v>251</v>
      </c>
      <c r="O1" s="8" t="s">
        <v>252</v>
      </c>
      <c r="P1" s="10" t="s">
        <v>253</v>
      </c>
    </row>
    <row r="2" spans="1:16" x14ac:dyDescent="0.4">
      <c r="A2" s="44">
        <v>42016</v>
      </c>
      <c r="B2" s="45">
        <v>7860</v>
      </c>
      <c r="C2" s="45">
        <v>8640</v>
      </c>
      <c r="D2" s="45">
        <v>7860</v>
      </c>
      <c r="E2" s="45">
        <v>8640</v>
      </c>
      <c r="F2" s="46">
        <v>9.92</v>
      </c>
      <c r="G2" s="13">
        <f>I2-H2</f>
        <v>1190</v>
      </c>
      <c r="H2" s="47">
        <v>0</v>
      </c>
      <c r="I2" s="48">
        <v>1190</v>
      </c>
      <c r="J2" s="14">
        <f>L2-K2</f>
        <v>9740400</v>
      </c>
      <c r="K2" s="47">
        <v>0</v>
      </c>
      <c r="L2" s="47">
        <v>9740400</v>
      </c>
      <c r="M2" s="14">
        <f>IFERROR(J2/G2,0)</f>
        <v>8185.2100840336134</v>
      </c>
      <c r="N2" s="14">
        <f>IFERROR(K2/H2,0)</f>
        <v>0</v>
      </c>
      <c r="O2" s="4">
        <f>IFERROR(L2/I2,0)</f>
        <v>8185.2100840336134</v>
      </c>
      <c r="P2" s="4"/>
    </row>
    <row r="3" spans="1:16" x14ac:dyDescent="0.4">
      <c r="A3" s="44">
        <v>42017</v>
      </c>
      <c r="B3" s="45">
        <v>9500</v>
      </c>
      <c r="C3" s="45">
        <v>9500</v>
      </c>
      <c r="D3" s="45">
        <v>9500</v>
      </c>
      <c r="E3" s="45">
        <v>9500</v>
      </c>
      <c r="F3" s="46">
        <v>9.9499999999999993</v>
      </c>
      <c r="G3" s="13">
        <f t="shared" ref="G3:G66" si="0">I3-H3</f>
        <v>50</v>
      </c>
      <c r="H3" s="47">
        <v>0</v>
      </c>
      <c r="I3" s="48">
        <v>50</v>
      </c>
      <c r="J3" s="14">
        <f t="shared" ref="J3:J66" si="1">L3-K3</f>
        <v>475000</v>
      </c>
      <c r="K3" s="47">
        <v>0</v>
      </c>
      <c r="L3" s="47">
        <v>475000</v>
      </c>
      <c r="M3" s="14">
        <f t="shared" ref="M3:O37" si="2">IFERROR(J3/G3,0)</f>
        <v>9500</v>
      </c>
      <c r="N3" s="14">
        <f t="shared" si="2"/>
        <v>0</v>
      </c>
      <c r="O3" s="4">
        <f t="shared" si="2"/>
        <v>9500</v>
      </c>
      <c r="P3" s="4"/>
    </row>
    <row r="4" spans="1:16" x14ac:dyDescent="0.4">
      <c r="A4" s="44">
        <v>42018</v>
      </c>
      <c r="B4" s="45">
        <v>9510</v>
      </c>
      <c r="C4" s="45">
        <v>9510</v>
      </c>
      <c r="D4" s="45">
        <v>9510</v>
      </c>
      <c r="E4" s="45">
        <v>9510</v>
      </c>
      <c r="F4" s="46">
        <v>0.11</v>
      </c>
      <c r="G4" s="13">
        <f t="shared" si="0"/>
        <v>100</v>
      </c>
      <c r="H4" s="47">
        <v>0</v>
      </c>
      <c r="I4" s="48">
        <v>100</v>
      </c>
      <c r="J4" s="14">
        <f t="shared" si="1"/>
        <v>951000</v>
      </c>
      <c r="K4" s="47">
        <v>0</v>
      </c>
      <c r="L4" s="47">
        <v>951000</v>
      </c>
      <c r="M4" s="14">
        <f t="shared" si="2"/>
        <v>9510</v>
      </c>
      <c r="N4" s="14">
        <f t="shared" si="2"/>
        <v>0</v>
      </c>
      <c r="O4" s="4">
        <f t="shared" si="2"/>
        <v>9510</v>
      </c>
      <c r="P4" s="4"/>
    </row>
    <row r="5" spans="1:16" x14ac:dyDescent="0.4">
      <c r="A5" s="44">
        <v>42019</v>
      </c>
      <c r="B5" s="45">
        <v>9580</v>
      </c>
      <c r="C5" s="45">
        <v>9580</v>
      </c>
      <c r="D5" s="45">
        <v>9580</v>
      </c>
      <c r="E5" s="45">
        <v>9580</v>
      </c>
      <c r="F5" s="46">
        <v>0.74</v>
      </c>
      <c r="G5" s="13">
        <f t="shared" si="0"/>
        <v>0</v>
      </c>
      <c r="H5" s="47">
        <v>0</v>
      </c>
      <c r="I5" s="48">
        <v>0</v>
      </c>
      <c r="J5" s="14">
        <f t="shared" si="1"/>
        <v>0</v>
      </c>
      <c r="K5" s="47">
        <v>0</v>
      </c>
      <c r="L5" s="47">
        <v>0</v>
      </c>
      <c r="M5" s="14">
        <f t="shared" si="2"/>
        <v>0</v>
      </c>
      <c r="N5" s="14">
        <f t="shared" si="2"/>
        <v>0</v>
      </c>
      <c r="O5" s="4">
        <f t="shared" si="2"/>
        <v>0</v>
      </c>
      <c r="P5" s="4"/>
    </row>
    <row r="6" spans="1:16" x14ac:dyDescent="0.4">
      <c r="A6" s="44">
        <v>42020</v>
      </c>
      <c r="B6" s="45">
        <v>9610</v>
      </c>
      <c r="C6" s="45">
        <v>9610</v>
      </c>
      <c r="D6" s="45">
        <v>9610</v>
      </c>
      <c r="E6" s="45">
        <v>9610</v>
      </c>
      <c r="F6" s="46">
        <v>0.31</v>
      </c>
      <c r="G6" s="13">
        <f t="shared" si="0"/>
        <v>40</v>
      </c>
      <c r="H6" s="47">
        <v>0</v>
      </c>
      <c r="I6" s="48">
        <v>40</v>
      </c>
      <c r="J6" s="14">
        <f t="shared" si="1"/>
        <v>384400</v>
      </c>
      <c r="K6" s="47">
        <v>0</v>
      </c>
      <c r="L6" s="47">
        <v>384400</v>
      </c>
      <c r="M6" s="14">
        <f t="shared" si="2"/>
        <v>9610</v>
      </c>
      <c r="N6" s="14">
        <f t="shared" si="2"/>
        <v>0</v>
      </c>
      <c r="O6" s="4">
        <f t="shared" si="2"/>
        <v>9610</v>
      </c>
      <c r="P6" s="4"/>
    </row>
    <row r="7" spans="1:16" x14ac:dyDescent="0.4">
      <c r="A7" s="44">
        <v>42023</v>
      </c>
      <c r="B7" s="45">
        <v>9860</v>
      </c>
      <c r="C7" s="45">
        <v>9860</v>
      </c>
      <c r="D7" s="45">
        <v>9860</v>
      </c>
      <c r="E7" s="45">
        <v>9860</v>
      </c>
      <c r="F7" s="46">
        <v>2.6</v>
      </c>
      <c r="G7" s="13">
        <f t="shared" si="0"/>
        <v>0</v>
      </c>
      <c r="H7" s="47">
        <v>0</v>
      </c>
      <c r="I7" s="48">
        <v>0</v>
      </c>
      <c r="J7" s="14">
        <f t="shared" si="1"/>
        <v>0</v>
      </c>
      <c r="K7" s="47">
        <v>0</v>
      </c>
      <c r="L7" s="47">
        <v>0</v>
      </c>
      <c r="M7" s="14">
        <f t="shared" si="2"/>
        <v>0</v>
      </c>
      <c r="N7" s="14">
        <f t="shared" si="2"/>
        <v>0</v>
      </c>
      <c r="O7" s="4">
        <f t="shared" si="2"/>
        <v>0</v>
      </c>
      <c r="P7" s="4"/>
    </row>
    <row r="8" spans="1:16" x14ac:dyDescent="0.4">
      <c r="A8" s="44">
        <v>42024</v>
      </c>
      <c r="B8" s="45">
        <v>9890</v>
      </c>
      <c r="C8" s="45">
        <v>9890</v>
      </c>
      <c r="D8" s="45">
        <v>9890</v>
      </c>
      <c r="E8" s="45">
        <v>9890</v>
      </c>
      <c r="F8" s="46">
        <v>0.3</v>
      </c>
      <c r="G8" s="13">
        <f t="shared" si="0"/>
        <v>0</v>
      </c>
      <c r="H8" s="47">
        <v>0</v>
      </c>
      <c r="I8" s="48">
        <v>0</v>
      </c>
      <c r="J8" s="14">
        <f t="shared" si="1"/>
        <v>0</v>
      </c>
      <c r="K8" s="47">
        <v>0</v>
      </c>
      <c r="L8" s="47">
        <v>0</v>
      </c>
      <c r="M8" s="14">
        <f t="shared" si="2"/>
        <v>0</v>
      </c>
      <c r="N8" s="14">
        <f t="shared" si="2"/>
        <v>0</v>
      </c>
      <c r="O8" s="4">
        <f t="shared" si="2"/>
        <v>0</v>
      </c>
      <c r="P8" s="4"/>
    </row>
    <row r="9" spans="1:16" x14ac:dyDescent="0.4">
      <c r="A9" s="49">
        <v>42025</v>
      </c>
      <c r="B9" s="48">
        <v>9910</v>
      </c>
      <c r="C9" s="48">
        <v>9910</v>
      </c>
      <c r="D9" s="48">
        <v>9910</v>
      </c>
      <c r="E9" s="48">
        <v>9910</v>
      </c>
      <c r="F9" s="50">
        <v>0.2</v>
      </c>
      <c r="G9" s="13">
        <f t="shared" si="0"/>
        <v>0</v>
      </c>
      <c r="H9" s="47">
        <v>0</v>
      </c>
      <c r="I9" s="48">
        <v>0</v>
      </c>
      <c r="J9" s="14">
        <f t="shared" si="1"/>
        <v>0</v>
      </c>
      <c r="K9" s="47">
        <v>0</v>
      </c>
      <c r="L9" s="47">
        <v>0</v>
      </c>
      <c r="M9" s="14">
        <f t="shared" si="2"/>
        <v>0</v>
      </c>
      <c r="N9" s="14">
        <f t="shared" si="2"/>
        <v>0</v>
      </c>
      <c r="O9" s="4">
        <f t="shared" si="2"/>
        <v>0</v>
      </c>
      <c r="P9" s="4"/>
    </row>
    <row r="10" spans="1:16" x14ac:dyDescent="0.4">
      <c r="A10" s="49">
        <v>42026</v>
      </c>
      <c r="B10" s="48">
        <v>9920</v>
      </c>
      <c r="C10" s="48">
        <v>9920</v>
      </c>
      <c r="D10" s="48">
        <v>9920</v>
      </c>
      <c r="E10" s="48">
        <v>9920</v>
      </c>
      <c r="F10" s="50">
        <v>0.1</v>
      </c>
      <c r="G10" s="13">
        <f t="shared" si="0"/>
        <v>0</v>
      </c>
      <c r="H10" s="47">
        <v>0</v>
      </c>
      <c r="I10" s="48">
        <v>0</v>
      </c>
      <c r="J10" s="14">
        <f t="shared" si="1"/>
        <v>0</v>
      </c>
      <c r="K10" s="47">
        <v>0</v>
      </c>
      <c r="L10" s="47">
        <v>0</v>
      </c>
      <c r="M10" s="14">
        <f t="shared" si="2"/>
        <v>0</v>
      </c>
      <c r="N10" s="14">
        <f t="shared" si="2"/>
        <v>0</v>
      </c>
      <c r="O10" s="4">
        <f t="shared" si="2"/>
        <v>0</v>
      </c>
      <c r="P10" s="4"/>
    </row>
    <row r="11" spans="1:16" x14ac:dyDescent="0.4">
      <c r="A11" s="49">
        <v>42027</v>
      </c>
      <c r="B11" s="48">
        <v>9920</v>
      </c>
      <c r="C11" s="48">
        <v>9920</v>
      </c>
      <c r="D11" s="48">
        <v>9920</v>
      </c>
      <c r="E11" s="48">
        <v>9920</v>
      </c>
      <c r="F11" s="50">
        <v>0</v>
      </c>
      <c r="G11" s="13">
        <f t="shared" si="0"/>
        <v>0</v>
      </c>
      <c r="H11" s="47">
        <v>0</v>
      </c>
      <c r="I11" s="48">
        <v>0</v>
      </c>
      <c r="J11" s="14">
        <f t="shared" si="1"/>
        <v>0</v>
      </c>
      <c r="K11" s="47">
        <v>0</v>
      </c>
      <c r="L11" s="47">
        <v>0</v>
      </c>
      <c r="M11" s="14">
        <f t="shared" si="2"/>
        <v>0</v>
      </c>
      <c r="N11" s="14">
        <f t="shared" si="2"/>
        <v>0</v>
      </c>
      <c r="O11" s="4">
        <f t="shared" si="2"/>
        <v>0</v>
      </c>
      <c r="P11" s="4"/>
    </row>
    <row r="12" spans="1:16" x14ac:dyDescent="0.4">
      <c r="A12" s="49">
        <v>42030</v>
      </c>
      <c r="B12" s="48">
        <v>9930</v>
      </c>
      <c r="C12" s="48">
        <v>9930</v>
      </c>
      <c r="D12" s="48">
        <v>9930</v>
      </c>
      <c r="E12" s="48">
        <v>9930</v>
      </c>
      <c r="F12" s="50">
        <v>0.1</v>
      </c>
      <c r="G12" s="13">
        <f t="shared" si="0"/>
        <v>0</v>
      </c>
      <c r="H12" s="47">
        <v>0</v>
      </c>
      <c r="I12" s="48">
        <v>0</v>
      </c>
      <c r="J12" s="14">
        <f t="shared" si="1"/>
        <v>0</v>
      </c>
      <c r="K12" s="47">
        <v>0</v>
      </c>
      <c r="L12" s="47">
        <v>0</v>
      </c>
      <c r="M12" s="14">
        <f t="shared" si="2"/>
        <v>0</v>
      </c>
      <c r="N12" s="14">
        <f t="shared" si="2"/>
        <v>0</v>
      </c>
      <c r="O12" s="4">
        <f t="shared" si="2"/>
        <v>0</v>
      </c>
      <c r="P12" s="4"/>
    </row>
    <row r="13" spans="1:16" x14ac:dyDescent="0.4">
      <c r="A13" s="49">
        <v>42031</v>
      </c>
      <c r="B13" s="48">
        <v>9930</v>
      </c>
      <c r="C13" s="48">
        <v>9930</v>
      </c>
      <c r="D13" s="48">
        <v>9930</v>
      </c>
      <c r="E13" s="48">
        <v>9930</v>
      </c>
      <c r="F13" s="50">
        <v>0</v>
      </c>
      <c r="G13" s="13">
        <f t="shared" si="0"/>
        <v>0</v>
      </c>
      <c r="H13" s="47">
        <v>0</v>
      </c>
      <c r="I13" s="48">
        <v>0</v>
      </c>
      <c r="J13" s="14">
        <f t="shared" si="1"/>
        <v>0</v>
      </c>
      <c r="K13" s="47">
        <v>0</v>
      </c>
      <c r="L13" s="47">
        <v>0</v>
      </c>
      <c r="M13" s="14">
        <f t="shared" si="2"/>
        <v>0</v>
      </c>
      <c r="N13" s="14">
        <f t="shared" si="2"/>
        <v>0</v>
      </c>
      <c r="O13" s="4">
        <f t="shared" si="2"/>
        <v>0</v>
      </c>
      <c r="P13" s="4"/>
    </row>
    <row r="14" spans="1:16" x14ac:dyDescent="0.4">
      <c r="A14" s="49">
        <v>42032</v>
      </c>
      <c r="B14" s="48">
        <v>9930</v>
      </c>
      <c r="C14" s="48">
        <v>9930</v>
      </c>
      <c r="D14" s="48">
        <v>9930</v>
      </c>
      <c r="E14" s="48">
        <v>9930</v>
      </c>
      <c r="F14" s="50">
        <v>0</v>
      </c>
      <c r="G14" s="13">
        <f t="shared" si="0"/>
        <v>0</v>
      </c>
      <c r="H14" s="47">
        <v>0</v>
      </c>
      <c r="I14" s="48">
        <v>0</v>
      </c>
      <c r="J14" s="14">
        <f t="shared" si="1"/>
        <v>0</v>
      </c>
      <c r="K14" s="47">
        <v>0</v>
      </c>
      <c r="L14" s="47">
        <v>0</v>
      </c>
      <c r="M14" s="14">
        <f t="shared" si="2"/>
        <v>0</v>
      </c>
      <c r="N14" s="14">
        <f t="shared" si="2"/>
        <v>0</v>
      </c>
      <c r="O14" s="4">
        <f t="shared" si="2"/>
        <v>0</v>
      </c>
      <c r="P14" s="4"/>
    </row>
    <row r="15" spans="1:16" x14ac:dyDescent="0.4">
      <c r="A15" s="49">
        <v>42033</v>
      </c>
      <c r="B15" s="48">
        <v>9960</v>
      </c>
      <c r="C15" s="48">
        <v>9960</v>
      </c>
      <c r="D15" s="48">
        <v>9960</v>
      </c>
      <c r="E15" s="48">
        <v>9960</v>
      </c>
      <c r="F15" s="50">
        <v>0.3</v>
      </c>
      <c r="G15" s="13">
        <f t="shared" si="0"/>
        <v>0</v>
      </c>
      <c r="H15" s="47">
        <v>0</v>
      </c>
      <c r="I15" s="48">
        <v>0</v>
      </c>
      <c r="J15" s="14">
        <f t="shared" si="1"/>
        <v>0</v>
      </c>
      <c r="K15" s="47">
        <v>0</v>
      </c>
      <c r="L15" s="47">
        <v>0</v>
      </c>
      <c r="M15" s="14">
        <f t="shared" si="2"/>
        <v>0</v>
      </c>
      <c r="N15" s="14">
        <f t="shared" si="2"/>
        <v>0</v>
      </c>
      <c r="O15" s="4">
        <f t="shared" si="2"/>
        <v>0</v>
      </c>
      <c r="P15" s="4"/>
    </row>
    <row r="16" spans="1:16" x14ac:dyDescent="0.4">
      <c r="A16" s="49">
        <v>42034</v>
      </c>
      <c r="B16" s="48">
        <v>9960</v>
      </c>
      <c r="C16" s="48">
        <v>9960</v>
      </c>
      <c r="D16" s="48">
        <v>9960</v>
      </c>
      <c r="E16" s="48">
        <v>9960</v>
      </c>
      <c r="F16" s="46">
        <v>0</v>
      </c>
      <c r="G16" s="13">
        <f t="shared" si="0"/>
        <v>0</v>
      </c>
      <c r="H16" s="51">
        <v>0</v>
      </c>
      <c r="I16" s="48">
        <v>0</v>
      </c>
      <c r="J16" s="14">
        <f t="shared" si="1"/>
        <v>0</v>
      </c>
      <c r="K16" s="47">
        <v>0</v>
      </c>
      <c r="L16" s="51">
        <v>0</v>
      </c>
      <c r="M16" s="14">
        <f t="shared" si="2"/>
        <v>0</v>
      </c>
      <c r="N16" s="14">
        <f t="shared" si="2"/>
        <v>0</v>
      </c>
      <c r="O16" s="4">
        <f t="shared" si="2"/>
        <v>0</v>
      </c>
      <c r="P16" s="4"/>
    </row>
    <row r="17" spans="1:16" x14ac:dyDescent="0.4">
      <c r="A17" s="49">
        <v>42037</v>
      </c>
      <c r="B17" s="48">
        <v>9960</v>
      </c>
      <c r="C17" s="48">
        <v>9960</v>
      </c>
      <c r="D17" s="48">
        <v>9960</v>
      </c>
      <c r="E17" s="48">
        <v>9960</v>
      </c>
      <c r="F17" s="50">
        <v>0</v>
      </c>
      <c r="G17" s="13">
        <f t="shared" si="0"/>
        <v>0</v>
      </c>
      <c r="H17" s="47">
        <v>0</v>
      </c>
      <c r="I17" s="48">
        <v>0</v>
      </c>
      <c r="J17" s="14">
        <f t="shared" si="1"/>
        <v>0</v>
      </c>
      <c r="K17" s="47">
        <v>0</v>
      </c>
      <c r="L17" s="47">
        <v>0</v>
      </c>
      <c r="M17" s="14">
        <f t="shared" si="2"/>
        <v>0</v>
      </c>
      <c r="N17" s="14">
        <f t="shared" si="2"/>
        <v>0</v>
      </c>
      <c r="O17" s="4">
        <f t="shared" si="2"/>
        <v>0</v>
      </c>
      <c r="P17" s="4"/>
    </row>
    <row r="18" spans="1:16" x14ac:dyDescent="0.4">
      <c r="A18" s="49">
        <v>42038</v>
      </c>
      <c r="B18" s="48">
        <v>9960</v>
      </c>
      <c r="C18" s="48">
        <v>9960</v>
      </c>
      <c r="D18" s="48">
        <v>9960</v>
      </c>
      <c r="E18" s="48">
        <v>9960</v>
      </c>
      <c r="F18" s="50">
        <v>0</v>
      </c>
      <c r="G18" s="13">
        <f t="shared" si="0"/>
        <v>0</v>
      </c>
      <c r="H18" s="47">
        <v>0</v>
      </c>
      <c r="I18" s="48">
        <v>0</v>
      </c>
      <c r="J18" s="14">
        <f t="shared" si="1"/>
        <v>0</v>
      </c>
      <c r="K18" s="47">
        <v>0</v>
      </c>
      <c r="L18" s="47">
        <v>0</v>
      </c>
      <c r="M18" s="14">
        <f t="shared" si="2"/>
        <v>0</v>
      </c>
      <c r="N18" s="14">
        <f t="shared" si="2"/>
        <v>0</v>
      </c>
      <c r="O18" s="4">
        <f t="shared" si="2"/>
        <v>0</v>
      </c>
      <c r="P18" s="4"/>
    </row>
    <row r="19" spans="1:16" x14ac:dyDescent="0.4">
      <c r="A19" s="49">
        <v>42039</v>
      </c>
      <c r="B19" s="48">
        <v>9960</v>
      </c>
      <c r="C19" s="48">
        <v>9960</v>
      </c>
      <c r="D19" s="48">
        <v>9960</v>
      </c>
      <c r="E19" s="48">
        <v>9960</v>
      </c>
      <c r="F19" s="50">
        <v>0</v>
      </c>
      <c r="G19" s="13">
        <f t="shared" si="0"/>
        <v>0</v>
      </c>
      <c r="H19" s="47">
        <v>0</v>
      </c>
      <c r="I19" s="48">
        <v>0</v>
      </c>
      <c r="J19" s="14">
        <f t="shared" si="1"/>
        <v>0</v>
      </c>
      <c r="K19" s="47">
        <v>0</v>
      </c>
      <c r="L19" s="47">
        <v>0</v>
      </c>
      <c r="M19" s="14">
        <f t="shared" si="2"/>
        <v>0</v>
      </c>
      <c r="N19" s="14">
        <f t="shared" si="2"/>
        <v>0</v>
      </c>
      <c r="O19" s="4">
        <f t="shared" si="2"/>
        <v>0</v>
      </c>
      <c r="P19" s="4"/>
    </row>
    <row r="20" spans="1:16" x14ac:dyDescent="0.4">
      <c r="A20" s="49">
        <v>42040</v>
      </c>
      <c r="B20" s="48">
        <v>9960</v>
      </c>
      <c r="C20" s="48">
        <v>9960</v>
      </c>
      <c r="D20" s="48">
        <v>9960</v>
      </c>
      <c r="E20" s="48">
        <v>9960</v>
      </c>
      <c r="F20" s="50">
        <v>0</v>
      </c>
      <c r="G20" s="13">
        <f t="shared" si="0"/>
        <v>0</v>
      </c>
      <c r="H20" s="47">
        <v>0</v>
      </c>
      <c r="I20" s="48">
        <v>0</v>
      </c>
      <c r="J20" s="14">
        <f t="shared" si="1"/>
        <v>0</v>
      </c>
      <c r="K20" s="47">
        <v>0</v>
      </c>
      <c r="L20" s="47">
        <v>0</v>
      </c>
      <c r="M20" s="14">
        <f t="shared" si="2"/>
        <v>0</v>
      </c>
      <c r="N20" s="14">
        <f t="shared" si="2"/>
        <v>0</v>
      </c>
      <c r="O20" s="4">
        <f t="shared" si="2"/>
        <v>0</v>
      </c>
      <c r="P20" s="4"/>
    </row>
    <row r="21" spans="1:16" x14ac:dyDescent="0.4">
      <c r="A21" s="49">
        <v>42041</v>
      </c>
      <c r="B21" s="48">
        <v>9970</v>
      </c>
      <c r="C21" s="48">
        <v>9970</v>
      </c>
      <c r="D21" s="48">
        <v>9970</v>
      </c>
      <c r="E21" s="48">
        <v>9970</v>
      </c>
      <c r="F21" s="50">
        <v>0.1</v>
      </c>
      <c r="G21" s="13">
        <f t="shared" si="0"/>
        <v>0</v>
      </c>
      <c r="H21" s="47">
        <v>0</v>
      </c>
      <c r="I21" s="48">
        <v>0</v>
      </c>
      <c r="J21" s="14">
        <f>L21-K21</f>
        <v>0</v>
      </c>
      <c r="K21" s="47">
        <v>0</v>
      </c>
      <c r="L21" s="47">
        <v>0</v>
      </c>
      <c r="M21" s="14">
        <f t="shared" si="2"/>
        <v>0</v>
      </c>
      <c r="N21" s="14">
        <f t="shared" si="2"/>
        <v>0</v>
      </c>
      <c r="O21" s="4">
        <f t="shared" si="2"/>
        <v>0</v>
      </c>
      <c r="P21" s="4"/>
    </row>
    <row r="22" spans="1:16" x14ac:dyDescent="0.4">
      <c r="A22" s="49">
        <v>42044</v>
      </c>
      <c r="B22" s="48">
        <v>9970</v>
      </c>
      <c r="C22" s="48">
        <v>9970</v>
      </c>
      <c r="D22" s="48">
        <v>9970</v>
      </c>
      <c r="E22" s="48">
        <v>9970</v>
      </c>
      <c r="F22" s="50">
        <v>0</v>
      </c>
      <c r="G22" s="13">
        <f t="shared" si="0"/>
        <v>0</v>
      </c>
      <c r="H22" s="47">
        <v>0</v>
      </c>
      <c r="I22" s="48">
        <v>0</v>
      </c>
      <c r="J22" s="14">
        <f t="shared" si="1"/>
        <v>0</v>
      </c>
      <c r="K22" s="47">
        <v>0</v>
      </c>
      <c r="L22" s="47">
        <v>0</v>
      </c>
      <c r="M22" s="14">
        <f t="shared" si="2"/>
        <v>0</v>
      </c>
      <c r="N22" s="14">
        <f t="shared" si="2"/>
        <v>0</v>
      </c>
      <c r="O22" s="4">
        <f t="shared" si="2"/>
        <v>0</v>
      </c>
      <c r="P22" s="4"/>
    </row>
    <row r="23" spans="1:16" x14ac:dyDescent="0.4">
      <c r="A23" s="49">
        <v>42045</v>
      </c>
      <c r="B23" s="48">
        <v>10000</v>
      </c>
      <c r="C23" s="48">
        <v>10000</v>
      </c>
      <c r="D23" s="48">
        <v>10000</v>
      </c>
      <c r="E23" s="48">
        <v>10000</v>
      </c>
      <c r="F23" s="50">
        <v>0.3</v>
      </c>
      <c r="G23" s="13">
        <f t="shared" si="0"/>
        <v>0</v>
      </c>
      <c r="H23" s="47">
        <v>0</v>
      </c>
      <c r="I23" s="48">
        <v>0</v>
      </c>
      <c r="J23" s="14">
        <f t="shared" si="1"/>
        <v>0</v>
      </c>
      <c r="K23" s="47">
        <v>0</v>
      </c>
      <c r="L23" s="47">
        <v>0</v>
      </c>
      <c r="M23" s="14">
        <f t="shared" si="2"/>
        <v>0</v>
      </c>
      <c r="N23" s="14">
        <f t="shared" si="2"/>
        <v>0</v>
      </c>
      <c r="O23" s="4">
        <f t="shared" si="2"/>
        <v>0</v>
      </c>
      <c r="P23" s="4"/>
    </row>
    <row r="24" spans="1:16" x14ac:dyDescent="0.4">
      <c r="A24" s="49">
        <v>42046</v>
      </c>
      <c r="B24" s="48">
        <v>10000</v>
      </c>
      <c r="C24" s="48">
        <v>10000</v>
      </c>
      <c r="D24" s="48">
        <v>10000</v>
      </c>
      <c r="E24" s="48">
        <v>10000</v>
      </c>
      <c r="F24" s="50">
        <v>0</v>
      </c>
      <c r="G24" s="13">
        <f t="shared" si="0"/>
        <v>0</v>
      </c>
      <c r="H24" s="47">
        <v>0</v>
      </c>
      <c r="I24" s="48">
        <v>0</v>
      </c>
      <c r="J24" s="14">
        <f t="shared" si="1"/>
        <v>0</v>
      </c>
      <c r="K24" s="47">
        <v>0</v>
      </c>
      <c r="L24" s="47">
        <v>0</v>
      </c>
      <c r="M24" s="14">
        <f t="shared" si="2"/>
        <v>0</v>
      </c>
      <c r="N24" s="14">
        <f t="shared" si="2"/>
        <v>0</v>
      </c>
      <c r="O24" s="4">
        <f t="shared" si="2"/>
        <v>0</v>
      </c>
      <c r="P24" s="4"/>
    </row>
    <row r="25" spans="1:16" x14ac:dyDescent="0.4">
      <c r="A25" s="49">
        <v>42047</v>
      </c>
      <c r="B25" s="48">
        <v>10000</v>
      </c>
      <c r="C25" s="48">
        <v>10000</v>
      </c>
      <c r="D25" s="48">
        <v>10000</v>
      </c>
      <c r="E25" s="48">
        <v>10000</v>
      </c>
      <c r="F25" s="50">
        <v>0</v>
      </c>
      <c r="G25" s="13">
        <f t="shared" si="0"/>
        <v>0</v>
      </c>
      <c r="H25" s="47">
        <v>0</v>
      </c>
      <c r="I25" s="48">
        <v>0</v>
      </c>
      <c r="J25" s="14">
        <f t="shared" si="1"/>
        <v>0</v>
      </c>
      <c r="K25" s="47">
        <v>0</v>
      </c>
      <c r="L25" s="47">
        <v>0</v>
      </c>
      <c r="M25" s="14">
        <f t="shared" si="2"/>
        <v>0</v>
      </c>
      <c r="N25" s="14">
        <f t="shared" si="2"/>
        <v>0</v>
      </c>
      <c r="O25" s="4">
        <f t="shared" si="2"/>
        <v>0</v>
      </c>
      <c r="P25" s="4"/>
    </row>
    <row r="26" spans="1:16" x14ac:dyDescent="0.4">
      <c r="A26" s="49">
        <v>42048</v>
      </c>
      <c r="B26" s="48">
        <v>10000</v>
      </c>
      <c r="C26" s="48">
        <v>10000</v>
      </c>
      <c r="D26" s="48">
        <v>10000</v>
      </c>
      <c r="E26" s="48">
        <v>10000</v>
      </c>
      <c r="F26" s="50">
        <v>0</v>
      </c>
      <c r="G26" s="13">
        <f t="shared" si="0"/>
        <v>0</v>
      </c>
      <c r="H26" s="47">
        <v>0</v>
      </c>
      <c r="I26" s="48">
        <v>0</v>
      </c>
      <c r="J26" s="14">
        <f t="shared" si="1"/>
        <v>0</v>
      </c>
      <c r="K26" s="47">
        <v>0</v>
      </c>
      <c r="L26" s="47">
        <v>0</v>
      </c>
      <c r="M26" s="14">
        <f t="shared" si="2"/>
        <v>0</v>
      </c>
      <c r="N26" s="14">
        <f t="shared" si="2"/>
        <v>0</v>
      </c>
      <c r="O26" s="4">
        <f t="shared" si="2"/>
        <v>0</v>
      </c>
      <c r="P26" s="4"/>
    </row>
    <row r="27" spans="1:16" x14ac:dyDescent="0.4">
      <c r="A27" s="49">
        <v>42051</v>
      </c>
      <c r="B27" s="48">
        <v>10000</v>
      </c>
      <c r="C27" s="48">
        <v>10000</v>
      </c>
      <c r="D27" s="48">
        <v>10000</v>
      </c>
      <c r="E27" s="48">
        <v>10000</v>
      </c>
      <c r="F27" s="50">
        <v>0</v>
      </c>
      <c r="G27" s="13">
        <f t="shared" si="0"/>
        <v>0</v>
      </c>
      <c r="H27" s="47">
        <v>0</v>
      </c>
      <c r="I27" s="48">
        <v>0</v>
      </c>
      <c r="J27" s="14">
        <f t="shared" si="1"/>
        <v>0</v>
      </c>
      <c r="K27" s="47">
        <v>0</v>
      </c>
      <c r="L27" s="47">
        <v>0</v>
      </c>
      <c r="M27" s="14">
        <f t="shared" si="2"/>
        <v>0</v>
      </c>
      <c r="N27" s="14">
        <f t="shared" si="2"/>
        <v>0</v>
      </c>
      <c r="O27" s="4">
        <f t="shared" si="2"/>
        <v>0</v>
      </c>
      <c r="P27" s="4"/>
    </row>
    <row r="28" spans="1:16" x14ac:dyDescent="0.4">
      <c r="A28" s="49">
        <v>42052</v>
      </c>
      <c r="B28" s="48">
        <v>10000</v>
      </c>
      <c r="C28" s="48">
        <v>10000</v>
      </c>
      <c r="D28" s="48">
        <v>10000</v>
      </c>
      <c r="E28" s="48">
        <v>10000</v>
      </c>
      <c r="F28" s="50">
        <v>0</v>
      </c>
      <c r="G28" s="13">
        <f t="shared" si="0"/>
        <v>0</v>
      </c>
      <c r="H28" s="47">
        <v>0</v>
      </c>
      <c r="I28" s="48">
        <v>0</v>
      </c>
      <c r="J28" s="14">
        <f t="shared" si="1"/>
        <v>0</v>
      </c>
      <c r="K28" s="47">
        <v>0</v>
      </c>
      <c r="L28" s="47">
        <v>0</v>
      </c>
      <c r="M28" s="14">
        <f t="shared" si="2"/>
        <v>0</v>
      </c>
      <c r="N28" s="14">
        <f t="shared" si="2"/>
        <v>0</v>
      </c>
      <c r="O28" s="4">
        <f t="shared" si="2"/>
        <v>0</v>
      </c>
      <c r="P28" s="4"/>
    </row>
    <row r="29" spans="1:16" x14ac:dyDescent="0.4">
      <c r="A29" s="49">
        <v>42058</v>
      </c>
      <c r="B29" s="48">
        <v>10100</v>
      </c>
      <c r="C29" s="48">
        <v>10100</v>
      </c>
      <c r="D29" s="48">
        <v>10100</v>
      </c>
      <c r="E29" s="48">
        <v>10100</v>
      </c>
      <c r="F29" s="50">
        <v>1</v>
      </c>
      <c r="G29" s="13">
        <f t="shared" si="0"/>
        <v>0</v>
      </c>
      <c r="H29" s="47">
        <v>0</v>
      </c>
      <c r="I29" s="48">
        <v>0</v>
      </c>
      <c r="J29" s="14">
        <f t="shared" si="1"/>
        <v>0</v>
      </c>
      <c r="K29" s="47">
        <v>0</v>
      </c>
      <c r="L29" s="47">
        <v>0</v>
      </c>
      <c r="M29" s="14">
        <f t="shared" si="2"/>
        <v>0</v>
      </c>
      <c r="N29" s="14">
        <f t="shared" si="2"/>
        <v>0</v>
      </c>
      <c r="O29" s="4">
        <f t="shared" si="2"/>
        <v>0</v>
      </c>
      <c r="P29" s="4"/>
    </row>
    <row r="30" spans="1:16" x14ac:dyDescent="0.4">
      <c r="A30" s="49">
        <v>42059</v>
      </c>
      <c r="B30" s="48">
        <v>10100</v>
      </c>
      <c r="C30" s="48">
        <v>10100</v>
      </c>
      <c r="D30" s="48">
        <v>10100</v>
      </c>
      <c r="E30" s="48">
        <v>10100</v>
      </c>
      <c r="F30" s="50">
        <v>0</v>
      </c>
      <c r="G30" s="13">
        <f t="shared" si="0"/>
        <v>0</v>
      </c>
      <c r="H30" s="47">
        <v>0</v>
      </c>
      <c r="I30" s="48">
        <v>0</v>
      </c>
      <c r="J30" s="14">
        <f t="shared" si="1"/>
        <v>0</v>
      </c>
      <c r="K30" s="47">
        <v>0</v>
      </c>
      <c r="L30" s="47">
        <v>0</v>
      </c>
      <c r="M30" s="14">
        <f t="shared" si="2"/>
        <v>0</v>
      </c>
      <c r="N30" s="14">
        <f t="shared" si="2"/>
        <v>0</v>
      </c>
      <c r="O30" s="4">
        <f t="shared" si="2"/>
        <v>0</v>
      </c>
      <c r="P30" s="4"/>
    </row>
    <row r="31" spans="1:16" x14ac:dyDescent="0.4">
      <c r="A31" s="49">
        <v>42060</v>
      </c>
      <c r="B31" s="48">
        <v>10100</v>
      </c>
      <c r="C31" s="48">
        <v>10100</v>
      </c>
      <c r="D31" s="48">
        <v>10100</v>
      </c>
      <c r="E31" s="48">
        <v>10100</v>
      </c>
      <c r="F31" s="50">
        <v>0</v>
      </c>
      <c r="G31" s="13">
        <f t="shared" si="0"/>
        <v>0</v>
      </c>
      <c r="H31" s="47">
        <v>0</v>
      </c>
      <c r="I31" s="48">
        <v>0</v>
      </c>
      <c r="J31" s="14">
        <f t="shared" si="1"/>
        <v>0</v>
      </c>
      <c r="K31" s="47">
        <v>0</v>
      </c>
      <c r="L31" s="47">
        <v>0</v>
      </c>
      <c r="M31" s="14">
        <f t="shared" si="2"/>
        <v>0</v>
      </c>
      <c r="N31" s="14">
        <f t="shared" si="2"/>
        <v>0</v>
      </c>
      <c r="O31" s="4">
        <f t="shared" si="2"/>
        <v>0</v>
      </c>
      <c r="P31" s="4"/>
    </row>
    <row r="32" spans="1:16" x14ac:dyDescent="0.4">
      <c r="A32" s="49">
        <v>42061</v>
      </c>
      <c r="B32" s="48">
        <v>10100</v>
      </c>
      <c r="C32" s="48">
        <v>10100</v>
      </c>
      <c r="D32" s="48">
        <v>10100</v>
      </c>
      <c r="E32" s="48">
        <v>10100</v>
      </c>
      <c r="F32" s="50">
        <v>0</v>
      </c>
      <c r="G32" s="13">
        <f t="shared" si="0"/>
        <v>0</v>
      </c>
      <c r="H32" s="47">
        <v>0</v>
      </c>
      <c r="I32" s="48">
        <v>0</v>
      </c>
      <c r="J32" s="14">
        <f t="shared" si="1"/>
        <v>0</v>
      </c>
      <c r="K32" s="47">
        <v>0</v>
      </c>
      <c r="L32" s="47">
        <v>0</v>
      </c>
      <c r="M32" s="14">
        <f t="shared" si="2"/>
        <v>0</v>
      </c>
      <c r="N32" s="14">
        <f t="shared" si="2"/>
        <v>0</v>
      </c>
      <c r="O32" s="4">
        <f t="shared" si="2"/>
        <v>0</v>
      </c>
      <c r="P32" s="4"/>
    </row>
    <row r="33" spans="1:16" x14ac:dyDescent="0.4">
      <c r="A33" s="49">
        <v>42062</v>
      </c>
      <c r="B33" s="48">
        <v>10100</v>
      </c>
      <c r="C33" s="48">
        <v>10100</v>
      </c>
      <c r="D33" s="48">
        <v>10100</v>
      </c>
      <c r="E33" s="48">
        <v>10100</v>
      </c>
      <c r="F33" s="50">
        <v>0</v>
      </c>
      <c r="G33" s="13">
        <f t="shared" si="0"/>
        <v>0</v>
      </c>
      <c r="H33" s="47">
        <v>0</v>
      </c>
      <c r="I33" s="48">
        <v>0</v>
      </c>
      <c r="J33" s="14">
        <f t="shared" si="1"/>
        <v>0</v>
      </c>
      <c r="K33" s="47">
        <v>0</v>
      </c>
      <c r="L33" s="47">
        <v>0</v>
      </c>
      <c r="M33" s="14">
        <f t="shared" si="2"/>
        <v>0</v>
      </c>
      <c r="N33" s="14">
        <f t="shared" si="2"/>
        <v>0</v>
      </c>
      <c r="O33" s="4">
        <f t="shared" si="2"/>
        <v>0</v>
      </c>
      <c r="P33" s="4"/>
    </row>
    <row r="34" spans="1:16" x14ac:dyDescent="0.4">
      <c r="A34" s="49">
        <v>42065</v>
      </c>
      <c r="B34" s="48">
        <v>10100</v>
      </c>
      <c r="C34" s="48">
        <v>10100</v>
      </c>
      <c r="D34" s="48">
        <v>10100</v>
      </c>
      <c r="E34" s="48">
        <v>10100</v>
      </c>
      <c r="F34" s="50">
        <v>0</v>
      </c>
      <c r="G34" s="13">
        <f t="shared" si="0"/>
        <v>0</v>
      </c>
      <c r="H34" s="47">
        <v>0</v>
      </c>
      <c r="I34" s="48">
        <v>0</v>
      </c>
      <c r="J34" s="14">
        <f t="shared" si="1"/>
        <v>0</v>
      </c>
      <c r="K34" s="47">
        <v>0</v>
      </c>
      <c r="L34" s="47">
        <v>0</v>
      </c>
      <c r="M34" s="14">
        <f t="shared" si="2"/>
        <v>0</v>
      </c>
      <c r="N34" s="14">
        <f t="shared" si="2"/>
        <v>0</v>
      </c>
      <c r="O34" s="4">
        <f t="shared" si="2"/>
        <v>0</v>
      </c>
      <c r="P34" s="4"/>
    </row>
    <row r="35" spans="1:16" x14ac:dyDescent="0.4">
      <c r="A35" s="49">
        <v>42066</v>
      </c>
      <c r="B35" s="48">
        <v>10100</v>
      </c>
      <c r="C35" s="48">
        <v>10100</v>
      </c>
      <c r="D35" s="48">
        <v>10100</v>
      </c>
      <c r="E35" s="48">
        <v>10100</v>
      </c>
      <c r="F35" s="50">
        <v>0</v>
      </c>
      <c r="G35" s="13">
        <f t="shared" si="0"/>
        <v>0</v>
      </c>
      <c r="H35" s="47">
        <v>0</v>
      </c>
      <c r="I35" s="48">
        <v>0</v>
      </c>
      <c r="J35" s="14">
        <f t="shared" si="1"/>
        <v>0</v>
      </c>
      <c r="K35" s="47">
        <v>0</v>
      </c>
      <c r="L35" s="47">
        <v>0</v>
      </c>
      <c r="M35" s="14">
        <f t="shared" si="2"/>
        <v>0</v>
      </c>
      <c r="N35" s="14">
        <f t="shared" si="2"/>
        <v>0</v>
      </c>
      <c r="O35" s="4">
        <f t="shared" si="2"/>
        <v>0</v>
      </c>
      <c r="P35" s="4"/>
    </row>
    <row r="36" spans="1:16" x14ac:dyDescent="0.4">
      <c r="A36" s="49">
        <v>42067</v>
      </c>
      <c r="B36" s="48">
        <v>10100</v>
      </c>
      <c r="C36" s="48">
        <v>10100</v>
      </c>
      <c r="D36" s="48">
        <v>10100</v>
      </c>
      <c r="E36" s="48">
        <v>10100</v>
      </c>
      <c r="F36" s="50">
        <v>0</v>
      </c>
      <c r="G36" s="13">
        <f t="shared" si="0"/>
        <v>0</v>
      </c>
      <c r="H36" s="47">
        <v>0</v>
      </c>
      <c r="I36" s="48">
        <v>0</v>
      </c>
      <c r="J36" s="14">
        <f t="shared" si="1"/>
        <v>0</v>
      </c>
      <c r="K36" s="47">
        <v>0</v>
      </c>
      <c r="L36" s="47">
        <v>0</v>
      </c>
      <c r="M36" s="14">
        <f t="shared" si="2"/>
        <v>0</v>
      </c>
      <c r="N36" s="14">
        <f t="shared" si="2"/>
        <v>0</v>
      </c>
      <c r="O36" s="4">
        <f t="shared" si="2"/>
        <v>0</v>
      </c>
      <c r="P36" s="4"/>
    </row>
    <row r="37" spans="1:16" x14ac:dyDescent="0.4">
      <c r="A37" s="49">
        <v>42068</v>
      </c>
      <c r="B37" s="48">
        <v>10100</v>
      </c>
      <c r="C37" s="48">
        <v>10100</v>
      </c>
      <c r="D37" s="48">
        <v>10100</v>
      </c>
      <c r="E37" s="48">
        <v>10100</v>
      </c>
      <c r="F37" s="50">
        <v>0</v>
      </c>
      <c r="G37" s="13">
        <f t="shared" si="0"/>
        <v>0</v>
      </c>
      <c r="H37" s="47">
        <v>0</v>
      </c>
      <c r="I37" s="48">
        <v>0</v>
      </c>
      <c r="J37" s="14">
        <f t="shared" si="1"/>
        <v>0</v>
      </c>
      <c r="K37" s="47">
        <v>0</v>
      </c>
      <c r="L37" s="47">
        <v>0</v>
      </c>
      <c r="M37" s="14">
        <f t="shared" si="2"/>
        <v>0</v>
      </c>
      <c r="N37" s="14">
        <f t="shared" si="2"/>
        <v>0</v>
      </c>
      <c r="O37" s="4">
        <f t="shared" si="2"/>
        <v>0</v>
      </c>
      <c r="P37" s="4"/>
    </row>
    <row r="38" spans="1:16" x14ac:dyDescent="0.4">
      <c r="A38" s="49">
        <v>42069</v>
      </c>
      <c r="B38" s="48">
        <v>10100</v>
      </c>
      <c r="C38" s="48">
        <v>10100</v>
      </c>
      <c r="D38" s="48">
        <v>10100</v>
      </c>
      <c r="E38" s="48">
        <v>10100</v>
      </c>
      <c r="F38" s="50">
        <v>0</v>
      </c>
      <c r="G38" s="13">
        <f t="shared" si="0"/>
        <v>0</v>
      </c>
      <c r="H38" s="47">
        <v>0</v>
      </c>
      <c r="I38" s="48">
        <v>0</v>
      </c>
      <c r="J38" s="14">
        <f>L38-K38</f>
        <v>0</v>
      </c>
      <c r="K38" s="47">
        <v>0</v>
      </c>
      <c r="L38" s="47">
        <v>0</v>
      </c>
      <c r="M38" s="14">
        <f t="shared" ref="M38:O101" si="3">IFERROR(J38/G38,0)</f>
        <v>0</v>
      </c>
      <c r="N38" s="14">
        <f t="shared" si="3"/>
        <v>0</v>
      </c>
      <c r="O38" s="4">
        <f t="shared" si="3"/>
        <v>0</v>
      </c>
      <c r="P38" s="4"/>
    </row>
    <row r="39" spans="1:16" x14ac:dyDescent="0.4">
      <c r="A39" s="49">
        <v>42072</v>
      </c>
      <c r="B39" s="48">
        <v>10100</v>
      </c>
      <c r="C39" s="48">
        <v>10100</v>
      </c>
      <c r="D39" s="48">
        <v>10100</v>
      </c>
      <c r="E39" s="48">
        <v>10100</v>
      </c>
      <c r="F39" s="50">
        <v>0</v>
      </c>
      <c r="G39" s="13">
        <f t="shared" si="0"/>
        <v>0</v>
      </c>
      <c r="H39" s="47">
        <v>0</v>
      </c>
      <c r="I39" s="48">
        <v>0</v>
      </c>
      <c r="J39" s="14">
        <f t="shared" si="1"/>
        <v>0</v>
      </c>
      <c r="K39" s="47">
        <v>0</v>
      </c>
      <c r="L39" s="47">
        <v>0</v>
      </c>
      <c r="M39" s="14">
        <f t="shared" si="3"/>
        <v>0</v>
      </c>
      <c r="N39" s="14">
        <f t="shared" si="3"/>
        <v>0</v>
      </c>
      <c r="O39" s="4">
        <f t="shared" si="3"/>
        <v>0</v>
      </c>
      <c r="P39" s="4"/>
    </row>
    <row r="40" spans="1:16" x14ac:dyDescent="0.4">
      <c r="A40" s="49">
        <v>42073</v>
      </c>
      <c r="B40" s="48">
        <v>10100</v>
      </c>
      <c r="C40" s="48">
        <v>10100</v>
      </c>
      <c r="D40" s="48">
        <v>10100</v>
      </c>
      <c r="E40" s="48">
        <v>10100</v>
      </c>
      <c r="F40" s="50">
        <v>0</v>
      </c>
      <c r="G40" s="13">
        <f t="shared" si="0"/>
        <v>0</v>
      </c>
      <c r="H40" s="47">
        <v>0</v>
      </c>
      <c r="I40" s="48">
        <v>0</v>
      </c>
      <c r="J40" s="14">
        <f t="shared" si="1"/>
        <v>0</v>
      </c>
      <c r="K40" s="47">
        <v>0</v>
      </c>
      <c r="L40" s="47">
        <v>0</v>
      </c>
      <c r="M40" s="14">
        <f t="shared" si="3"/>
        <v>0</v>
      </c>
      <c r="N40" s="14">
        <f t="shared" si="3"/>
        <v>0</v>
      </c>
      <c r="O40" s="4">
        <f t="shared" si="3"/>
        <v>0</v>
      </c>
      <c r="P40" s="4"/>
    </row>
    <row r="41" spans="1:16" x14ac:dyDescent="0.4">
      <c r="A41" s="49">
        <v>42074</v>
      </c>
      <c r="B41" s="48">
        <v>10100</v>
      </c>
      <c r="C41" s="48">
        <v>10100</v>
      </c>
      <c r="D41" s="48">
        <v>10100</v>
      </c>
      <c r="E41" s="48">
        <v>10100</v>
      </c>
      <c r="F41" s="50">
        <v>0</v>
      </c>
      <c r="G41" s="13">
        <f t="shared" si="0"/>
        <v>0</v>
      </c>
      <c r="H41" s="47">
        <v>0</v>
      </c>
      <c r="I41" s="48">
        <v>0</v>
      </c>
      <c r="J41" s="14">
        <f t="shared" si="1"/>
        <v>0</v>
      </c>
      <c r="K41" s="47">
        <v>0</v>
      </c>
      <c r="L41" s="47">
        <v>0</v>
      </c>
      <c r="M41" s="14">
        <f t="shared" si="3"/>
        <v>0</v>
      </c>
      <c r="N41" s="14">
        <f t="shared" si="3"/>
        <v>0</v>
      </c>
      <c r="O41" s="4">
        <f t="shared" si="3"/>
        <v>0</v>
      </c>
      <c r="P41" s="4"/>
    </row>
    <row r="42" spans="1:16" x14ac:dyDescent="0.4">
      <c r="A42" s="49">
        <v>42075</v>
      </c>
      <c r="B42" s="48">
        <v>10100</v>
      </c>
      <c r="C42" s="48">
        <v>10100</v>
      </c>
      <c r="D42" s="48">
        <v>10100</v>
      </c>
      <c r="E42" s="48">
        <v>10100</v>
      </c>
      <c r="F42" s="50">
        <v>0</v>
      </c>
      <c r="G42" s="13">
        <f t="shared" si="0"/>
        <v>0</v>
      </c>
      <c r="H42" s="47">
        <v>0</v>
      </c>
      <c r="I42" s="48">
        <v>0</v>
      </c>
      <c r="J42" s="14">
        <f t="shared" si="1"/>
        <v>0</v>
      </c>
      <c r="K42" s="47">
        <v>0</v>
      </c>
      <c r="L42" s="47">
        <v>0</v>
      </c>
      <c r="M42" s="14">
        <f t="shared" si="3"/>
        <v>0</v>
      </c>
      <c r="N42" s="14">
        <f t="shared" si="3"/>
        <v>0</v>
      </c>
      <c r="O42" s="4">
        <f t="shared" si="3"/>
        <v>0</v>
      </c>
      <c r="P42" s="4"/>
    </row>
    <row r="43" spans="1:16" x14ac:dyDescent="0.4">
      <c r="A43" s="49">
        <v>42076</v>
      </c>
      <c r="B43" s="48">
        <v>10100</v>
      </c>
      <c r="C43" s="48">
        <v>10100</v>
      </c>
      <c r="D43" s="48">
        <v>10100</v>
      </c>
      <c r="E43" s="48">
        <v>10100</v>
      </c>
      <c r="F43" s="50">
        <v>0</v>
      </c>
      <c r="G43" s="13">
        <f t="shared" si="0"/>
        <v>0</v>
      </c>
      <c r="H43" s="47">
        <v>0</v>
      </c>
      <c r="I43" s="48">
        <v>0</v>
      </c>
      <c r="J43" s="14">
        <f t="shared" si="1"/>
        <v>0</v>
      </c>
      <c r="K43" s="47">
        <v>0</v>
      </c>
      <c r="L43" s="47">
        <v>0</v>
      </c>
      <c r="M43" s="14">
        <f t="shared" si="3"/>
        <v>0</v>
      </c>
      <c r="N43" s="14">
        <f t="shared" si="3"/>
        <v>0</v>
      </c>
      <c r="O43" s="4">
        <f t="shared" si="3"/>
        <v>0</v>
      </c>
      <c r="P43" s="4"/>
    </row>
    <row r="44" spans="1:16" x14ac:dyDescent="0.4">
      <c r="A44" s="49">
        <v>42079</v>
      </c>
      <c r="B44" s="48">
        <v>10100</v>
      </c>
      <c r="C44" s="48">
        <v>10100</v>
      </c>
      <c r="D44" s="48">
        <v>10100</v>
      </c>
      <c r="E44" s="48">
        <v>10100</v>
      </c>
      <c r="F44" s="50">
        <v>0</v>
      </c>
      <c r="G44" s="13">
        <f t="shared" si="0"/>
        <v>0</v>
      </c>
      <c r="H44" s="47">
        <v>0</v>
      </c>
      <c r="I44" s="48">
        <v>0</v>
      </c>
      <c r="J44" s="14">
        <f t="shared" si="1"/>
        <v>0</v>
      </c>
      <c r="K44" s="47">
        <v>0</v>
      </c>
      <c r="L44" s="47">
        <v>0</v>
      </c>
      <c r="M44" s="14">
        <f t="shared" si="3"/>
        <v>0</v>
      </c>
      <c r="N44" s="14">
        <f t="shared" si="3"/>
        <v>0</v>
      </c>
      <c r="O44" s="4">
        <f t="shared" si="3"/>
        <v>0</v>
      </c>
      <c r="P44" s="4"/>
    </row>
    <row r="45" spans="1:16" x14ac:dyDescent="0.4">
      <c r="A45" s="49">
        <v>42080</v>
      </c>
      <c r="B45" s="48">
        <v>10100</v>
      </c>
      <c r="C45" s="48">
        <v>10100</v>
      </c>
      <c r="D45" s="48">
        <v>10100</v>
      </c>
      <c r="E45" s="48">
        <v>10100</v>
      </c>
      <c r="F45" s="50">
        <v>0</v>
      </c>
      <c r="G45" s="13">
        <f t="shared" si="0"/>
        <v>0</v>
      </c>
      <c r="H45" s="47">
        <v>0</v>
      </c>
      <c r="I45" s="48">
        <v>0</v>
      </c>
      <c r="J45" s="14">
        <f t="shared" si="1"/>
        <v>0</v>
      </c>
      <c r="K45" s="47">
        <v>0</v>
      </c>
      <c r="L45" s="47">
        <v>0</v>
      </c>
      <c r="M45" s="14">
        <f t="shared" si="3"/>
        <v>0</v>
      </c>
      <c r="N45" s="14">
        <f t="shared" si="3"/>
        <v>0</v>
      </c>
      <c r="O45" s="4">
        <f t="shared" si="3"/>
        <v>0</v>
      </c>
      <c r="P45" s="4"/>
    </row>
    <row r="46" spans="1:16" x14ac:dyDescent="0.4">
      <c r="A46" s="49">
        <v>42081</v>
      </c>
      <c r="B46" s="48">
        <v>10100</v>
      </c>
      <c r="C46" s="48">
        <v>10100</v>
      </c>
      <c r="D46" s="48">
        <v>10100</v>
      </c>
      <c r="E46" s="48">
        <v>10100</v>
      </c>
      <c r="F46" s="50">
        <v>0</v>
      </c>
      <c r="G46" s="13">
        <f t="shared" si="0"/>
        <v>0</v>
      </c>
      <c r="H46" s="47">
        <v>0</v>
      </c>
      <c r="I46" s="48">
        <v>0</v>
      </c>
      <c r="J46" s="14">
        <f t="shared" si="1"/>
        <v>0</v>
      </c>
      <c r="K46" s="47">
        <v>0</v>
      </c>
      <c r="L46" s="47">
        <v>0</v>
      </c>
      <c r="M46" s="14">
        <f t="shared" si="3"/>
        <v>0</v>
      </c>
      <c r="N46" s="14">
        <f t="shared" si="3"/>
        <v>0</v>
      </c>
      <c r="O46" s="4">
        <f t="shared" si="3"/>
        <v>0</v>
      </c>
      <c r="P46" s="4"/>
    </row>
    <row r="47" spans="1:16" x14ac:dyDescent="0.4">
      <c r="A47" s="49">
        <v>42082</v>
      </c>
      <c r="B47" s="48">
        <v>10100</v>
      </c>
      <c r="C47" s="48">
        <v>10100</v>
      </c>
      <c r="D47" s="48">
        <v>10100</v>
      </c>
      <c r="E47" s="48">
        <v>10100</v>
      </c>
      <c r="F47" s="50">
        <v>0</v>
      </c>
      <c r="G47" s="13">
        <f t="shared" si="0"/>
        <v>0</v>
      </c>
      <c r="H47" s="47">
        <v>0</v>
      </c>
      <c r="I47" s="48">
        <v>0</v>
      </c>
      <c r="J47" s="14">
        <f t="shared" si="1"/>
        <v>0</v>
      </c>
      <c r="K47" s="47">
        <v>0</v>
      </c>
      <c r="L47" s="47">
        <v>0</v>
      </c>
      <c r="M47" s="14">
        <f t="shared" si="3"/>
        <v>0</v>
      </c>
      <c r="N47" s="14">
        <f t="shared" si="3"/>
        <v>0</v>
      </c>
      <c r="O47" s="4">
        <f t="shared" si="3"/>
        <v>0</v>
      </c>
      <c r="P47" s="4"/>
    </row>
    <row r="48" spans="1:16" x14ac:dyDescent="0.4">
      <c r="A48" s="49">
        <v>42083</v>
      </c>
      <c r="B48" s="48">
        <v>10100</v>
      </c>
      <c r="C48" s="48">
        <v>10100</v>
      </c>
      <c r="D48" s="48">
        <v>10100</v>
      </c>
      <c r="E48" s="48">
        <v>10100</v>
      </c>
      <c r="F48" s="50">
        <v>0</v>
      </c>
      <c r="G48" s="13">
        <f t="shared" si="0"/>
        <v>0</v>
      </c>
      <c r="H48" s="47">
        <v>0</v>
      </c>
      <c r="I48" s="48">
        <v>0</v>
      </c>
      <c r="J48" s="14">
        <f t="shared" si="1"/>
        <v>0</v>
      </c>
      <c r="K48" s="47">
        <v>0</v>
      </c>
      <c r="L48" s="47">
        <v>0</v>
      </c>
      <c r="M48" s="14">
        <f t="shared" si="3"/>
        <v>0</v>
      </c>
      <c r="N48" s="14">
        <f t="shared" si="3"/>
        <v>0</v>
      </c>
      <c r="O48" s="4">
        <f t="shared" si="3"/>
        <v>0</v>
      </c>
      <c r="P48" s="4"/>
    </row>
    <row r="49" spans="1:16" x14ac:dyDescent="0.4">
      <c r="A49" s="49">
        <v>42086</v>
      </c>
      <c r="B49" s="48">
        <v>10100</v>
      </c>
      <c r="C49" s="48">
        <v>10100</v>
      </c>
      <c r="D49" s="48">
        <v>10100</v>
      </c>
      <c r="E49" s="48">
        <v>10100</v>
      </c>
      <c r="F49" s="50">
        <v>0</v>
      </c>
      <c r="G49" s="13">
        <f t="shared" si="0"/>
        <v>0</v>
      </c>
      <c r="H49" s="47">
        <v>0</v>
      </c>
      <c r="I49" s="48">
        <v>0</v>
      </c>
      <c r="J49" s="14">
        <f t="shared" si="1"/>
        <v>0</v>
      </c>
      <c r="K49" s="47">
        <v>0</v>
      </c>
      <c r="L49" s="47">
        <v>0</v>
      </c>
      <c r="M49" s="14">
        <f t="shared" si="3"/>
        <v>0</v>
      </c>
      <c r="N49" s="14">
        <f t="shared" si="3"/>
        <v>0</v>
      </c>
      <c r="O49" s="4">
        <f t="shared" si="3"/>
        <v>0</v>
      </c>
      <c r="P49" s="4"/>
    </row>
    <row r="50" spans="1:16" x14ac:dyDescent="0.4">
      <c r="A50" s="49">
        <v>42087</v>
      </c>
      <c r="B50" s="48">
        <v>10100</v>
      </c>
      <c r="C50" s="48">
        <v>10100</v>
      </c>
      <c r="D50" s="48">
        <v>10100</v>
      </c>
      <c r="E50" s="48">
        <v>10100</v>
      </c>
      <c r="F50" s="50">
        <v>0</v>
      </c>
      <c r="G50" s="13">
        <f t="shared" si="0"/>
        <v>0</v>
      </c>
      <c r="H50" s="47">
        <v>0</v>
      </c>
      <c r="I50" s="48">
        <v>0</v>
      </c>
      <c r="J50" s="14">
        <f t="shared" si="1"/>
        <v>0</v>
      </c>
      <c r="K50" s="47">
        <v>0</v>
      </c>
      <c r="L50" s="47">
        <v>0</v>
      </c>
      <c r="M50" s="14">
        <f t="shared" si="3"/>
        <v>0</v>
      </c>
      <c r="N50" s="14">
        <f t="shared" si="3"/>
        <v>0</v>
      </c>
      <c r="O50" s="4">
        <f t="shared" si="3"/>
        <v>0</v>
      </c>
      <c r="P50" s="4"/>
    </row>
    <row r="51" spans="1:16" x14ac:dyDescent="0.4">
      <c r="A51" s="49">
        <v>42088</v>
      </c>
      <c r="B51" s="48">
        <v>10100</v>
      </c>
      <c r="C51" s="48">
        <v>10100</v>
      </c>
      <c r="D51" s="48">
        <v>10100</v>
      </c>
      <c r="E51" s="48">
        <v>10100</v>
      </c>
      <c r="F51" s="50">
        <v>0</v>
      </c>
      <c r="G51" s="13">
        <f t="shared" si="0"/>
        <v>0</v>
      </c>
      <c r="H51" s="47">
        <v>0</v>
      </c>
      <c r="I51" s="48">
        <v>0</v>
      </c>
      <c r="J51" s="14">
        <f t="shared" si="1"/>
        <v>0</v>
      </c>
      <c r="K51" s="47">
        <v>0</v>
      </c>
      <c r="L51" s="47">
        <v>0</v>
      </c>
      <c r="M51" s="14">
        <f t="shared" si="3"/>
        <v>0</v>
      </c>
      <c r="N51" s="14">
        <f t="shared" si="3"/>
        <v>0</v>
      </c>
      <c r="O51" s="4">
        <f t="shared" si="3"/>
        <v>0</v>
      </c>
      <c r="P51" s="4"/>
    </row>
    <row r="52" spans="1:16" x14ac:dyDescent="0.4">
      <c r="A52" s="49">
        <v>42089</v>
      </c>
      <c r="B52" s="48">
        <v>10100</v>
      </c>
      <c r="C52" s="48">
        <v>10100</v>
      </c>
      <c r="D52" s="48">
        <v>10100</v>
      </c>
      <c r="E52" s="48">
        <v>10100</v>
      </c>
      <c r="F52" s="50">
        <v>0</v>
      </c>
      <c r="G52" s="13">
        <f t="shared" si="0"/>
        <v>0</v>
      </c>
      <c r="H52" s="47">
        <v>0</v>
      </c>
      <c r="I52" s="48">
        <v>0</v>
      </c>
      <c r="J52" s="14">
        <f t="shared" si="1"/>
        <v>0</v>
      </c>
      <c r="K52" s="47">
        <v>0</v>
      </c>
      <c r="L52" s="47">
        <v>0</v>
      </c>
      <c r="M52" s="14">
        <f t="shared" si="3"/>
        <v>0</v>
      </c>
      <c r="N52" s="14">
        <f t="shared" si="3"/>
        <v>0</v>
      </c>
      <c r="O52" s="4">
        <f t="shared" si="3"/>
        <v>0</v>
      </c>
      <c r="P52" s="4"/>
    </row>
    <row r="53" spans="1:16" x14ac:dyDescent="0.4">
      <c r="A53" s="49">
        <v>42090</v>
      </c>
      <c r="B53" s="48">
        <v>10100</v>
      </c>
      <c r="C53" s="48">
        <v>10100</v>
      </c>
      <c r="D53" s="48">
        <v>10100</v>
      </c>
      <c r="E53" s="48">
        <v>10100</v>
      </c>
      <c r="F53" s="50">
        <v>0</v>
      </c>
      <c r="G53" s="13">
        <f t="shared" si="0"/>
        <v>0</v>
      </c>
      <c r="H53" s="47">
        <v>0</v>
      </c>
      <c r="I53" s="48">
        <v>0</v>
      </c>
      <c r="J53" s="14">
        <f t="shared" si="1"/>
        <v>0</v>
      </c>
      <c r="K53" s="47">
        <v>0</v>
      </c>
      <c r="L53" s="47">
        <v>0</v>
      </c>
      <c r="M53" s="14">
        <f t="shared" si="3"/>
        <v>0</v>
      </c>
      <c r="N53" s="14">
        <f t="shared" si="3"/>
        <v>0</v>
      </c>
      <c r="O53" s="4">
        <f t="shared" si="3"/>
        <v>0</v>
      </c>
      <c r="P53" s="4"/>
    </row>
    <row r="54" spans="1:16" x14ac:dyDescent="0.4">
      <c r="A54" s="49">
        <v>42093</v>
      </c>
      <c r="B54" s="48">
        <v>10100</v>
      </c>
      <c r="C54" s="48">
        <v>10100</v>
      </c>
      <c r="D54" s="48">
        <v>10100</v>
      </c>
      <c r="E54" s="48">
        <v>10100</v>
      </c>
      <c r="F54" s="50">
        <v>0</v>
      </c>
      <c r="G54" s="13">
        <f t="shared" si="0"/>
        <v>0</v>
      </c>
      <c r="H54" s="47">
        <v>0</v>
      </c>
      <c r="I54" s="48">
        <v>0</v>
      </c>
      <c r="J54" s="14">
        <f t="shared" si="1"/>
        <v>0</v>
      </c>
      <c r="K54" s="47">
        <v>0</v>
      </c>
      <c r="L54" s="47">
        <v>0</v>
      </c>
      <c r="M54" s="14">
        <f t="shared" si="3"/>
        <v>0</v>
      </c>
      <c r="N54" s="14">
        <f t="shared" si="3"/>
        <v>0</v>
      </c>
      <c r="O54" s="4">
        <f t="shared" si="3"/>
        <v>0</v>
      </c>
      <c r="P54" s="4"/>
    </row>
    <row r="55" spans="1:16" x14ac:dyDescent="0.4">
      <c r="A55" s="49">
        <v>42094</v>
      </c>
      <c r="B55" s="48">
        <v>10100</v>
      </c>
      <c r="C55" s="48">
        <v>10100</v>
      </c>
      <c r="D55" s="48">
        <v>10100</v>
      </c>
      <c r="E55" s="48">
        <v>10100</v>
      </c>
      <c r="F55" s="50">
        <v>0</v>
      </c>
      <c r="G55" s="13">
        <f t="shared" si="0"/>
        <v>0</v>
      </c>
      <c r="H55" s="47">
        <v>0</v>
      </c>
      <c r="I55" s="48">
        <v>0</v>
      </c>
      <c r="J55" s="14">
        <f t="shared" si="1"/>
        <v>0</v>
      </c>
      <c r="K55" s="47">
        <v>0</v>
      </c>
      <c r="L55" s="47">
        <v>0</v>
      </c>
      <c r="M55" s="14">
        <f t="shared" si="3"/>
        <v>0</v>
      </c>
      <c r="N55" s="14">
        <f t="shared" si="3"/>
        <v>0</v>
      </c>
      <c r="O55" s="4">
        <f t="shared" si="3"/>
        <v>0</v>
      </c>
      <c r="P55" s="4"/>
    </row>
    <row r="56" spans="1:16" x14ac:dyDescent="0.4">
      <c r="A56" s="49">
        <v>42095</v>
      </c>
      <c r="B56" s="48">
        <v>10100</v>
      </c>
      <c r="C56" s="48">
        <v>10100</v>
      </c>
      <c r="D56" s="48">
        <v>10100</v>
      </c>
      <c r="E56" s="48">
        <v>10100</v>
      </c>
      <c r="F56" s="50">
        <v>0</v>
      </c>
      <c r="G56" s="13">
        <f t="shared" si="0"/>
        <v>0</v>
      </c>
      <c r="H56" s="47">
        <v>0</v>
      </c>
      <c r="I56" s="48">
        <v>0</v>
      </c>
      <c r="J56" s="14">
        <f t="shared" si="1"/>
        <v>0</v>
      </c>
      <c r="K56" s="47">
        <v>0</v>
      </c>
      <c r="L56" s="47">
        <v>0</v>
      </c>
      <c r="M56" s="14">
        <f t="shared" si="3"/>
        <v>0</v>
      </c>
      <c r="N56" s="14">
        <f t="shared" si="3"/>
        <v>0</v>
      </c>
      <c r="O56" s="4">
        <f t="shared" si="3"/>
        <v>0</v>
      </c>
      <c r="P56" s="4"/>
    </row>
    <row r="57" spans="1:16" x14ac:dyDescent="0.4">
      <c r="A57" s="49">
        <v>42096</v>
      </c>
      <c r="B57" s="48">
        <v>10100</v>
      </c>
      <c r="C57" s="48">
        <v>10100</v>
      </c>
      <c r="D57" s="48">
        <v>10100</v>
      </c>
      <c r="E57" s="48">
        <v>10100</v>
      </c>
      <c r="F57" s="50">
        <v>0</v>
      </c>
      <c r="G57" s="13">
        <f t="shared" si="0"/>
        <v>0</v>
      </c>
      <c r="H57" s="47">
        <v>0</v>
      </c>
      <c r="I57" s="48">
        <v>0</v>
      </c>
      <c r="J57" s="14">
        <f>L57-K57</f>
        <v>0</v>
      </c>
      <c r="K57" s="47">
        <v>0</v>
      </c>
      <c r="L57" s="47">
        <v>0</v>
      </c>
      <c r="M57" s="14">
        <f t="shared" si="3"/>
        <v>0</v>
      </c>
      <c r="N57" s="14">
        <f t="shared" si="3"/>
        <v>0</v>
      </c>
      <c r="O57" s="4">
        <f t="shared" si="3"/>
        <v>0</v>
      </c>
      <c r="P57" s="4"/>
    </row>
    <row r="58" spans="1:16" x14ac:dyDescent="0.4">
      <c r="A58" s="49">
        <v>42097</v>
      </c>
      <c r="B58" s="48">
        <v>10100</v>
      </c>
      <c r="C58" s="48">
        <v>10100</v>
      </c>
      <c r="D58" s="48">
        <v>10100</v>
      </c>
      <c r="E58" s="48">
        <v>10100</v>
      </c>
      <c r="F58" s="50">
        <v>0</v>
      </c>
      <c r="G58" s="13">
        <f t="shared" si="0"/>
        <v>0</v>
      </c>
      <c r="H58" s="47">
        <v>0</v>
      </c>
      <c r="I58" s="48">
        <v>0</v>
      </c>
      <c r="J58" s="14">
        <f t="shared" si="1"/>
        <v>0</v>
      </c>
      <c r="K58" s="47">
        <v>0</v>
      </c>
      <c r="L58" s="47">
        <v>0</v>
      </c>
      <c r="M58" s="14">
        <f t="shared" si="3"/>
        <v>0</v>
      </c>
      <c r="N58" s="14">
        <f t="shared" si="3"/>
        <v>0</v>
      </c>
      <c r="O58" s="4">
        <f t="shared" si="3"/>
        <v>0</v>
      </c>
      <c r="P58" s="4"/>
    </row>
    <row r="59" spans="1:16" x14ac:dyDescent="0.4">
      <c r="A59" s="49">
        <v>42100</v>
      </c>
      <c r="B59" s="48">
        <v>10100</v>
      </c>
      <c r="C59" s="48">
        <v>10100</v>
      </c>
      <c r="D59" s="48">
        <v>10100</v>
      </c>
      <c r="E59" s="48">
        <v>10100</v>
      </c>
      <c r="F59" s="50">
        <v>0</v>
      </c>
      <c r="G59" s="13">
        <f t="shared" si="0"/>
        <v>0</v>
      </c>
      <c r="H59" s="47">
        <v>0</v>
      </c>
      <c r="I59" s="48">
        <v>0</v>
      </c>
      <c r="J59" s="14">
        <f t="shared" si="1"/>
        <v>0</v>
      </c>
      <c r="K59" s="47">
        <v>0</v>
      </c>
      <c r="L59" s="47">
        <v>0</v>
      </c>
      <c r="M59" s="14">
        <f t="shared" si="3"/>
        <v>0</v>
      </c>
      <c r="N59" s="14">
        <f t="shared" si="3"/>
        <v>0</v>
      </c>
      <c r="O59" s="4">
        <f t="shared" si="3"/>
        <v>0</v>
      </c>
      <c r="P59" s="4"/>
    </row>
    <row r="60" spans="1:16" x14ac:dyDescent="0.4">
      <c r="A60" s="49">
        <v>42101</v>
      </c>
      <c r="B60" s="48">
        <v>10100</v>
      </c>
      <c r="C60" s="48">
        <v>10100</v>
      </c>
      <c r="D60" s="48">
        <v>10100</v>
      </c>
      <c r="E60" s="48">
        <v>10100</v>
      </c>
      <c r="F60" s="50">
        <v>0</v>
      </c>
      <c r="G60" s="13">
        <f t="shared" si="0"/>
        <v>0</v>
      </c>
      <c r="H60" s="47">
        <v>0</v>
      </c>
      <c r="I60" s="48">
        <v>0</v>
      </c>
      <c r="J60" s="14">
        <f t="shared" si="1"/>
        <v>0</v>
      </c>
      <c r="K60" s="47">
        <v>0</v>
      </c>
      <c r="L60" s="47">
        <v>0</v>
      </c>
      <c r="M60" s="14">
        <f t="shared" si="3"/>
        <v>0</v>
      </c>
      <c r="N60" s="14">
        <f t="shared" si="3"/>
        <v>0</v>
      </c>
      <c r="O60" s="4">
        <f t="shared" si="3"/>
        <v>0</v>
      </c>
      <c r="P60" s="4"/>
    </row>
    <row r="61" spans="1:16" x14ac:dyDescent="0.4">
      <c r="A61" s="49">
        <v>42102</v>
      </c>
      <c r="B61" s="48">
        <v>10100</v>
      </c>
      <c r="C61" s="48">
        <v>10100</v>
      </c>
      <c r="D61" s="48">
        <v>10100</v>
      </c>
      <c r="E61" s="48">
        <v>10100</v>
      </c>
      <c r="F61" s="50">
        <v>0</v>
      </c>
      <c r="G61" s="13">
        <f t="shared" si="0"/>
        <v>0</v>
      </c>
      <c r="H61" s="47">
        <v>0</v>
      </c>
      <c r="I61" s="48">
        <v>0</v>
      </c>
      <c r="J61" s="14">
        <f t="shared" si="1"/>
        <v>0</v>
      </c>
      <c r="K61" s="47">
        <v>0</v>
      </c>
      <c r="L61" s="47">
        <v>0</v>
      </c>
      <c r="M61" s="14">
        <f t="shared" si="3"/>
        <v>0</v>
      </c>
      <c r="N61" s="14">
        <f t="shared" si="3"/>
        <v>0</v>
      </c>
      <c r="O61" s="4">
        <f t="shared" si="3"/>
        <v>0</v>
      </c>
      <c r="P61" s="4"/>
    </row>
    <row r="62" spans="1:16" x14ac:dyDescent="0.4">
      <c r="A62" s="49">
        <v>42103</v>
      </c>
      <c r="B62" s="48">
        <v>10100</v>
      </c>
      <c r="C62" s="48">
        <v>10100</v>
      </c>
      <c r="D62" s="48">
        <v>10100</v>
      </c>
      <c r="E62" s="48">
        <v>10100</v>
      </c>
      <c r="F62" s="50">
        <v>0</v>
      </c>
      <c r="G62" s="13">
        <f t="shared" si="0"/>
        <v>0</v>
      </c>
      <c r="H62" s="47">
        <v>0</v>
      </c>
      <c r="I62" s="48">
        <v>0</v>
      </c>
      <c r="J62" s="14">
        <f t="shared" si="1"/>
        <v>0</v>
      </c>
      <c r="K62" s="47">
        <v>0</v>
      </c>
      <c r="L62" s="47">
        <v>0</v>
      </c>
      <c r="M62" s="14">
        <f t="shared" si="3"/>
        <v>0</v>
      </c>
      <c r="N62" s="14">
        <f t="shared" si="3"/>
        <v>0</v>
      </c>
      <c r="O62" s="4">
        <f t="shared" si="3"/>
        <v>0</v>
      </c>
      <c r="P62" s="4"/>
    </row>
    <row r="63" spans="1:16" x14ac:dyDescent="0.4">
      <c r="A63" s="49">
        <v>42104</v>
      </c>
      <c r="B63" s="48">
        <v>10100</v>
      </c>
      <c r="C63" s="48">
        <v>10100</v>
      </c>
      <c r="D63" s="48">
        <v>10100</v>
      </c>
      <c r="E63" s="48">
        <v>10100</v>
      </c>
      <c r="F63" s="50">
        <v>0</v>
      </c>
      <c r="G63" s="13">
        <f t="shared" si="0"/>
        <v>0</v>
      </c>
      <c r="H63" s="47">
        <v>0</v>
      </c>
      <c r="I63" s="48">
        <v>0</v>
      </c>
      <c r="J63" s="14">
        <f t="shared" si="1"/>
        <v>0</v>
      </c>
      <c r="K63" s="47">
        <v>0</v>
      </c>
      <c r="L63" s="47">
        <v>0</v>
      </c>
      <c r="M63" s="14">
        <f t="shared" si="3"/>
        <v>0</v>
      </c>
      <c r="N63" s="14">
        <f t="shared" si="3"/>
        <v>0</v>
      </c>
      <c r="O63" s="4">
        <f t="shared" si="3"/>
        <v>0</v>
      </c>
      <c r="P63" s="4"/>
    </row>
    <row r="64" spans="1:16" x14ac:dyDescent="0.4">
      <c r="A64" s="49">
        <v>42107</v>
      </c>
      <c r="B64" s="48">
        <v>10100</v>
      </c>
      <c r="C64" s="48">
        <v>10100</v>
      </c>
      <c r="D64" s="48">
        <v>10100</v>
      </c>
      <c r="E64" s="48">
        <v>10100</v>
      </c>
      <c r="F64" s="50">
        <v>0</v>
      </c>
      <c r="G64" s="13">
        <f t="shared" si="0"/>
        <v>0</v>
      </c>
      <c r="H64" s="47">
        <v>0</v>
      </c>
      <c r="I64" s="48">
        <v>0</v>
      </c>
      <c r="J64" s="14">
        <f t="shared" si="1"/>
        <v>0</v>
      </c>
      <c r="K64" s="47">
        <v>0</v>
      </c>
      <c r="L64" s="47">
        <v>0</v>
      </c>
      <c r="M64" s="14">
        <f t="shared" si="3"/>
        <v>0</v>
      </c>
      <c r="N64" s="14">
        <f t="shared" si="3"/>
        <v>0</v>
      </c>
      <c r="O64" s="4">
        <f t="shared" si="3"/>
        <v>0</v>
      </c>
      <c r="P64" s="4"/>
    </row>
    <row r="65" spans="1:16" x14ac:dyDescent="0.4">
      <c r="A65" s="49">
        <v>42108</v>
      </c>
      <c r="B65" s="48">
        <v>10100</v>
      </c>
      <c r="C65" s="48">
        <v>10100</v>
      </c>
      <c r="D65" s="48">
        <v>10100</v>
      </c>
      <c r="E65" s="48">
        <v>10100</v>
      </c>
      <c r="F65" s="50">
        <v>0</v>
      </c>
      <c r="G65" s="13">
        <f t="shared" si="0"/>
        <v>0</v>
      </c>
      <c r="H65" s="47">
        <v>0</v>
      </c>
      <c r="I65" s="48">
        <v>0</v>
      </c>
      <c r="J65" s="14">
        <f t="shared" si="1"/>
        <v>0</v>
      </c>
      <c r="K65" s="47">
        <v>0</v>
      </c>
      <c r="L65" s="47">
        <v>0</v>
      </c>
      <c r="M65" s="14">
        <f t="shared" si="3"/>
        <v>0</v>
      </c>
      <c r="N65" s="14">
        <f t="shared" si="3"/>
        <v>0</v>
      </c>
      <c r="O65" s="4">
        <f t="shared" si="3"/>
        <v>0</v>
      </c>
      <c r="P65" s="4"/>
    </row>
    <row r="66" spans="1:16" x14ac:dyDescent="0.4">
      <c r="A66" s="49">
        <v>42109</v>
      </c>
      <c r="B66" s="48">
        <v>10100</v>
      </c>
      <c r="C66" s="48">
        <v>10100</v>
      </c>
      <c r="D66" s="48">
        <v>10100</v>
      </c>
      <c r="E66" s="48">
        <v>10100</v>
      </c>
      <c r="F66" s="50">
        <v>0</v>
      </c>
      <c r="G66" s="13">
        <f t="shared" si="0"/>
        <v>0</v>
      </c>
      <c r="H66" s="47">
        <v>0</v>
      </c>
      <c r="I66" s="48">
        <v>0</v>
      </c>
      <c r="J66" s="14">
        <f t="shared" si="1"/>
        <v>0</v>
      </c>
      <c r="K66" s="47">
        <v>0</v>
      </c>
      <c r="L66" s="47">
        <v>0</v>
      </c>
      <c r="M66" s="14">
        <f t="shared" si="3"/>
        <v>0</v>
      </c>
      <c r="N66" s="14">
        <f t="shared" si="3"/>
        <v>0</v>
      </c>
      <c r="O66" s="4">
        <f t="shared" si="3"/>
        <v>0</v>
      </c>
      <c r="P66" s="4"/>
    </row>
    <row r="67" spans="1:16" x14ac:dyDescent="0.4">
      <c r="A67" s="49">
        <v>42110</v>
      </c>
      <c r="B67" s="48">
        <v>10100</v>
      </c>
      <c r="C67" s="48">
        <v>10100</v>
      </c>
      <c r="D67" s="48">
        <v>10100</v>
      </c>
      <c r="E67" s="48">
        <v>10100</v>
      </c>
      <c r="F67" s="50">
        <v>0</v>
      </c>
      <c r="G67" s="13">
        <f t="shared" ref="G67:G130" si="4">I67-H67</f>
        <v>0</v>
      </c>
      <c r="H67" s="47">
        <v>0</v>
      </c>
      <c r="I67" s="48">
        <v>0</v>
      </c>
      <c r="J67" s="14">
        <f t="shared" ref="J67:J75" si="5">L67-K67</f>
        <v>0</v>
      </c>
      <c r="K67" s="47">
        <v>0</v>
      </c>
      <c r="L67" s="47">
        <v>0</v>
      </c>
      <c r="M67" s="14">
        <f t="shared" si="3"/>
        <v>0</v>
      </c>
      <c r="N67" s="14">
        <f t="shared" si="3"/>
        <v>0</v>
      </c>
      <c r="O67" s="4">
        <f t="shared" si="3"/>
        <v>0</v>
      </c>
      <c r="P67" s="4"/>
    </row>
    <row r="68" spans="1:16" x14ac:dyDescent="0.4">
      <c r="A68" s="49">
        <v>42111</v>
      </c>
      <c r="B68" s="48">
        <v>10100</v>
      </c>
      <c r="C68" s="48">
        <v>10100</v>
      </c>
      <c r="D68" s="48">
        <v>10100</v>
      </c>
      <c r="E68" s="48">
        <v>10100</v>
      </c>
      <c r="F68" s="50">
        <v>0</v>
      </c>
      <c r="G68" s="13">
        <f t="shared" si="4"/>
        <v>0</v>
      </c>
      <c r="H68" s="47">
        <v>0</v>
      </c>
      <c r="I68" s="48">
        <v>0</v>
      </c>
      <c r="J68" s="14">
        <f t="shared" si="5"/>
        <v>0</v>
      </c>
      <c r="K68" s="47">
        <v>0</v>
      </c>
      <c r="L68" s="47">
        <v>0</v>
      </c>
      <c r="M68" s="14">
        <f t="shared" si="3"/>
        <v>0</v>
      </c>
      <c r="N68" s="14">
        <f t="shared" si="3"/>
        <v>0</v>
      </c>
      <c r="O68" s="4">
        <f t="shared" si="3"/>
        <v>0</v>
      </c>
      <c r="P68" s="4"/>
    </row>
    <row r="69" spans="1:16" x14ac:dyDescent="0.4">
      <c r="A69" s="49">
        <v>42114</v>
      </c>
      <c r="B69" s="48">
        <v>10250</v>
      </c>
      <c r="C69" s="48">
        <v>10250</v>
      </c>
      <c r="D69" s="48">
        <v>10250</v>
      </c>
      <c r="E69" s="48">
        <v>10250</v>
      </c>
      <c r="F69" s="50">
        <v>1.49</v>
      </c>
      <c r="G69" s="13">
        <f t="shared" si="4"/>
        <v>0</v>
      </c>
      <c r="H69" s="47">
        <v>0</v>
      </c>
      <c r="I69" s="48">
        <v>0</v>
      </c>
      <c r="J69" s="14">
        <f t="shared" si="5"/>
        <v>0</v>
      </c>
      <c r="K69" s="47">
        <v>0</v>
      </c>
      <c r="L69" s="47">
        <v>0</v>
      </c>
      <c r="M69" s="14">
        <f t="shared" si="3"/>
        <v>0</v>
      </c>
      <c r="N69" s="14">
        <f t="shared" si="3"/>
        <v>0</v>
      </c>
      <c r="O69" s="4">
        <f t="shared" si="3"/>
        <v>0</v>
      </c>
      <c r="P69" s="4"/>
    </row>
    <row r="70" spans="1:16" x14ac:dyDescent="0.4">
      <c r="A70" s="49">
        <v>42115</v>
      </c>
      <c r="B70" s="48">
        <v>10250</v>
      </c>
      <c r="C70" s="48">
        <v>10250</v>
      </c>
      <c r="D70" s="48">
        <v>10250</v>
      </c>
      <c r="E70" s="48">
        <v>10250</v>
      </c>
      <c r="F70" s="50">
        <v>0</v>
      </c>
      <c r="G70" s="13">
        <f t="shared" si="4"/>
        <v>0</v>
      </c>
      <c r="H70" s="47">
        <v>0</v>
      </c>
      <c r="I70" s="48">
        <v>0</v>
      </c>
      <c r="J70" s="14">
        <f t="shared" si="5"/>
        <v>0</v>
      </c>
      <c r="K70" s="47">
        <v>0</v>
      </c>
      <c r="L70" s="47">
        <v>0</v>
      </c>
      <c r="M70" s="14">
        <f t="shared" si="3"/>
        <v>0</v>
      </c>
      <c r="N70" s="14">
        <f t="shared" si="3"/>
        <v>0</v>
      </c>
      <c r="O70" s="4">
        <f t="shared" si="3"/>
        <v>0</v>
      </c>
      <c r="P70" s="4"/>
    </row>
    <row r="71" spans="1:16" x14ac:dyDescent="0.4">
      <c r="A71" s="49">
        <v>42116</v>
      </c>
      <c r="B71" s="48">
        <v>10250</v>
      </c>
      <c r="C71" s="48">
        <v>10250</v>
      </c>
      <c r="D71" s="48">
        <v>10250</v>
      </c>
      <c r="E71" s="48">
        <v>10250</v>
      </c>
      <c r="F71" s="50">
        <v>0</v>
      </c>
      <c r="G71" s="13">
        <f t="shared" si="4"/>
        <v>0</v>
      </c>
      <c r="H71" s="47">
        <v>0</v>
      </c>
      <c r="I71" s="48">
        <v>0</v>
      </c>
      <c r="J71" s="14">
        <f t="shared" si="5"/>
        <v>0</v>
      </c>
      <c r="K71" s="47">
        <v>0</v>
      </c>
      <c r="L71" s="47">
        <v>0</v>
      </c>
      <c r="M71" s="14">
        <f t="shared" si="3"/>
        <v>0</v>
      </c>
      <c r="N71" s="14">
        <f t="shared" si="3"/>
        <v>0</v>
      </c>
      <c r="O71" s="4">
        <f t="shared" si="3"/>
        <v>0</v>
      </c>
      <c r="P71" s="4"/>
    </row>
    <row r="72" spans="1:16" x14ac:dyDescent="0.4">
      <c r="A72" s="49">
        <v>42117</v>
      </c>
      <c r="B72" s="48">
        <v>10300</v>
      </c>
      <c r="C72" s="48">
        <v>10300</v>
      </c>
      <c r="D72" s="48">
        <v>10300</v>
      </c>
      <c r="E72" s="48">
        <v>10300</v>
      </c>
      <c r="F72" s="50">
        <v>0.49</v>
      </c>
      <c r="G72" s="13">
        <f t="shared" si="4"/>
        <v>0</v>
      </c>
      <c r="H72" s="47">
        <v>0</v>
      </c>
      <c r="I72" s="48">
        <v>0</v>
      </c>
      <c r="J72" s="14">
        <f t="shared" si="5"/>
        <v>0</v>
      </c>
      <c r="K72" s="47">
        <v>0</v>
      </c>
      <c r="L72" s="47">
        <v>0</v>
      </c>
      <c r="M72" s="14">
        <f t="shared" si="3"/>
        <v>0</v>
      </c>
      <c r="N72" s="14">
        <f t="shared" si="3"/>
        <v>0</v>
      </c>
      <c r="O72" s="4">
        <f t="shared" si="3"/>
        <v>0</v>
      </c>
      <c r="P72" s="4"/>
    </row>
    <row r="73" spans="1:16" x14ac:dyDescent="0.4">
      <c r="A73" s="49">
        <v>42118</v>
      </c>
      <c r="B73" s="48">
        <v>10300</v>
      </c>
      <c r="C73" s="48">
        <v>10300</v>
      </c>
      <c r="D73" s="48">
        <v>10300</v>
      </c>
      <c r="E73" s="48">
        <v>10300</v>
      </c>
      <c r="F73" s="50">
        <v>0</v>
      </c>
      <c r="G73" s="13">
        <f t="shared" si="4"/>
        <v>0</v>
      </c>
      <c r="H73" s="47">
        <v>0</v>
      </c>
      <c r="I73" s="48">
        <v>0</v>
      </c>
      <c r="J73" s="14">
        <f t="shared" si="5"/>
        <v>0</v>
      </c>
      <c r="K73" s="47">
        <v>0</v>
      </c>
      <c r="L73" s="47">
        <v>0</v>
      </c>
      <c r="M73" s="14">
        <f t="shared" si="3"/>
        <v>0</v>
      </c>
      <c r="N73" s="14">
        <f t="shared" si="3"/>
        <v>0</v>
      </c>
      <c r="O73" s="4">
        <f t="shared" si="3"/>
        <v>0</v>
      </c>
      <c r="P73" s="4"/>
    </row>
    <row r="74" spans="1:16" x14ac:dyDescent="0.4">
      <c r="A74" s="49">
        <v>42121</v>
      </c>
      <c r="B74" s="48">
        <v>10300</v>
      </c>
      <c r="C74" s="48">
        <v>10300</v>
      </c>
      <c r="D74" s="48">
        <v>10300</v>
      </c>
      <c r="E74" s="48">
        <v>10300</v>
      </c>
      <c r="F74" s="50">
        <v>0</v>
      </c>
      <c r="G74" s="13">
        <f t="shared" si="4"/>
        <v>0</v>
      </c>
      <c r="H74" s="47">
        <v>0</v>
      </c>
      <c r="I74" s="48">
        <v>0</v>
      </c>
      <c r="J74" s="14">
        <f t="shared" si="5"/>
        <v>0</v>
      </c>
      <c r="K74" s="47">
        <v>0</v>
      </c>
      <c r="L74" s="47">
        <v>0</v>
      </c>
      <c r="M74" s="14">
        <f t="shared" si="3"/>
        <v>0</v>
      </c>
      <c r="N74" s="14">
        <f t="shared" si="3"/>
        <v>0</v>
      </c>
      <c r="O74" s="4">
        <f t="shared" si="3"/>
        <v>0</v>
      </c>
      <c r="P74" s="4"/>
    </row>
    <row r="75" spans="1:16" x14ac:dyDescent="0.4">
      <c r="A75" s="49">
        <v>42122</v>
      </c>
      <c r="B75" s="48">
        <v>10300</v>
      </c>
      <c r="C75" s="48">
        <v>10300</v>
      </c>
      <c r="D75" s="48">
        <v>10300</v>
      </c>
      <c r="E75" s="48">
        <v>10300</v>
      </c>
      <c r="F75" s="50">
        <v>0</v>
      </c>
      <c r="G75" s="13">
        <f t="shared" si="4"/>
        <v>0</v>
      </c>
      <c r="H75" s="47">
        <v>0</v>
      </c>
      <c r="I75" s="48">
        <v>0</v>
      </c>
      <c r="J75" s="14">
        <f t="shared" si="5"/>
        <v>0</v>
      </c>
      <c r="K75" s="47">
        <v>0</v>
      </c>
      <c r="L75" s="47">
        <v>0</v>
      </c>
      <c r="M75" s="14">
        <f t="shared" si="3"/>
        <v>0</v>
      </c>
      <c r="N75" s="14">
        <f t="shared" si="3"/>
        <v>0</v>
      </c>
      <c r="O75" s="4">
        <f t="shared" si="3"/>
        <v>0</v>
      </c>
      <c r="P75" s="4"/>
    </row>
    <row r="76" spans="1:16" x14ac:dyDescent="0.4">
      <c r="A76" s="49">
        <v>42123</v>
      </c>
      <c r="B76" s="48">
        <v>10300</v>
      </c>
      <c r="C76" s="48">
        <v>10300</v>
      </c>
      <c r="D76" s="48">
        <v>10300</v>
      </c>
      <c r="E76" s="48">
        <v>10300</v>
      </c>
      <c r="F76" s="50">
        <v>0</v>
      </c>
      <c r="G76" s="13">
        <f t="shared" si="4"/>
        <v>0</v>
      </c>
      <c r="H76" s="47">
        <v>0</v>
      </c>
      <c r="I76" s="48">
        <v>0</v>
      </c>
      <c r="J76" s="14">
        <f>L76-K76</f>
        <v>0</v>
      </c>
      <c r="K76" s="47">
        <v>0</v>
      </c>
      <c r="L76" s="47">
        <v>0</v>
      </c>
      <c r="M76" s="14">
        <f t="shared" si="3"/>
        <v>0</v>
      </c>
      <c r="N76" s="14">
        <f t="shared" si="3"/>
        <v>0</v>
      </c>
      <c r="O76" s="4">
        <f t="shared" si="3"/>
        <v>0</v>
      </c>
      <c r="P76" s="4"/>
    </row>
    <row r="77" spans="1:16" x14ac:dyDescent="0.4">
      <c r="A77" s="49">
        <v>42124</v>
      </c>
      <c r="B77" s="48">
        <v>10300</v>
      </c>
      <c r="C77" s="48">
        <v>10300</v>
      </c>
      <c r="D77" s="48">
        <v>10300</v>
      </c>
      <c r="E77" s="48">
        <v>10300</v>
      </c>
      <c r="F77" s="50">
        <v>0</v>
      </c>
      <c r="G77" s="13">
        <f t="shared" si="4"/>
        <v>0</v>
      </c>
      <c r="H77" s="47">
        <v>0</v>
      </c>
      <c r="I77" s="48">
        <v>0</v>
      </c>
      <c r="J77" s="14">
        <f t="shared" ref="J77:J140" si="6">L77-K77</f>
        <v>0</v>
      </c>
      <c r="K77" s="47">
        <v>0</v>
      </c>
      <c r="L77" s="47">
        <v>0</v>
      </c>
      <c r="M77" s="14">
        <f t="shared" si="3"/>
        <v>0</v>
      </c>
      <c r="N77" s="14">
        <f t="shared" si="3"/>
        <v>0</v>
      </c>
      <c r="O77" s="4">
        <f t="shared" si="3"/>
        <v>0</v>
      </c>
      <c r="P77" s="4"/>
    </row>
    <row r="78" spans="1:16" x14ac:dyDescent="0.4">
      <c r="A78" s="49">
        <v>42128</v>
      </c>
      <c r="B78" s="48">
        <v>10300</v>
      </c>
      <c r="C78" s="48">
        <v>10300</v>
      </c>
      <c r="D78" s="48">
        <v>10300</v>
      </c>
      <c r="E78" s="48">
        <v>10300</v>
      </c>
      <c r="F78" s="50">
        <v>0</v>
      </c>
      <c r="G78" s="13">
        <f t="shared" si="4"/>
        <v>0</v>
      </c>
      <c r="H78" s="47">
        <v>0</v>
      </c>
      <c r="I78" s="48">
        <v>0</v>
      </c>
      <c r="J78" s="14">
        <f t="shared" si="6"/>
        <v>0</v>
      </c>
      <c r="K78" s="47">
        <v>0</v>
      </c>
      <c r="L78" s="47">
        <v>0</v>
      </c>
      <c r="M78" s="14">
        <f t="shared" si="3"/>
        <v>0</v>
      </c>
      <c r="N78" s="14">
        <f t="shared" si="3"/>
        <v>0</v>
      </c>
      <c r="O78" s="4">
        <f t="shared" si="3"/>
        <v>0</v>
      </c>
      <c r="P78" s="4"/>
    </row>
    <row r="79" spans="1:16" x14ac:dyDescent="0.4">
      <c r="A79" s="49">
        <v>42130</v>
      </c>
      <c r="B79" s="48">
        <v>10300</v>
      </c>
      <c r="C79" s="48">
        <v>10300</v>
      </c>
      <c r="D79" s="48">
        <v>10300</v>
      </c>
      <c r="E79" s="48">
        <v>10300</v>
      </c>
      <c r="F79" s="50">
        <v>0</v>
      </c>
      <c r="G79" s="13">
        <f t="shared" si="4"/>
        <v>0</v>
      </c>
      <c r="H79" s="47">
        <v>0</v>
      </c>
      <c r="I79" s="48">
        <v>0</v>
      </c>
      <c r="J79" s="14">
        <f t="shared" si="6"/>
        <v>0</v>
      </c>
      <c r="K79" s="47">
        <v>0</v>
      </c>
      <c r="L79" s="47">
        <v>0</v>
      </c>
      <c r="M79" s="14">
        <f t="shared" si="3"/>
        <v>0</v>
      </c>
      <c r="N79" s="14">
        <f t="shared" si="3"/>
        <v>0</v>
      </c>
      <c r="O79" s="4">
        <f t="shared" si="3"/>
        <v>0</v>
      </c>
      <c r="P79" s="4"/>
    </row>
    <row r="80" spans="1:16" x14ac:dyDescent="0.4">
      <c r="A80" s="49">
        <v>42131</v>
      </c>
      <c r="B80" s="48">
        <v>10300</v>
      </c>
      <c r="C80" s="48">
        <v>10300</v>
      </c>
      <c r="D80" s="48">
        <v>10300</v>
      </c>
      <c r="E80" s="48">
        <v>10300</v>
      </c>
      <c r="F80" s="50">
        <v>0</v>
      </c>
      <c r="G80" s="13">
        <f t="shared" si="4"/>
        <v>0</v>
      </c>
      <c r="H80" s="47">
        <v>0</v>
      </c>
      <c r="I80" s="48">
        <v>0</v>
      </c>
      <c r="J80" s="14">
        <f t="shared" si="6"/>
        <v>0</v>
      </c>
      <c r="K80" s="47">
        <v>0</v>
      </c>
      <c r="L80" s="47">
        <v>0</v>
      </c>
      <c r="M80" s="14">
        <f t="shared" si="3"/>
        <v>0</v>
      </c>
      <c r="N80" s="14">
        <f t="shared" si="3"/>
        <v>0</v>
      </c>
      <c r="O80" s="4">
        <f t="shared" si="3"/>
        <v>0</v>
      </c>
      <c r="P80" s="4"/>
    </row>
    <row r="81" spans="1:16" x14ac:dyDescent="0.4">
      <c r="A81" s="49">
        <v>42132</v>
      </c>
      <c r="B81" s="48">
        <v>10300</v>
      </c>
      <c r="C81" s="48">
        <v>10300</v>
      </c>
      <c r="D81" s="48">
        <v>10300</v>
      </c>
      <c r="E81" s="48">
        <v>10300</v>
      </c>
      <c r="F81" s="50">
        <v>0</v>
      </c>
      <c r="G81" s="13">
        <f t="shared" si="4"/>
        <v>0</v>
      </c>
      <c r="H81" s="47">
        <v>0</v>
      </c>
      <c r="I81" s="48">
        <v>0</v>
      </c>
      <c r="J81" s="14">
        <f t="shared" si="6"/>
        <v>0</v>
      </c>
      <c r="K81" s="47">
        <v>0</v>
      </c>
      <c r="L81" s="47">
        <v>0</v>
      </c>
      <c r="M81" s="14">
        <f t="shared" si="3"/>
        <v>0</v>
      </c>
      <c r="N81" s="14">
        <f t="shared" si="3"/>
        <v>0</v>
      </c>
      <c r="O81" s="4">
        <f t="shared" si="3"/>
        <v>0</v>
      </c>
      <c r="P81" s="4"/>
    </row>
    <row r="82" spans="1:16" x14ac:dyDescent="0.4">
      <c r="A82" s="49">
        <v>42135</v>
      </c>
      <c r="B82" s="48">
        <v>10300</v>
      </c>
      <c r="C82" s="48">
        <v>10300</v>
      </c>
      <c r="D82" s="48">
        <v>10300</v>
      </c>
      <c r="E82" s="48">
        <v>10300</v>
      </c>
      <c r="F82" s="50">
        <v>0</v>
      </c>
      <c r="G82" s="13">
        <f t="shared" si="4"/>
        <v>0</v>
      </c>
      <c r="H82" s="47">
        <v>0</v>
      </c>
      <c r="I82" s="48">
        <v>0</v>
      </c>
      <c r="J82" s="14">
        <f t="shared" si="6"/>
        <v>0</v>
      </c>
      <c r="K82" s="47">
        <v>0</v>
      </c>
      <c r="L82" s="47">
        <v>0</v>
      </c>
      <c r="M82" s="14">
        <f t="shared" si="3"/>
        <v>0</v>
      </c>
      <c r="N82" s="14">
        <f t="shared" si="3"/>
        <v>0</v>
      </c>
      <c r="O82" s="4">
        <f t="shared" si="3"/>
        <v>0</v>
      </c>
      <c r="P82" s="4"/>
    </row>
    <row r="83" spans="1:16" x14ac:dyDescent="0.4">
      <c r="A83" s="49">
        <v>42136</v>
      </c>
      <c r="B83" s="48">
        <v>10300</v>
      </c>
      <c r="C83" s="48">
        <v>10300</v>
      </c>
      <c r="D83" s="48">
        <v>10300</v>
      </c>
      <c r="E83" s="48">
        <v>10300</v>
      </c>
      <c r="F83" s="50">
        <v>0</v>
      </c>
      <c r="G83" s="13">
        <f t="shared" si="4"/>
        <v>0</v>
      </c>
      <c r="H83" s="47">
        <v>0</v>
      </c>
      <c r="I83" s="48">
        <v>0</v>
      </c>
      <c r="J83" s="14">
        <f t="shared" si="6"/>
        <v>0</v>
      </c>
      <c r="K83" s="47">
        <v>0</v>
      </c>
      <c r="L83" s="47">
        <v>0</v>
      </c>
      <c r="M83" s="14">
        <f t="shared" si="3"/>
        <v>0</v>
      </c>
      <c r="N83" s="14">
        <f t="shared" si="3"/>
        <v>0</v>
      </c>
      <c r="O83" s="4">
        <f t="shared" si="3"/>
        <v>0</v>
      </c>
      <c r="P83" s="4"/>
    </row>
    <row r="84" spans="1:16" x14ac:dyDescent="0.4">
      <c r="A84" s="49">
        <v>42137</v>
      </c>
      <c r="B84" s="48">
        <v>10300</v>
      </c>
      <c r="C84" s="48">
        <v>10300</v>
      </c>
      <c r="D84" s="48">
        <v>10300</v>
      </c>
      <c r="E84" s="48">
        <v>10300</v>
      </c>
      <c r="F84" s="50">
        <v>0</v>
      </c>
      <c r="G84" s="13">
        <f t="shared" si="4"/>
        <v>0</v>
      </c>
      <c r="H84" s="47">
        <v>0</v>
      </c>
      <c r="I84" s="48">
        <v>0</v>
      </c>
      <c r="J84" s="14">
        <f t="shared" si="6"/>
        <v>0</v>
      </c>
      <c r="K84" s="47">
        <v>0</v>
      </c>
      <c r="L84" s="47">
        <v>0</v>
      </c>
      <c r="M84" s="14">
        <f t="shared" si="3"/>
        <v>0</v>
      </c>
      <c r="N84" s="14">
        <f t="shared" si="3"/>
        <v>0</v>
      </c>
      <c r="O84" s="4">
        <f t="shared" si="3"/>
        <v>0</v>
      </c>
      <c r="P84" s="4"/>
    </row>
    <row r="85" spans="1:16" x14ac:dyDescent="0.4">
      <c r="A85" s="49">
        <v>42138</v>
      </c>
      <c r="B85" s="48">
        <v>10300</v>
      </c>
      <c r="C85" s="48">
        <v>10300</v>
      </c>
      <c r="D85" s="48">
        <v>10300</v>
      </c>
      <c r="E85" s="48">
        <v>10300</v>
      </c>
      <c r="F85" s="50">
        <v>0</v>
      </c>
      <c r="G85" s="13">
        <f t="shared" si="4"/>
        <v>0</v>
      </c>
      <c r="H85" s="47">
        <v>0</v>
      </c>
      <c r="I85" s="48">
        <v>0</v>
      </c>
      <c r="J85" s="14">
        <f t="shared" si="6"/>
        <v>0</v>
      </c>
      <c r="K85" s="47">
        <v>0</v>
      </c>
      <c r="L85" s="47">
        <v>0</v>
      </c>
      <c r="M85" s="14">
        <f t="shared" si="3"/>
        <v>0</v>
      </c>
      <c r="N85" s="14">
        <f t="shared" si="3"/>
        <v>0</v>
      </c>
      <c r="O85" s="4">
        <f t="shared" si="3"/>
        <v>0</v>
      </c>
      <c r="P85" s="4"/>
    </row>
    <row r="86" spans="1:16" x14ac:dyDescent="0.4">
      <c r="A86" s="49">
        <v>42139</v>
      </c>
      <c r="B86" s="48">
        <v>10300</v>
      </c>
      <c r="C86" s="48">
        <v>10300</v>
      </c>
      <c r="D86" s="48">
        <v>10300</v>
      </c>
      <c r="E86" s="48">
        <v>10300</v>
      </c>
      <c r="F86" s="50">
        <v>0</v>
      </c>
      <c r="G86" s="13">
        <f t="shared" si="4"/>
        <v>0</v>
      </c>
      <c r="H86" s="47">
        <v>0</v>
      </c>
      <c r="I86" s="48">
        <v>0</v>
      </c>
      <c r="J86" s="14">
        <f t="shared" si="6"/>
        <v>0</v>
      </c>
      <c r="K86" s="47">
        <v>0</v>
      </c>
      <c r="L86" s="47">
        <v>0</v>
      </c>
      <c r="M86" s="14">
        <f t="shared" si="3"/>
        <v>0</v>
      </c>
      <c r="N86" s="14">
        <f t="shared" si="3"/>
        <v>0</v>
      </c>
      <c r="O86" s="4">
        <f t="shared" si="3"/>
        <v>0</v>
      </c>
      <c r="P86" s="4"/>
    </row>
    <row r="87" spans="1:16" x14ac:dyDescent="0.4">
      <c r="A87" s="49">
        <v>42142</v>
      </c>
      <c r="B87" s="48">
        <v>10300</v>
      </c>
      <c r="C87" s="48">
        <v>10300</v>
      </c>
      <c r="D87" s="48">
        <v>10300</v>
      </c>
      <c r="E87" s="48">
        <v>10300</v>
      </c>
      <c r="F87" s="50">
        <v>0</v>
      </c>
      <c r="G87" s="13">
        <f t="shared" si="4"/>
        <v>0</v>
      </c>
      <c r="H87" s="47">
        <v>0</v>
      </c>
      <c r="I87" s="48">
        <v>0</v>
      </c>
      <c r="J87" s="14">
        <f t="shared" si="6"/>
        <v>0</v>
      </c>
      <c r="K87" s="47">
        <v>0</v>
      </c>
      <c r="L87" s="47">
        <v>0</v>
      </c>
      <c r="M87" s="14">
        <f t="shared" si="3"/>
        <v>0</v>
      </c>
      <c r="N87" s="14">
        <f t="shared" si="3"/>
        <v>0</v>
      </c>
      <c r="O87" s="4">
        <f t="shared" si="3"/>
        <v>0</v>
      </c>
      <c r="P87" s="4"/>
    </row>
    <row r="88" spans="1:16" x14ac:dyDescent="0.4">
      <c r="A88" s="49">
        <v>42143</v>
      </c>
      <c r="B88" s="48">
        <v>10300</v>
      </c>
      <c r="C88" s="48">
        <v>10300</v>
      </c>
      <c r="D88" s="48">
        <v>10300</v>
      </c>
      <c r="E88" s="48">
        <v>10300</v>
      </c>
      <c r="F88" s="50">
        <v>0</v>
      </c>
      <c r="G88" s="13">
        <f t="shared" si="4"/>
        <v>0</v>
      </c>
      <c r="H88" s="47">
        <v>0</v>
      </c>
      <c r="I88" s="48">
        <v>0</v>
      </c>
      <c r="J88" s="14">
        <f t="shared" si="6"/>
        <v>0</v>
      </c>
      <c r="K88" s="47">
        <v>0</v>
      </c>
      <c r="L88" s="47">
        <v>0</v>
      </c>
      <c r="M88" s="14">
        <f t="shared" si="3"/>
        <v>0</v>
      </c>
      <c r="N88" s="14">
        <f t="shared" si="3"/>
        <v>0</v>
      </c>
      <c r="O88" s="4">
        <f t="shared" si="3"/>
        <v>0</v>
      </c>
      <c r="P88" s="4"/>
    </row>
    <row r="89" spans="1:16" x14ac:dyDescent="0.4">
      <c r="A89" s="49">
        <v>42144</v>
      </c>
      <c r="B89" s="48">
        <v>10300</v>
      </c>
      <c r="C89" s="48">
        <v>10300</v>
      </c>
      <c r="D89" s="48">
        <v>10300</v>
      </c>
      <c r="E89" s="48">
        <v>10300</v>
      </c>
      <c r="F89" s="50">
        <v>0</v>
      </c>
      <c r="G89" s="13">
        <f t="shared" si="4"/>
        <v>0</v>
      </c>
      <c r="H89" s="47">
        <v>0</v>
      </c>
      <c r="I89" s="48">
        <v>0</v>
      </c>
      <c r="J89" s="14">
        <f t="shared" si="6"/>
        <v>0</v>
      </c>
      <c r="K89" s="47">
        <v>0</v>
      </c>
      <c r="L89" s="47">
        <v>0</v>
      </c>
      <c r="M89" s="14">
        <f t="shared" si="3"/>
        <v>0</v>
      </c>
      <c r="N89" s="14">
        <f t="shared" si="3"/>
        <v>0</v>
      </c>
      <c r="O89" s="4">
        <f t="shared" si="3"/>
        <v>0</v>
      </c>
      <c r="P89" s="4"/>
    </row>
    <row r="90" spans="1:16" x14ac:dyDescent="0.4">
      <c r="A90" s="49">
        <v>42145</v>
      </c>
      <c r="B90" s="48">
        <v>10300</v>
      </c>
      <c r="C90" s="48">
        <v>10300</v>
      </c>
      <c r="D90" s="48">
        <v>10300</v>
      </c>
      <c r="E90" s="48">
        <v>10300</v>
      </c>
      <c r="F90" s="50">
        <v>0</v>
      </c>
      <c r="G90" s="13">
        <f t="shared" si="4"/>
        <v>0</v>
      </c>
      <c r="H90" s="47">
        <v>0</v>
      </c>
      <c r="I90" s="48">
        <v>0</v>
      </c>
      <c r="J90" s="14">
        <f t="shared" si="6"/>
        <v>0</v>
      </c>
      <c r="K90" s="47">
        <v>0</v>
      </c>
      <c r="L90" s="47">
        <v>0</v>
      </c>
      <c r="M90" s="14">
        <f t="shared" si="3"/>
        <v>0</v>
      </c>
      <c r="N90" s="14">
        <f t="shared" si="3"/>
        <v>0</v>
      </c>
      <c r="O90" s="4">
        <f t="shared" si="3"/>
        <v>0</v>
      </c>
      <c r="P90" s="4"/>
    </row>
    <row r="91" spans="1:16" x14ac:dyDescent="0.4">
      <c r="A91" s="49">
        <v>42146</v>
      </c>
      <c r="B91" s="48">
        <v>10300</v>
      </c>
      <c r="C91" s="48">
        <v>10300</v>
      </c>
      <c r="D91" s="48">
        <v>10300</v>
      </c>
      <c r="E91" s="48">
        <v>10300</v>
      </c>
      <c r="F91" s="50">
        <v>0</v>
      </c>
      <c r="G91" s="13">
        <f t="shared" si="4"/>
        <v>0</v>
      </c>
      <c r="H91" s="47">
        <v>0</v>
      </c>
      <c r="I91" s="48">
        <v>0</v>
      </c>
      <c r="J91" s="14">
        <f t="shared" si="6"/>
        <v>0</v>
      </c>
      <c r="K91" s="47">
        <v>0</v>
      </c>
      <c r="L91" s="47">
        <v>0</v>
      </c>
      <c r="M91" s="14">
        <f t="shared" si="3"/>
        <v>0</v>
      </c>
      <c r="N91" s="14">
        <f t="shared" si="3"/>
        <v>0</v>
      </c>
      <c r="O91" s="4">
        <f t="shared" si="3"/>
        <v>0</v>
      </c>
      <c r="P91" s="4"/>
    </row>
    <row r="92" spans="1:16" x14ac:dyDescent="0.4">
      <c r="A92" s="49">
        <v>42150</v>
      </c>
      <c r="B92" s="48">
        <v>10300</v>
      </c>
      <c r="C92" s="48">
        <v>10300</v>
      </c>
      <c r="D92" s="48">
        <v>10300</v>
      </c>
      <c r="E92" s="48">
        <v>10300</v>
      </c>
      <c r="F92" s="50">
        <v>0</v>
      </c>
      <c r="G92" s="13">
        <f t="shared" si="4"/>
        <v>0</v>
      </c>
      <c r="H92" s="47">
        <v>0</v>
      </c>
      <c r="I92" s="48">
        <v>0</v>
      </c>
      <c r="J92" s="14">
        <f t="shared" si="6"/>
        <v>0</v>
      </c>
      <c r="K92" s="47">
        <v>0</v>
      </c>
      <c r="L92" s="47">
        <v>0</v>
      </c>
      <c r="M92" s="14">
        <f t="shared" si="3"/>
        <v>0</v>
      </c>
      <c r="N92" s="14">
        <f t="shared" si="3"/>
        <v>0</v>
      </c>
      <c r="O92" s="4">
        <f t="shared" si="3"/>
        <v>0</v>
      </c>
      <c r="P92" s="4"/>
    </row>
    <row r="93" spans="1:16" x14ac:dyDescent="0.4">
      <c r="A93" s="49">
        <v>42151</v>
      </c>
      <c r="B93" s="48">
        <v>10300</v>
      </c>
      <c r="C93" s="48">
        <v>10300</v>
      </c>
      <c r="D93" s="48">
        <v>10300</v>
      </c>
      <c r="E93" s="48">
        <v>10300</v>
      </c>
      <c r="F93" s="50">
        <v>0</v>
      </c>
      <c r="G93" s="13">
        <f t="shared" si="4"/>
        <v>0</v>
      </c>
      <c r="H93" s="47">
        <v>0</v>
      </c>
      <c r="I93" s="48">
        <v>0</v>
      </c>
      <c r="J93" s="14">
        <f t="shared" si="6"/>
        <v>0</v>
      </c>
      <c r="K93" s="47">
        <v>0</v>
      </c>
      <c r="L93" s="47">
        <v>0</v>
      </c>
      <c r="M93" s="14">
        <f t="shared" si="3"/>
        <v>0</v>
      </c>
      <c r="N93" s="14">
        <f t="shared" si="3"/>
        <v>0</v>
      </c>
      <c r="O93" s="4">
        <f t="shared" si="3"/>
        <v>0</v>
      </c>
      <c r="P93" s="4"/>
    </row>
    <row r="94" spans="1:16" x14ac:dyDescent="0.4">
      <c r="A94" s="49">
        <v>42152</v>
      </c>
      <c r="B94" s="48">
        <v>10300</v>
      </c>
      <c r="C94" s="48">
        <v>10300</v>
      </c>
      <c r="D94" s="48">
        <v>10300</v>
      </c>
      <c r="E94" s="48">
        <v>10300</v>
      </c>
      <c r="F94" s="50">
        <v>0</v>
      </c>
      <c r="G94" s="13">
        <f t="shared" si="4"/>
        <v>0</v>
      </c>
      <c r="H94" s="47">
        <v>0</v>
      </c>
      <c r="I94" s="48">
        <v>0</v>
      </c>
      <c r="J94" s="14">
        <f t="shared" si="6"/>
        <v>0</v>
      </c>
      <c r="K94" s="47">
        <v>0</v>
      </c>
      <c r="L94" s="47">
        <v>0</v>
      </c>
      <c r="M94" s="14">
        <f t="shared" si="3"/>
        <v>0</v>
      </c>
      <c r="N94" s="14">
        <f t="shared" si="3"/>
        <v>0</v>
      </c>
      <c r="O94" s="4">
        <f t="shared" si="3"/>
        <v>0</v>
      </c>
      <c r="P94" s="4"/>
    </row>
    <row r="95" spans="1:16" x14ac:dyDescent="0.4">
      <c r="A95" s="49">
        <v>42153</v>
      </c>
      <c r="B95" s="48">
        <v>10300</v>
      </c>
      <c r="C95" s="48">
        <v>10300</v>
      </c>
      <c r="D95" s="48">
        <v>10300</v>
      </c>
      <c r="E95" s="48">
        <v>10300</v>
      </c>
      <c r="F95" s="50">
        <v>0</v>
      </c>
      <c r="G95" s="13">
        <f t="shared" si="4"/>
        <v>0</v>
      </c>
      <c r="H95" s="47">
        <v>0</v>
      </c>
      <c r="I95" s="48">
        <v>0</v>
      </c>
      <c r="J95" s="14">
        <f t="shared" si="6"/>
        <v>0</v>
      </c>
      <c r="K95" s="47">
        <v>0</v>
      </c>
      <c r="L95" s="47">
        <v>0</v>
      </c>
      <c r="M95" s="14">
        <f t="shared" si="3"/>
        <v>0</v>
      </c>
      <c r="N95" s="14">
        <f t="shared" si="3"/>
        <v>0</v>
      </c>
      <c r="O95" s="4">
        <f t="shared" si="3"/>
        <v>0</v>
      </c>
      <c r="P95" s="4"/>
    </row>
    <row r="96" spans="1:16" x14ac:dyDescent="0.4">
      <c r="A96" s="49">
        <v>42156</v>
      </c>
      <c r="B96" s="48">
        <v>10300</v>
      </c>
      <c r="C96" s="48">
        <v>10300</v>
      </c>
      <c r="D96" s="48">
        <v>10300</v>
      </c>
      <c r="E96" s="48">
        <v>10300</v>
      </c>
      <c r="F96" s="50">
        <v>0</v>
      </c>
      <c r="G96" s="13">
        <f t="shared" si="4"/>
        <v>0</v>
      </c>
      <c r="H96" s="47">
        <v>0</v>
      </c>
      <c r="I96" s="48">
        <v>0</v>
      </c>
      <c r="J96" s="14">
        <f t="shared" si="6"/>
        <v>0</v>
      </c>
      <c r="K96" s="47">
        <v>0</v>
      </c>
      <c r="L96" s="47">
        <v>0</v>
      </c>
      <c r="M96" s="14">
        <f t="shared" si="3"/>
        <v>0</v>
      </c>
      <c r="N96" s="14">
        <f t="shared" si="3"/>
        <v>0</v>
      </c>
      <c r="O96" s="4">
        <f t="shared" si="3"/>
        <v>0</v>
      </c>
      <c r="P96" s="4"/>
    </row>
    <row r="97" spans="1:16" x14ac:dyDescent="0.4">
      <c r="A97" s="49">
        <v>42157</v>
      </c>
      <c r="B97" s="48">
        <v>10300</v>
      </c>
      <c r="C97" s="48">
        <v>10300</v>
      </c>
      <c r="D97" s="48">
        <v>10300</v>
      </c>
      <c r="E97" s="48">
        <v>10300</v>
      </c>
      <c r="F97" s="50">
        <v>0</v>
      </c>
      <c r="G97" s="13">
        <f t="shared" si="4"/>
        <v>0</v>
      </c>
      <c r="H97" s="47">
        <v>0</v>
      </c>
      <c r="I97" s="48">
        <v>0</v>
      </c>
      <c r="J97" s="14">
        <f t="shared" si="6"/>
        <v>0</v>
      </c>
      <c r="K97" s="47">
        <v>0</v>
      </c>
      <c r="L97" s="47">
        <v>0</v>
      </c>
      <c r="M97" s="14">
        <f t="shared" si="3"/>
        <v>0</v>
      </c>
      <c r="N97" s="14">
        <f t="shared" si="3"/>
        <v>0</v>
      </c>
      <c r="O97" s="4">
        <f t="shared" si="3"/>
        <v>0</v>
      </c>
      <c r="P97" s="4"/>
    </row>
    <row r="98" spans="1:16" x14ac:dyDescent="0.4">
      <c r="A98" s="49">
        <v>42158</v>
      </c>
      <c r="B98" s="48">
        <v>10300</v>
      </c>
      <c r="C98" s="48">
        <v>10300</v>
      </c>
      <c r="D98" s="48">
        <v>10300</v>
      </c>
      <c r="E98" s="48">
        <v>10300</v>
      </c>
      <c r="F98" s="50">
        <v>0</v>
      </c>
      <c r="G98" s="13">
        <f t="shared" si="4"/>
        <v>0</v>
      </c>
      <c r="H98" s="47">
        <v>0</v>
      </c>
      <c r="I98" s="48">
        <v>0</v>
      </c>
      <c r="J98" s="14">
        <f t="shared" si="6"/>
        <v>0</v>
      </c>
      <c r="K98" s="47">
        <v>0</v>
      </c>
      <c r="L98" s="47">
        <v>0</v>
      </c>
      <c r="M98" s="14">
        <f t="shared" si="3"/>
        <v>0</v>
      </c>
      <c r="N98" s="14">
        <f t="shared" si="3"/>
        <v>0</v>
      </c>
      <c r="O98" s="4">
        <f t="shared" si="3"/>
        <v>0</v>
      </c>
      <c r="P98" s="4"/>
    </row>
    <row r="99" spans="1:16" x14ac:dyDescent="0.4">
      <c r="A99" s="49">
        <v>42159</v>
      </c>
      <c r="B99" s="48">
        <v>10300</v>
      </c>
      <c r="C99" s="48">
        <v>10300</v>
      </c>
      <c r="D99" s="48">
        <v>10300</v>
      </c>
      <c r="E99" s="48">
        <v>10300</v>
      </c>
      <c r="F99" s="50">
        <v>0</v>
      </c>
      <c r="G99" s="13">
        <f t="shared" si="4"/>
        <v>0</v>
      </c>
      <c r="H99" s="47">
        <v>0</v>
      </c>
      <c r="I99" s="48">
        <v>0</v>
      </c>
      <c r="J99" s="14">
        <f t="shared" si="6"/>
        <v>0</v>
      </c>
      <c r="K99" s="47">
        <v>0</v>
      </c>
      <c r="L99" s="47">
        <v>0</v>
      </c>
      <c r="M99" s="14">
        <f t="shared" si="3"/>
        <v>0</v>
      </c>
      <c r="N99" s="14">
        <f t="shared" si="3"/>
        <v>0</v>
      </c>
      <c r="O99" s="4">
        <f t="shared" si="3"/>
        <v>0</v>
      </c>
      <c r="P99" s="4"/>
    </row>
    <row r="100" spans="1:16" x14ac:dyDescent="0.4">
      <c r="A100" s="49">
        <v>42160</v>
      </c>
      <c r="B100" s="48">
        <v>10300</v>
      </c>
      <c r="C100" s="48">
        <v>10300</v>
      </c>
      <c r="D100" s="48">
        <v>10300</v>
      </c>
      <c r="E100" s="48">
        <v>10300</v>
      </c>
      <c r="F100" s="50">
        <v>0</v>
      </c>
      <c r="G100" s="13">
        <f t="shared" si="4"/>
        <v>0</v>
      </c>
      <c r="H100" s="47">
        <v>0</v>
      </c>
      <c r="I100" s="48">
        <v>0</v>
      </c>
      <c r="J100" s="14">
        <f t="shared" si="6"/>
        <v>0</v>
      </c>
      <c r="K100" s="47">
        <v>0</v>
      </c>
      <c r="L100" s="47">
        <v>0</v>
      </c>
      <c r="M100" s="14">
        <f t="shared" si="3"/>
        <v>0</v>
      </c>
      <c r="N100" s="14">
        <f t="shared" si="3"/>
        <v>0</v>
      </c>
      <c r="O100" s="4">
        <f t="shared" si="3"/>
        <v>0</v>
      </c>
      <c r="P100" s="4"/>
    </row>
    <row r="101" spans="1:16" x14ac:dyDescent="0.4">
      <c r="A101" s="49">
        <v>42163</v>
      </c>
      <c r="B101" s="48">
        <v>10300</v>
      </c>
      <c r="C101" s="48">
        <v>10300</v>
      </c>
      <c r="D101" s="48">
        <v>10300</v>
      </c>
      <c r="E101" s="48">
        <v>10300</v>
      </c>
      <c r="F101" s="50">
        <v>0</v>
      </c>
      <c r="G101" s="13">
        <f t="shared" si="4"/>
        <v>0</v>
      </c>
      <c r="H101" s="47">
        <v>0</v>
      </c>
      <c r="I101" s="48">
        <v>0</v>
      </c>
      <c r="J101" s="14">
        <f t="shared" si="6"/>
        <v>0</v>
      </c>
      <c r="K101" s="47">
        <v>0</v>
      </c>
      <c r="L101" s="47">
        <v>0</v>
      </c>
      <c r="M101" s="14">
        <f t="shared" si="3"/>
        <v>0</v>
      </c>
      <c r="N101" s="14">
        <f t="shared" si="3"/>
        <v>0</v>
      </c>
      <c r="O101" s="4">
        <f t="shared" si="3"/>
        <v>0</v>
      </c>
      <c r="P101" s="4"/>
    </row>
    <row r="102" spans="1:16" x14ac:dyDescent="0.4">
      <c r="A102" s="49">
        <v>42164</v>
      </c>
      <c r="B102" s="48">
        <v>10300</v>
      </c>
      <c r="C102" s="48">
        <v>10300</v>
      </c>
      <c r="D102" s="48">
        <v>10300</v>
      </c>
      <c r="E102" s="48">
        <v>10300</v>
      </c>
      <c r="F102" s="50">
        <v>0</v>
      </c>
      <c r="G102" s="13">
        <f t="shared" si="4"/>
        <v>0</v>
      </c>
      <c r="H102" s="47">
        <v>0</v>
      </c>
      <c r="I102" s="48">
        <v>0</v>
      </c>
      <c r="J102" s="14">
        <f t="shared" si="6"/>
        <v>0</v>
      </c>
      <c r="K102" s="47">
        <v>0</v>
      </c>
      <c r="L102" s="47">
        <v>0</v>
      </c>
      <c r="M102" s="14">
        <f t="shared" ref="M102:O165" si="7">IFERROR(J102/G102,0)</f>
        <v>0</v>
      </c>
      <c r="N102" s="14">
        <f t="shared" si="7"/>
        <v>0</v>
      </c>
      <c r="O102" s="4">
        <f t="shared" si="7"/>
        <v>0</v>
      </c>
      <c r="P102" s="4"/>
    </row>
    <row r="103" spans="1:16" x14ac:dyDescent="0.4">
      <c r="A103" s="49">
        <v>42165</v>
      </c>
      <c r="B103" s="48">
        <v>10300</v>
      </c>
      <c r="C103" s="48">
        <v>10300</v>
      </c>
      <c r="D103" s="48">
        <v>10300</v>
      </c>
      <c r="E103" s="48">
        <v>10300</v>
      </c>
      <c r="F103" s="50">
        <v>0</v>
      </c>
      <c r="G103" s="13">
        <f t="shared" si="4"/>
        <v>0</v>
      </c>
      <c r="H103" s="47">
        <v>0</v>
      </c>
      <c r="I103" s="48">
        <v>0</v>
      </c>
      <c r="J103" s="14">
        <f t="shared" si="6"/>
        <v>0</v>
      </c>
      <c r="K103" s="47">
        <v>0</v>
      </c>
      <c r="L103" s="47">
        <v>0</v>
      </c>
      <c r="M103" s="14">
        <f t="shared" si="7"/>
        <v>0</v>
      </c>
      <c r="N103" s="14">
        <f t="shared" si="7"/>
        <v>0</v>
      </c>
      <c r="O103" s="4">
        <f t="shared" si="7"/>
        <v>0</v>
      </c>
      <c r="P103" s="4"/>
    </row>
    <row r="104" spans="1:16" x14ac:dyDescent="0.4">
      <c r="A104" s="49">
        <v>42166</v>
      </c>
      <c r="B104" s="48">
        <v>10300</v>
      </c>
      <c r="C104" s="48">
        <v>10300</v>
      </c>
      <c r="D104" s="48">
        <v>10300</v>
      </c>
      <c r="E104" s="48">
        <v>10300</v>
      </c>
      <c r="F104" s="50">
        <v>0</v>
      </c>
      <c r="G104" s="13">
        <f t="shared" si="4"/>
        <v>0</v>
      </c>
      <c r="H104" s="47">
        <v>0</v>
      </c>
      <c r="I104" s="48">
        <v>0</v>
      </c>
      <c r="J104" s="14">
        <f t="shared" si="6"/>
        <v>0</v>
      </c>
      <c r="K104" s="47">
        <v>0</v>
      </c>
      <c r="L104" s="47">
        <v>0</v>
      </c>
      <c r="M104" s="14">
        <f t="shared" si="7"/>
        <v>0</v>
      </c>
      <c r="N104" s="14">
        <f t="shared" si="7"/>
        <v>0</v>
      </c>
      <c r="O104" s="4">
        <f t="shared" si="7"/>
        <v>0</v>
      </c>
      <c r="P104" s="4"/>
    </row>
    <row r="105" spans="1:16" x14ac:dyDescent="0.4">
      <c r="A105" s="49">
        <v>42167</v>
      </c>
      <c r="B105" s="48">
        <v>10300</v>
      </c>
      <c r="C105" s="48">
        <v>10300</v>
      </c>
      <c r="D105" s="48">
        <v>10300</v>
      </c>
      <c r="E105" s="48">
        <v>10300</v>
      </c>
      <c r="F105" s="50">
        <v>0</v>
      </c>
      <c r="G105" s="13">
        <f t="shared" si="4"/>
        <v>0</v>
      </c>
      <c r="H105" s="47">
        <v>0</v>
      </c>
      <c r="I105" s="48">
        <v>0</v>
      </c>
      <c r="J105" s="14">
        <f t="shared" si="6"/>
        <v>0</v>
      </c>
      <c r="K105" s="47">
        <v>0</v>
      </c>
      <c r="L105" s="47">
        <v>0</v>
      </c>
      <c r="M105" s="14">
        <f t="shared" si="7"/>
        <v>0</v>
      </c>
      <c r="N105" s="14">
        <f t="shared" si="7"/>
        <v>0</v>
      </c>
      <c r="O105" s="4">
        <f t="shared" si="7"/>
        <v>0</v>
      </c>
      <c r="P105" s="4"/>
    </row>
    <row r="106" spans="1:16" x14ac:dyDescent="0.4">
      <c r="A106" s="49">
        <v>42170</v>
      </c>
      <c r="B106" s="48">
        <v>10300</v>
      </c>
      <c r="C106" s="48">
        <v>10300</v>
      </c>
      <c r="D106" s="48">
        <v>10300</v>
      </c>
      <c r="E106" s="48">
        <v>10300</v>
      </c>
      <c r="F106" s="50">
        <v>0</v>
      </c>
      <c r="G106" s="13">
        <f t="shared" si="4"/>
        <v>0</v>
      </c>
      <c r="H106" s="47">
        <v>0</v>
      </c>
      <c r="I106" s="48">
        <v>0</v>
      </c>
      <c r="J106" s="14">
        <f t="shared" si="6"/>
        <v>0</v>
      </c>
      <c r="K106" s="47">
        <v>0</v>
      </c>
      <c r="L106" s="47">
        <v>0</v>
      </c>
      <c r="M106" s="14">
        <f t="shared" si="7"/>
        <v>0</v>
      </c>
      <c r="N106" s="14">
        <f t="shared" si="7"/>
        <v>0</v>
      </c>
      <c r="O106" s="4">
        <f t="shared" si="7"/>
        <v>0</v>
      </c>
      <c r="P106" s="4"/>
    </row>
    <row r="107" spans="1:16" x14ac:dyDescent="0.4">
      <c r="A107" s="49">
        <v>42171</v>
      </c>
      <c r="B107" s="48">
        <v>10300</v>
      </c>
      <c r="C107" s="48">
        <v>10300</v>
      </c>
      <c r="D107" s="48">
        <v>10300</v>
      </c>
      <c r="E107" s="48">
        <v>10300</v>
      </c>
      <c r="F107" s="50">
        <v>0</v>
      </c>
      <c r="G107" s="13">
        <f t="shared" si="4"/>
        <v>0</v>
      </c>
      <c r="H107" s="47">
        <v>0</v>
      </c>
      <c r="I107" s="48">
        <v>0</v>
      </c>
      <c r="J107" s="14">
        <f t="shared" si="6"/>
        <v>0</v>
      </c>
      <c r="K107" s="47">
        <v>0</v>
      </c>
      <c r="L107" s="47">
        <v>0</v>
      </c>
      <c r="M107" s="14">
        <f t="shared" si="7"/>
        <v>0</v>
      </c>
      <c r="N107" s="14">
        <f t="shared" si="7"/>
        <v>0</v>
      </c>
      <c r="O107" s="4">
        <f t="shared" si="7"/>
        <v>0</v>
      </c>
      <c r="P107" s="4"/>
    </row>
    <row r="108" spans="1:16" x14ac:dyDescent="0.4">
      <c r="A108" s="49">
        <v>42172</v>
      </c>
      <c r="B108" s="48">
        <v>10300</v>
      </c>
      <c r="C108" s="48">
        <v>10300</v>
      </c>
      <c r="D108" s="48">
        <v>10300</v>
      </c>
      <c r="E108" s="48">
        <v>10300</v>
      </c>
      <c r="F108" s="50">
        <v>0</v>
      </c>
      <c r="G108" s="13">
        <f t="shared" si="4"/>
        <v>0</v>
      </c>
      <c r="H108" s="47">
        <v>0</v>
      </c>
      <c r="I108" s="48">
        <v>0</v>
      </c>
      <c r="J108" s="14">
        <f t="shared" si="6"/>
        <v>0</v>
      </c>
      <c r="K108" s="47">
        <v>0</v>
      </c>
      <c r="L108" s="47">
        <v>0</v>
      </c>
      <c r="M108" s="14">
        <f t="shared" si="7"/>
        <v>0</v>
      </c>
      <c r="N108" s="14">
        <f t="shared" si="7"/>
        <v>0</v>
      </c>
      <c r="O108" s="4">
        <f t="shared" si="7"/>
        <v>0</v>
      </c>
      <c r="P108" s="4"/>
    </row>
    <row r="109" spans="1:16" x14ac:dyDescent="0.4">
      <c r="A109" s="49">
        <v>42173</v>
      </c>
      <c r="B109" s="48">
        <v>10300</v>
      </c>
      <c r="C109" s="48">
        <v>10300</v>
      </c>
      <c r="D109" s="48">
        <v>10300</v>
      </c>
      <c r="E109" s="48">
        <v>10300</v>
      </c>
      <c r="F109" s="50">
        <v>0</v>
      </c>
      <c r="G109" s="13">
        <f t="shared" si="4"/>
        <v>0</v>
      </c>
      <c r="H109" s="47">
        <v>0</v>
      </c>
      <c r="I109" s="48">
        <v>0</v>
      </c>
      <c r="J109" s="14">
        <f t="shared" si="6"/>
        <v>0</v>
      </c>
      <c r="K109" s="47">
        <v>0</v>
      </c>
      <c r="L109" s="47">
        <v>0</v>
      </c>
      <c r="M109" s="14">
        <f t="shared" si="7"/>
        <v>0</v>
      </c>
      <c r="N109" s="14">
        <f t="shared" si="7"/>
        <v>0</v>
      </c>
      <c r="O109" s="4">
        <f t="shared" si="7"/>
        <v>0</v>
      </c>
      <c r="P109" s="4"/>
    </row>
    <row r="110" spans="1:16" x14ac:dyDescent="0.4">
      <c r="A110" s="49">
        <v>42174</v>
      </c>
      <c r="B110" s="48">
        <v>10300</v>
      </c>
      <c r="C110" s="48">
        <v>10300</v>
      </c>
      <c r="D110" s="48">
        <v>10300</v>
      </c>
      <c r="E110" s="48">
        <v>10300</v>
      </c>
      <c r="F110" s="50">
        <v>0</v>
      </c>
      <c r="G110" s="13">
        <f t="shared" si="4"/>
        <v>0</v>
      </c>
      <c r="H110" s="47">
        <v>0</v>
      </c>
      <c r="I110" s="48">
        <v>0</v>
      </c>
      <c r="J110" s="14">
        <f t="shared" si="6"/>
        <v>0</v>
      </c>
      <c r="K110" s="47">
        <v>0</v>
      </c>
      <c r="L110" s="47">
        <v>0</v>
      </c>
      <c r="M110" s="14">
        <f t="shared" si="7"/>
        <v>0</v>
      </c>
      <c r="N110" s="14">
        <f t="shared" si="7"/>
        <v>0</v>
      </c>
      <c r="O110" s="4">
        <f t="shared" si="7"/>
        <v>0</v>
      </c>
      <c r="P110" s="4"/>
    </row>
    <row r="111" spans="1:16" x14ac:dyDescent="0.4">
      <c r="A111" s="49">
        <v>42177</v>
      </c>
      <c r="B111" s="48">
        <v>10300</v>
      </c>
      <c r="C111" s="48">
        <v>10300</v>
      </c>
      <c r="D111" s="48">
        <v>10300</v>
      </c>
      <c r="E111" s="48">
        <v>10300</v>
      </c>
      <c r="F111" s="50">
        <v>0</v>
      </c>
      <c r="G111" s="13">
        <f t="shared" si="4"/>
        <v>0</v>
      </c>
      <c r="H111" s="47">
        <v>0</v>
      </c>
      <c r="I111" s="48">
        <v>0</v>
      </c>
      <c r="J111" s="14">
        <f t="shared" si="6"/>
        <v>0</v>
      </c>
      <c r="K111" s="47">
        <v>0</v>
      </c>
      <c r="L111" s="47">
        <v>0</v>
      </c>
      <c r="M111" s="14">
        <f t="shared" si="7"/>
        <v>0</v>
      </c>
      <c r="N111" s="14">
        <f t="shared" si="7"/>
        <v>0</v>
      </c>
      <c r="O111" s="4">
        <f t="shared" si="7"/>
        <v>0</v>
      </c>
      <c r="P111" s="4"/>
    </row>
    <row r="112" spans="1:16" x14ac:dyDescent="0.4">
      <c r="A112" s="49">
        <v>42178</v>
      </c>
      <c r="B112" s="48">
        <v>10300</v>
      </c>
      <c r="C112" s="48">
        <v>10300</v>
      </c>
      <c r="D112" s="48">
        <v>10300</v>
      </c>
      <c r="E112" s="48">
        <v>10300</v>
      </c>
      <c r="F112" s="50">
        <v>0</v>
      </c>
      <c r="G112" s="13">
        <f t="shared" si="4"/>
        <v>0</v>
      </c>
      <c r="H112" s="47">
        <v>0</v>
      </c>
      <c r="I112" s="48">
        <v>0</v>
      </c>
      <c r="J112" s="14">
        <f t="shared" si="6"/>
        <v>0</v>
      </c>
      <c r="K112" s="47">
        <v>0</v>
      </c>
      <c r="L112" s="47">
        <v>0</v>
      </c>
      <c r="M112" s="14">
        <f t="shared" si="7"/>
        <v>0</v>
      </c>
      <c r="N112" s="14">
        <f t="shared" si="7"/>
        <v>0</v>
      </c>
      <c r="O112" s="4">
        <f t="shared" si="7"/>
        <v>0</v>
      </c>
      <c r="P112" s="4"/>
    </row>
    <row r="113" spans="1:16" x14ac:dyDescent="0.4">
      <c r="A113" s="49">
        <v>42179</v>
      </c>
      <c r="B113" s="48">
        <v>10300</v>
      </c>
      <c r="C113" s="48">
        <v>10300</v>
      </c>
      <c r="D113" s="48">
        <v>10300</v>
      </c>
      <c r="E113" s="48">
        <v>10300</v>
      </c>
      <c r="F113" s="50">
        <v>0</v>
      </c>
      <c r="G113" s="13">
        <f t="shared" si="4"/>
        <v>0</v>
      </c>
      <c r="H113" s="47">
        <v>0</v>
      </c>
      <c r="I113" s="48">
        <v>0</v>
      </c>
      <c r="J113" s="14">
        <f t="shared" si="6"/>
        <v>0</v>
      </c>
      <c r="K113" s="47">
        <v>0</v>
      </c>
      <c r="L113" s="47">
        <v>0</v>
      </c>
      <c r="M113" s="14">
        <f t="shared" si="7"/>
        <v>0</v>
      </c>
      <c r="N113" s="14">
        <f t="shared" si="7"/>
        <v>0</v>
      </c>
      <c r="O113" s="4">
        <f t="shared" si="7"/>
        <v>0</v>
      </c>
      <c r="P113" s="4"/>
    </row>
    <row r="114" spans="1:16" x14ac:dyDescent="0.4">
      <c r="A114" s="49">
        <v>42180</v>
      </c>
      <c r="B114" s="48">
        <v>10300</v>
      </c>
      <c r="C114" s="48">
        <v>10300</v>
      </c>
      <c r="D114" s="48">
        <v>10300</v>
      </c>
      <c r="E114" s="48">
        <v>10300</v>
      </c>
      <c r="F114" s="50">
        <v>0</v>
      </c>
      <c r="G114" s="13">
        <f t="shared" si="4"/>
        <v>0</v>
      </c>
      <c r="H114" s="47">
        <v>0</v>
      </c>
      <c r="I114" s="48">
        <v>0</v>
      </c>
      <c r="J114" s="14">
        <f t="shared" si="6"/>
        <v>0</v>
      </c>
      <c r="K114" s="47">
        <v>0</v>
      </c>
      <c r="L114" s="47">
        <v>0</v>
      </c>
      <c r="M114" s="14">
        <f t="shared" si="7"/>
        <v>0</v>
      </c>
      <c r="N114" s="14">
        <f t="shared" si="7"/>
        <v>0</v>
      </c>
      <c r="O114" s="4">
        <f t="shared" si="7"/>
        <v>0</v>
      </c>
      <c r="P114" s="4"/>
    </row>
    <row r="115" spans="1:16" x14ac:dyDescent="0.4">
      <c r="A115" s="49">
        <v>42181</v>
      </c>
      <c r="B115" s="48">
        <v>10300</v>
      </c>
      <c r="C115" s="48">
        <v>10300</v>
      </c>
      <c r="D115" s="48">
        <v>10300</v>
      </c>
      <c r="E115" s="48">
        <v>10300</v>
      </c>
      <c r="F115" s="50">
        <v>0</v>
      </c>
      <c r="G115" s="13">
        <f t="shared" si="4"/>
        <v>0</v>
      </c>
      <c r="H115" s="47">
        <v>0</v>
      </c>
      <c r="I115" s="48">
        <v>0</v>
      </c>
      <c r="J115" s="14">
        <f t="shared" si="6"/>
        <v>0</v>
      </c>
      <c r="K115" s="47">
        <v>0</v>
      </c>
      <c r="L115" s="47">
        <v>0</v>
      </c>
      <c r="M115" s="14">
        <f t="shared" si="7"/>
        <v>0</v>
      </c>
      <c r="N115" s="14">
        <f t="shared" si="7"/>
        <v>0</v>
      </c>
      <c r="O115" s="4">
        <f t="shared" si="7"/>
        <v>0</v>
      </c>
      <c r="P115" s="4"/>
    </row>
    <row r="116" spans="1:16" x14ac:dyDescent="0.4">
      <c r="A116" s="49">
        <v>42184</v>
      </c>
      <c r="B116" s="48">
        <v>10300</v>
      </c>
      <c r="C116" s="48">
        <v>10300</v>
      </c>
      <c r="D116" s="48">
        <v>10300</v>
      </c>
      <c r="E116" s="48">
        <v>10300</v>
      </c>
      <c r="F116" s="50">
        <v>0</v>
      </c>
      <c r="G116" s="13">
        <f t="shared" si="4"/>
        <v>0</v>
      </c>
      <c r="H116" s="47">
        <v>0</v>
      </c>
      <c r="I116" s="48">
        <v>0</v>
      </c>
      <c r="J116" s="14">
        <f t="shared" si="6"/>
        <v>0</v>
      </c>
      <c r="K116" s="47">
        <v>0</v>
      </c>
      <c r="L116" s="47">
        <v>0</v>
      </c>
      <c r="M116" s="14">
        <f t="shared" si="7"/>
        <v>0</v>
      </c>
      <c r="N116" s="14">
        <f t="shared" si="7"/>
        <v>0</v>
      </c>
      <c r="O116" s="4">
        <f t="shared" si="7"/>
        <v>0</v>
      </c>
      <c r="P116" s="4"/>
    </row>
    <row r="117" spans="1:16" x14ac:dyDescent="0.4">
      <c r="A117" s="49">
        <v>42185</v>
      </c>
      <c r="B117" s="48">
        <v>10300</v>
      </c>
      <c r="C117" s="48">
        <v>10300</v>
      </c>
      <c r="D117" s="48">
        <v>10300</v>
      </c>
      <c r="E117" s="48">
        <v>10300</v>
      </c>
      <c r="F117" s="50">
        <v>0</v>
      </c>
      <c r="G117" s="13">
        <f t="shared" si="4"/>
        <v>0</v>
      </c>
      <c r="H117" s="47">
        <v>0</v>
      </c>
      <c r="I117" s="48">
        <v>0</v>
      </c>
      <c r="J117" s="14">
        <f t="shared" si="6"/>
        <v>0</v>
      </c>
      <c r="K117" s="47">
        <v>0</v>
      </c>
      <c r="L117" s="47">
        <v>0</v>
      </c>
      <c r="M117" s="14">
        <f t="shared" si="7"/>
        <v>0</v>
      </c>
      <c r="N117" s="14">
        <f t="shared" si="7"/>
        <v>0</v>
      </c>
      <c r="O117" s="4">
        <f t="shared" si="7"/>
        <v>0</v>
      </c>
      <c r="P117" s="4"/>
    </row>
    <row r="118" spans="1:16" x14ac:dyDescent="0.4">
      <c r="A118" s="49">
        <v>42186</v>
      </c>
      <c r="B118" s="48">
        <v>10300</v>
      </c>
      <c r="C118" s="48">
        <v>10300</v>
      </c>
      <c r="D118" s="48">
        <v>10300</v>
      </c>
      <c r="E118" s="48">
        <v>10300</v>
      </c>
      <c r="F118" s="50">
        <v>0</v>
      </c>
      <c r="G118" s="13">
        <f t="shared" si="4"/>
        <v>0</v>
      </c>
      <c r="H118" s="47">
        <v>0</v>
      </c>
      <c r="I118" s="48">
        <v>0</v>
      </c>
      <c r="J118" s="14">
        <f t="shared" si="6"/>
        <v>0</v>
      </c>
      <c r="K118" s="47">
        <v>0</v>
      </c>
      <c r="L118" s="47">
        <v>0</v>
      </c>
      <c r="M118" s="14">
        <f t="shared" si="7"/>
        <v>0</v>
      </c>
      <c r="N118" s="14">
        <f t="shared" si="7"/>
        <v>0</v>
      </c>
      <c r="O118" s="4">
        <f t="shared" si="7"/>
        <v>0</v>
      </c>
      <c r="P118" s="4"/>
    </row>
    <row r="119" spans="1:16" x14ac:dyDescent="0.4">
      <c r="A119" s="49">
        <v>42187</v>
      </c>
      <c r="B119" s="48">
        <v>10300</v>
      </c>
      <c r="C119" s="48">
        <v>10300</v>
      </c>
      <c r="D119" s="48">
        <v>10300</v>
      </c>
      <c r="E119" s="48">
        <v>10300</v>
      </c>
      <c r="F119" s="50">
        <v>0</v>
      </c>
      <c r="G119" s="13">
        <f t="shared" si="4"/>
        <v>0</v>
      </c>
      <c r="H119" s="47">
        <v>0</v>
      </c>
      <c r="I119" s="48">
        <v>0</v>
      </c>
      <c r="J119" s="14">
        <f t="shared" si="6"/>
        <v>0</v>
      </c>
      <c r="K119" s="47">
        <v>0</v>
      </c>
      <c r="L119" s="47">
        <v>0</v>
      </c>
      <c r="M119" s="14">
        <f t="shared" si="7"/>
        <v>0</v>
      </c>
      <c r="N119" s="14">
        <f t="shared" si="7"/>
        <v>0</v>
      </c>
      <c r="O119" s="4">
        <f t="shared" si="7"/>
        <v>0</v>
      </c>
      <c r="P119" s="4"/>
    </row>
    <row r="120" spans="1:16" x14ac:dyDescent="0.4">
      <c r="A120" s="49">
        <v>42188</v>
      </c>
      <c r="B120" s="48">
        <v>10300</v>
      </c>
      <c r="C120" s="48">
        <v>10300</v>
      </c>
      <c r="D120" s="48">
        <v>10300</v>
      </c>
      <c r="E120" s="48">
        <v>10300</v>
      </c>
      <c r="F120" s="50">
        <v>0</v>
      </c>
      <c r="G120" s="13">
        <f t="shared" si="4"/>
        <v>0</v>
      </c>
      <c r="H120" s="47">
        <v>0</v>
      </c>
      <c r="I120" s="48">
        <v>0</v>
      </c>
      <c r="J120" s="14">
        <f t="shared" si="6"/>
        <v>0</v>
      </c>
      <c r="K120" s="47">
        <v>0</v>
      </c>
      <c r="L120" s="47">
        <v>0</v>
      </c>
      <c r="M120" s="14">
        <f t="shared" si="7"/>
        <v>0</v>
      </c>
      <c r="N120" s="14">
        <f t="shared" si="7"/>
        <v>0</v>
      </c>
      <c r="O120" s="4">
        <f t="shared" si="7"/>
        <v>0</v>
      </c>
      <c r="P120" s="4"/>
    </row>
    <row r="121" spans="1:16" x14ac:dyDescent="0.4">
      <c r="A121" s="49">
        <v>42191</v>
      </c>
      <c r="B121" s="48">
        <v>10300</v>
      </c>
      <c r="C121" s="48">
        <v>10300</v>
      </c>
      <c r="D121" s="48">
        <v>10300</v>
      </c>
      <c r="E121" s="48">
        <v>10300</v>
      </c>
      <c r="F121" s="50">
        <v>0</v>
      </c>
      <c r="G121" s="13">
        <f t="shared" si="4"/>
        <v>0</v>
      </c>
      <c r="H121" s="47">
        <v>0</v>
      </c>
      <c r="I121" s="48">
        <v>0</v>
      </c>
      <c r="J121" s="14">
        <f t="shared" si="6"/>
        <v>0</v>
      </c>
      <c r="K121" s="47">
        <v>0</v>
      </c>
      <c r="L121" s="47">
        <v>0</v>
      </c>
      <c r="M121" s="14">
        <f t="shared" si="7"/>
        <v>0</v>
      </c>
      <c r="N121" s="14">
        <f t="shared" si="7"/>
        <v>0</v>
      </c>
      <c r="O121" s="4">
        <f t="shared" si="7"/>
        <v>0</v>
      </c>
      <c r="P121" s="4"/>
    </row>
    <row r="122" spans="1:16" x14ac:dyDescent="0.4">
      <c r="A122" s="49">
        <v>42192</v>
      </c>
      <c r="B122" s="48">
        <v>10300</v>
      </c>
      <c r="C122" s="48">
        <v>10300</v>
      </c>
      <c r="D122" s="48">
        <v>10300</v>
      </c>
      <c r="E122" s="48">
        <v>10300</v>
      </c>
      <c r="F122" s="50">
        <v>0</v>
      </c>
      <c r="G122" s="13">
        <f t="shared" si="4"/>
        <v>0</v>
      </c>
      <c r="H122" s="47">
        <v>0</v>
      </c>
      <c r="I122" s="48">
        <v>0</v>
      </c>
      <c r="J122" s="14">
        <f t="shared" si="6"/>
        <v>0</v>
      </c>
      <c r="K122" s="47">
        <v>0</v>
      </c>
      <c r="L122" s="47">
        <v>0</v>
      </c>
      <c r="M122" s="14">
        <f t="shared" si="7"/>
        <v>0</v>
      </c>
      <c r="N122" s="14">
        <f t="shared" si="7"/>
        <v>0</v>
      </c>
      <c r="O122" s="4">
        <f t="shared" si="7"/>
        <v>0</v>
      </c>
      <c r="P122" s="4"/>
    </row>
    <row r="123" spans="1:16" x14ac:dyDescent="0.4">
      <c r="A123" s="49">
        <v>42193</v>
      </c>
      <c r="B123" s="48">
        <v>10300</v>
      </c>
      <c r="C123" s="48">
        <v>10300</v>
      </c>
      <c r="D123" s="48">
        <v>10300</v>
      </c>
      <c r="E123" s="48">
        <v>10300</v>
      </c>
      <c r="F123" s="50">
        <v>0</v>
      </c>
      <c r="G123" s="13">
        <f t="shared" si="4"/>
        <v>0</v>
      </c>
      <c r="H123" s="47">
        <v>0</v>
      </c>
      <c r="I123" s="48">
        <v>0</v>
      </c>
      <c r="J123" s="14">
        <f t="shared" si="6"/>
        <v>0</v>
      </c>
      <c r="K123" s="47">
        <v>0</v>
      </c>
      <c r="L123" s="47">
        <v>0</v>
      </c>
      <c r="M123" s="14">
        <f t="shared" si="7"/>
        <v>0</v>
      </c>
      <c r="N123" s="14">
        <f t="shared" si="7"/>
        <v>0</v>
      </c>
      <c r="O123" s="4">
        <f t="shared" si="7"/>
        <v>0</v>
      </c>
      <c r="P123" s="4"/>
    </row>
    <row r="124" spans="1:16" x14ac:dyDescent="0.4">
      <c r="A124" s="49">
        <v>42194</v>
      </c>
      <c r="B124" s="48">
        <v>10300</v>
      </c>
      <c r="C124" s="48">
        <v>10300</v>
      </c>
      <c r="D124" s="48">
        <v>10300</v>
      </c>
      <c r="E124" s="48">
        <v>10300</v>
      </c>
      <c r="F124" s="50">
        <v>0</v>
      </c>
      <c r="G124" s="13">
        <f t="shared" si="4"/>
        <v>0</v>
      </c>
      <c r="H124" s="47">
        <v>0</v>
      </c>
      <c r="I124" s="48">
        <v>0</v>
      </c>
      <c r="J124" s="14">
        <f t="shared" si="6"/>
        <v>0</v>
      </c>
      <c r="K124" s="47">
        <v>0</v>
      </c>
      <c r="L124" s="47">
        <v>0</v>
      </c>
      <c r="M124" s="14">
        <f t="shared" si="7"/>
        <v>0</v>
      </c>
      <c r="N124" s="14">
        <f t="shared" si="7"/>
        <v>0</v>
      </c>
      <c r="O124" s="4">
        <f t="shared" si="7"/>
        <v>0</v>
      </c>
      <c r="P124" s="4"/>
    </row>
    <row r="125" spans="1:16" x14ac:dyDescent="0.4">
      <c r="A125" s="49">
        <v>42195</v>
      </c>
      <c r="B125" s="48">
        <v>10300</v>
      </c>
      <c r="C125" s="48">
        <v>10300</v>
      </c>
      <c r="D125" s="48">
        <v>10300</v>
      </c>
      <c r="E125" s="48">
        <v>10300</v>
      </c>
      <c r="F125" s="50">
        <v>0</v>
      </c>
      <c r="G125" s="13">
        <f t="shared" si="4"/>
        <v>0</v>
      </c>
      <c r="H125" s="47">
        <v>0</v>
      </c>
      <c r="I125" s="48">
        <v>0</v>
      </c>
      <c r="J125" s="14">
        <f t="shared" si="6"/>
        <v>0</v>
      </c>
      <c r="K125" s="47">
        <v>0</v>
      </c>
      <c r="L125" s="47">
        <v>0</v>
      </c>
      <c r="M125" s="14">
        <f t="shared" si="7"/>
        <v>0</v>
      </c>
      <c r="N125" s="14">
        <f t="shared" si="7"/>
        <v>0</v>
      </c>
      <c r="O125" s="4">
        <f t="shared" si="7"/>
        <v>0</v>
      </c>
      <c r="P125" s="4"/>
    </row>
    <row r="126" spans="1:16" x14ac:dyDescent="0.4">
      <c r="A126" s="49">
        <v>42198</v>
      </c>
      <c r="B126" s="48">
        <v>10300</v>
      </c>
      <c r="C126" s="48">
        <v>10300</v>
      </c>
      <c r="D126" s="48">
        <v>10300</v>
      </c>
      <c r="E126" s="48">
        <v>10300</v>
      </c>
      <c r="F126" s="50">
        <v>0</v>
      </c>
      <c r="G126" s="13">
        <f t="shared" si="4"/>
        <v>0</v>
      </c>
      <c r="H126" s="47">
        <v>0</v>
      </c>
      <c r="I126" s="48">
        <v>0</v>
      </c>
      <c r="J126" s="14">
        <f t="shared" si="6"/>
        <v>0</v>
      </c>
      <c r="K126" s="47">
        <v>0</v>
      </c>
      <c r="L126" s="47">
        <v>0</v>
      </c>
      <c r="M126" s="14">
        <f t="shared" si="7"/>
        <v>0</v>
      </c>
      <c r="N126" s="14">
        <f t="shared" si="7"/>
        <v>0</v>
      </c>
      <c r="O126" s="4">
        <f t="shared" si="7"/>
        <v>0</v>
      </c>
      <c r="P126" s="4"/>
    </row>
    <row r="127" spans="1:16" x14ac:dyDescent="0.4">
      <c r="A127" s="49">
        <v>42199</v>
      </c>
      <c r="B127" s="48">
        <v>10300</v>
      </c>
      <c r="C127" s="48">
        <v>10300</v>
      </c>
      <c r="D127" s="48">
        <v>10300</v>
      </c>
      <c r="E127" s="48">
        <v>10300</v>
      </c>
      <c r="F127" s="50">
        <v>0</v>
      </c>
      <c r="G127" s="13">
        <f t="shared" si="4"/>
        <v>0</v>
      </c>
      <c r="H127" s="47">
        <v>0</v>
      </c>
      <c r="I127" s="48">
        <v>0</v>
      </c>
      <c r="J127" s="14">
        <f t="shared" si="6"/>
        <v>0</v>
      </c>
      <c r="K127" s="47">
        <v>0</v>
      </c>
      <c r="L127" s="47">
        <v>0</v>
      </c>
      <c r="M127" s="14">
        <f t="shared" si="7"/>
        <v>0</v>
      </c>
      <c r="N127" s="14">
        <f t="shared" si="7"/>
        <v>0</v>
      </c>
      <c r="O127" s="4">
        <f t="shared" si="7"/>
        <v>0</v>
      </c>
      <c r="P127" s="4"/>
    </row>
    <row r="128" spans="1:16" x14ac:dyDescent="0.4">
      <c r="A128" s="49">
        <v>42200</v>
      </c>
      <c r="B128" s="48">
        <v>10300</v>
      </c>
      <c r="C128" s="48">
        <v>10300</v>
      </c>
      <c r="D128" s="48">
        <v>10300</v>
      </c>
      <c r="E128" s="48">
        <v>10300</v>
      </c>
      <c r="F128" s="50">
        <v>0</v>
      </c>
      <c r="G128" s="13">
        <f t="shared" si="4"/>
        <v>0</v>
      </c>
      <c r="H128" s="47">
        <v>0</v>
      </c>
      <c r="I128" s="48">
        <v>0</v>
      </c>
      <c r="J128" s="14">
        <f t="shared" si="6"/>
        <v>0</v>
      </c>
      <c r="K128" s="47">
        <v>0</v>
      </c>
      <c r="L128" s="47">
        <v>0</v>
      </c>
      <c r="M128" s="14">
        <f t="shared" si="7"/>
        <v>0</v>
      </c>
      <c r="N128" s="14">
        <f t="shared" si="7"/>
        <v>0</v>
      </c>
      <c r="O128" s="4">
        <f t="shared" si="7"/>
        <v>0</v>
      </c>
      <c r="P128" s="4"/>
    </row>
    <row r="129" spans="1:16" x14ac:dyDescent="0.4">
      <c r="A129" s="49">
        <v>42201</v>
      </c>
      <c r="B129" s="48">
        <v>10300</v>
      </c>
      <c r="C129" s="48">
        <v>10300</v>
      </c>
      <c r="D129" s="48">
        <v>10300</v>
      </c>
      <c r="E129" s="48">
        <v>10300</v>
      </c>
      <c r="F129" s="50">
        <v>0</v>
      </c>
      <c r="G129" s="13">
        <f t="shared" si="4"/>
        <v>0</v>
      </c>
      <c r="H129" s="47">
        <v>0</v>
      </c>
      <c r="I129" s="48">
        <v>0</v>
      </c>
      <c r="J129" s="14">
        <f t="shared" si="6"/>
        <v>0</v>
      </c>
      <c r="K129" s="47">
        <v>0</v>
      </c>
      <c r="L129" s="47">
        <v>0</v>
      </c>
      <c r="M129" s="14">
        <f t="shared" si="7"/>
        <v>0</v>
      </c>
      <c r="N129" s="14">
        <f t="shared" si="7"/>
        <v>0</v>
      </c>
      <c r="O129" s="4">
        <f t="shared" si="7"/>
        <v>0</v>
      </c>
      <c r="P129" s="4"/>
    </row>
    <row r="130" spans="1:16" x14ac:dyDescent="0.4">
      <c r="A130" s="49">
        <v>42202</v>
      </c>
      <c r="B130" s="48">
        <v>10300</v>
      </c>
      <c r="C130" s="48">
        <v>10300</v>
      </c>
      <c r="D130" s="48">
        <v>10300</v>
      </c>
      <c r="E130" s="48">
        <v>10300</v>
      </c>
      <c r="F130" s="50">
        <v>0</v>
      </c>
      <c r="G130" s="13">
        <f t="shared" si="4"/>
        <v>0</v>
      </c>
      <c r="H130" s="47">
        <v>0</v>
      </c>
      <c r="I130" s="48">
        <v>0</v>
      </c>
      <c r="J130" s="14">
        <f t="shared" si="6"/>
        <v>0</v>
      </c>
      <c r="K130" s="47">
        <v>0</v>
      </c>
      <c r="L130" s="47">
        <v>0</v>
      </c>
      <c r="M130" s="14">
        <f t="shared" si="7"/>
        <v>0</v>
      </c>
      <c r="N130" s="14">
        <f t="shared" si="7"/>
        <v>0</v>
      </c>
      <c r="O130" s="4">
        <f t="shared" si="7"/>
        <v>0</v>
      </c>
      <c r="P130" s="4"/>
    </row>
    <row r="131" spans="1:16" x14ac:dyDescent="0.4">
      <c r="A131" s="49">
        <v>42205</v>
      </c>
      <c r="B131" s="48">
        <v>10300</v>
      </c>
      <c r="C131" s="48">
        <v>10300</v>
      </c>
      <c r="D131" s="48">
        <v>10300</v>
      </c>
      <c r="E131" s="48">
        <v>10300</v>
      </c>
      <c r="F131" s="50">
        <v>0</v>
      </c>
      <c r="G131" s="13">
        <f t="shared" ref="G131:G194" si="8">I131-H131</f>
        <v>0</v>
      </c>
      <c r="H131" s="47">
        <v>0</v>
      </c>
      <c r="I131" s="48">
        <v>0</v>
      </c>
      <c r="J131" s="14">
        <f t="shared" si="6"/>
        <v>0</v>
      </c>
      <c r="K131" s="47">
        <v>0</v>
      </c>
      <c r="L131" s="47">
        <v>0</v>
      </c>
      <c r="M131" s="14">
        <f t="shared" si="7"/>
        <v>0</v>
      </c>
      <c r="N131" s="14">
        <f t="shared" si="7"/>
        <v>0</v>
      </c>
      <c r="O131" s="4">
        <f t="shared" si="7"/>
        <v>0</v>
      </c>
      <c r="P131" s="4"/>
    </row>
    <row r="132" spans="1:16" x14ac:dyDescent="0.4">
      <c r="A132" s="49">
        <v>42206</v>
      </c>
      <c r="B132" s="48">
        <v>10300</v>
      </c>
      <c r="C132" s="48">
        <v>10300</v>
      </c>
      <c r="D132" s="48">
        <v>10300</v>
      </c>
      <c r="E132" s="48">
        <v>10300</v>
      </c>
      <c r="F132" s="50">
        <v>0</v>
      </c>
      <c r="G132" s="13">
        <f t="shared" si="8"/>
        <v>0</v>
      </c>
      <c r="H132" s="47">
        <v>0</v>
      </c>
      <c r="I132" s="48">
        <v>0</v>
      </c>
      <c r="J132" s="14">
        <f t="shared" si="6"/>
        <v>0</v>
      </c>
      <c r="K132" s="47">
        <v>0</v>
      </c>
      <c r="L132" s="47">
        <v>0</v>
      </c>
      <c r="M132" s="14">
        <f t="shared" si="7"/>
        <v>0</v>
      </c>
      <c r="N132" s="14">
        <f t="shared" si="7"/>
        <v>0</v>
      </c>
      <c r="O132" s="4">
        <f t="shared" si="7"/>
        <v>0</v>
      </c>
      <c r="P132" s="4"/>
    </row>
    <row r="133" spans="1:16" x14ac:dyDescent="0.4">
      <c r="A133" s="49">
        <v>42207</v>
      </c>
      <c r="B133" s="48">
        <v>10300</v>
      </c>
      <c r="C133" s="48">
        <v>10300</v>
      </c>
      <c r="D133" s="48">
        <v>10300</v>
      </c>
      <c r="E133" s="48">
        <v>10300</v>
      </c>
      <c r="F133" s="50">
        <v>0</v>
      </c>
      <c r="G133" s="13">
        <f t="shared" si="8"/>
        <v>0</v>
      </c>
      <c r="H133" s="47">
        <v>0</v>
      </c>
      <c r="I133" s="48">
        <v>0</v>
      </c>
      <c r="J133" s="14">
        <f t="shared" si="6"/>
        <v>0</v>
      </c>
      <c r="K133" s="47">
        <v>0</v>
      </c>
      <c r="L133" s="47">
        <v>0</v>
      </c>
      <c r="M133" s="14">
        <f t="shared" si="7"/>
        <v>0</v>
      </c>
      <c r="N133" s="14">
        <f t="shared" si="7"/>
        <v>0</v>
      </c>
      <c r="O133" s="4">
        <f t="shared" si="7"/>
        <v>0</v>
      </c>
      <c r="P133" s="4"/>
    </row>
    <row r="134" spans="1:16" x14ac:dyDescent="0.4">
      <c r="A134" s="49">
        <v>42208</v>
      </c>
      <c r="B134" s="48">
        <v>10300</v>
      </c>
      <c r="C134" s="48">
        <v>10300</v>
      </c>
      <c r="D134" s="48">
        <v>10300</v>
      </c>
      <c r="E134" s="48">
        <v>10300</v>
      </c>
      <c r="F134" s="50">
        <v>0</v>
      </c>
      <c r="G134" s="13">
        <f t="shared" si="8"/>
        <v>0</v>
      </c>
      <c r="H134" s="47">
        <v>0</v>
      </c>
      <c r="I134" s="48">
        <v>0</v>
      </c>
      <c r="J134" s="14">
        <f t="shared" si="6"/>
        <v>0</v>
      </c>
      <c r="K134" s="47">
        <v>0</v>
      </c>
      <c r="L134" s="47">
        <v>0</v>
      </c>
      <c r="M134" s="14">
        <f t="shared" si="7"/>
        <v>0</v>
      </c>
      <c r="N134" s="14">
        <f t="shared" si="7"/>
        <v>0</v>
      </c>
      <c r="O134" s="4">
        <f t="shared" si="7"/>
        <v>0</v>
      </c>
      <c r="P134" s="4"/>
    </row>
    <row r="135" spans="1:16" x14ac:dyDescent="0.4">
      <c r="A135" s="49">
        <v>42209</v>
      </c>
      <c r="B135" s="48">
        <v>10300</v>
      </c>
      <c r="C135" s="48">
        <v>10300</v>
      </c>
      <c r="D135" s="48">
        <v>10300</v>
      </c>
      <c r="E135" s="48">
        <v>10300</v>
      </c>
      <c r="F135" s="50">
        <v>0</v>
      </c>
      <c r="G135" s="13">
        <f t="shared" si="8"/>
        <v>0</v>
      </c>
      <c r="H135" s="47">
        <v>0</v>
      </c>
      <c r="I135" s="48">
        <v>0</v>
      </c>
      <c r="J135" s="14">
        <f t="shared" si="6"/>
        <v>0</v>
      </c>
      <c r="K135" s="47">
        <v>0</v>
      </c>
      <c r="L135" s="47">
        <v>0</v>
      </c>
      <c r="M135" s="14">
        <f t="shared" si="7"/>
        <v>0</v>
      </c>
      <c r="N135" s="14">
        <f t="shared" si="7"/>
        <v>0</v>
      </c>
      <c r="O135" s="4">
        <f t="shared" si="7"/>
        <v>0</v>
      </c>
      <c r="P135" s="4"/>
    </row>
    <row r="136" spans="1:16" x14ac:dyDescent="0.4">
      <c r="A136" s="49">
        <v>42212</v>
      </c>
      <c r="B136" s="48">
        <v>10300</v>
      </c>
      <c r="C136" s="48">
        <v>10300</v>
      </c>
      <c r="D136" s="48">
        <v>10300</v>
      </c>
      <c r="E136" s="48">
        <v>10300</v>
      </c>
      <c r="F136" s="50">
        <v>0</v>
      </c>
      <c r="G136" s="13">
        <f t="shared" si="8"/>
        <v>0</v>
      </c>
      <c r="H136" s="47">
        <v>0</v>
      </c>
      <c r="I136" s="48">
        <v>0</v>
      </c>
      <c r="J136" s="14">
        <f t="shared" si="6"/>
        <v>0</v>
      </c>
      <c r="K136" s="47">
        <v>0</v>
      </c>
      <c r="L136" s="47">
        <v>0</v>
      </c>
      <c r="M136" s="14">
        <f t="shared" si="7"/>
        <v>0</v>
      </c>
      <c r="N136" s="14">
        <f t="shared" si="7"/>
        <v>0</v>
      </c>
      <c r="O136" s="4">
        <f t="shared" si="7"/>
        <v>0</v>
      </c>
      <c r="P136" s="4"/>
    </row>
    <row r="137" spans="1:16" x14ac:dyDescent="0.4">
      <c r="A137" s="49">
        <v>42213</v>
      </c>
      <c r="B137" s="48">
        <v>10300</v>
      </c>
      <c r="C137" s="48">
        <v>10300</v>
      </c>
      <c r="D137" s="48">
        <v>10300</v>
      </c>
      <c r="E137" s="48">
        <v>10300</v>
      </c>
      <c r="F137" s="50">
        <v>0</v>
      </c>
      <c r="G137" s="13">
        <f t="shared" si="8"/>
        <v>0</v>
      </c>
      <c r="H137" s="47">
        <v>0</v>
      </c>
      <c r="I137" s="48">
        <v>0</v>
      </c>
      <c r="J137" s="14">
        <f t="shared" si="6"/>
        <v>0</v>
      </c>
      <c r="K137" s="47">
        <v>0</v>
      </c>
      <c r="L137" s="47">
        <v>0</v>
      </c>
      <c r="M137" s="14">
        <f t="shared" si="7"/>
        <v>0</v>
      </c>
      <c r="N137" s="14">
        <f t="shared" si="7"/>
        <v>0</v>
      </c>
      <c r="O137" s="4">
        <f t="shared" si="7"/>
        <v>0</v>
      </c>
      <c r="P137" s="4"/>
    </row>
    <row r="138" spans="1:16" x14ac:dyDescent="0.4">
      <c r="A138" s="49">
        <v>42214</v>
      </c>
      <c r="B138" s="48">
        <v>10300</v>
      </c>
      <c r="C138" s="48">
        <v>10300</v>
      </c>
      <c r="D138" s="48">
        <v>10300</v>
      </c>
      <c r="E138" s="48">
        <v>10300</v>
      </c>
      <c r="F138" s="50">
        <v>0</v>
      </c>
      <c r="G138" s="13">
        <f t="shared" si="8"/>
        <v>0</v>
      </c>
      <c r="H138" s="47">
        <v>0</v>
      </c>
      <c r="I138" s="48">
        <v>0</v>
      </c>
      <c r="J138" s="14">
        <f t="shared" si="6"/>
        <v>0</v>
      </c>
      <c r="K138" s="47">
        <v>0</v>
      </c>
      <c r="L138" s="47">
        <v>0</v>
      </c>
      <c r="M138" s="14">
        <f t="shared" si="7"/>
        <v>0</v>
      </c>
      <c r="N138" s="14">
        <f t="shared" si="7"/>
        <v>0</v>
      </c>
      <c r="O138" s="4">
        <f t="shared" si="7"/>
        <v>0</v>
      </c>
      <c r="P138" s="4"/>
    </row>
    <row r="139" spans="1:16" x14ac:dyDescent="0.4">
      <c r="A139" s="49">
        <v>42215</v>
      </c>
      <c r="B139" s="48">
        <v>10300</v>
      </c>
      <c r="C139" s="48">
        <v>10300</v>
      </c>
      <c r="D139" s="48">
        <v>10300</v>
      </c>
      <c r="E139" s="48">
        <v>10300</v>
      </c>
      <c r="F139" s="50">
        <v>0</v>
      </c>
      <c r="G139" s="13">
        <f t="shared" si="8"/>
        <v>0</v>
      </c>
      <c r="H139" s="47">
        <v>0</v>
      </c>
      <c r="I139" s="48">
        <v>0</v>
      </c>
      <c r="J139" s="14">
        <f t="shared" si="6"/>
        <v>0</v>
      </c>
      <c r="K139" s="47">
        <v>0</v>
      </c>
      <c r="L139" s="47">
        <v>0</v>
      </c>
      <c r="M139" s="14">
        <f t="shared" si="7"/>
        <v>0</v>
      </c>
      <c r="N139" s="14">
        <f t="shared" si="7"/>
        <v>0</v>
      </c>
      <c r="O139" s="4">
        <f t="shared" si="7"/>
        <v>0</v>
      </c>
      <c r="P139" s="4"/>
    </row>
    <row r="140" spans="1:16" x14ac:dyDescent="0.4">
      <c r="A140" s="49">
        <v>42216</v>
      </c>
      <c r="B140" s="48">
        <v>10300</v>
      </c>
      <c r="C140" s="48">
        <v>10300</v>
      </c>
      <c r="D140" s="48">
        <v>10300</v>
      </c>
      <c r="E140" s="48">
        <v>10300</v>
      </c>
      <c r="F140" s="50">
        <v>0</v>
      </c>
      <c r="G140" s="13">
        <f t="shared" si="8"/>
        <v>0</v>
      </c>
      <c r="H140" s="47">
        <v>0</v>
      </c>
      <c r="I140" s="48">
        <v>0</v>
      </c>
      <c r="J140" s="14">
        <f t="shared" si="6"/>
        <v>0</v>
      </c>
      <c r="K140" s="47">
        <v>0</v>
      </c>
      <c r="L140" s="47">
        <v>0</v>
      </c>
      <c r="M140" s="14">
        <f t="shared" si="7"/>
        <v>0</v>
      </c>
      <c r="N140" s="14">
        <f t="shared" si="7"/>
        <v>0</v>
      </c>
      <c r="O140" s="4">
        <f t="shared" si="7"/>
        <v>0</v>
      </c>
      <c r="P140" s="4"/>
    </row>
    <row r="141" spans="1:16" x14ac:dyDescent="0.4">
      <c r="A141" s="49">
        <v>42219</v>
      </c>
      <c r="B141" s="48">
        <v>10300</v>
      </c>
      <c r="C141" s="48">
        <v>10300</v>
      </c>
      <c r="D141" s="48">
        <v>10300</v>
      </c>
      <c r="E141" s="48">
        <v>10300</v>
      </c>
      <c r="F141" s="50">
        <v>0</v>
      </c>
      <c r="G141" s="13">
        <f t="shared" si="8"/>
        <v>0</v>
      </c>
      <c r="H141" s="47">
        <v>0</v>
      </c>
      <c r="I141" s="48">
        <v>0</v>
      </c>
      <c r="J141" s="14">
        <f t="shared" ref="J141:J191" si="9">L141-K141</f>
        <v>0</v>
      </c>
      <c r="K141" s="47">
        <v>0</v>
      </c>
      <c r="L141" s="47">
        <v>0</v>
      </c>
      <c r="M141" s="14">
        <f t="shared" si="7"/>
        <v>0</v>
      </c>
      <c r="N141" s="14">
        <f t="shared" si="7"/>
        <v>0</v>
      </c>
      <c r="O141" s="4">
        <f t="shared" si="7"/>
        <v>0</v>
      </c>
      <c r="P141" s="4"/>
    </row>
    <row r="142" spans="1:16" x14ac:dyDescent="0.4">
      <c r="A142" s="49">
        <v>42220</v>
      </c>
      <c r="B142" s="48">
        <v>10300</v>
      </c>
      <c r="C142" s="48">
        <v>10300</v>
      </c>
      <c r="D142" s="48">
        <v>10300</v>
      </c>
      <c r="E142" s="48">
        <v>10300</v>
      </c>
      <c r="F142" s="50">
        <v>0</v>
      </c>
      <c r="G142" s="13">
        <f t="shared" si="8"/>
        <v>0</v>
      </c>
      <c r="H142" s="47">
        <v>0</v>
      </c>
      <c r="I142" s="48">
        <v>0</v>
      </c>
      <c r="J142" s="14">
        <f t="shared" si="9"/>
        <v>0</v>
      </c>
      <c r="K142" s="47">
        <v>0</v>
      </c>
      <c r="L142" s="47">
        <v>0</v>
      </c>
      <c r="M142" s="14">
        <f t="shared" si="7"/>
        <v>0</v>
      </c>
      <c r="N142" s="14">
        <f t="shared" si="7"/>
        <v>0</v>
      </c>
      <c r="O142" s="4">
        <f t="shared" si="7"/>
        <v>0</v>
      </c>
      <c r="P142" s="4"/>
    </row>
    <row r="143" spans="1:16" x14ac:dyDescent="0.4">
      <c r="A143" s="49">
        <v>42221</v>
      </c>
      <c r="B143" s="48">
        <v>10300</v>
      </c>
      <c r="C143" s="48">
        <v>10300</v>
      </c>
      <c r="D143" s="48">
        <v>10300</v>
      </c>
      <c r="E143" s="48">
        <v>10300</v>
      </c>
      <c r="F143" s="50">
        <v>0</v>
      </c>
      <c r="G143" s="13">
        <f t="shared" si="8"/>
        <v>0</v>
      </c>
      <c r="H143" s="47">
        <v>0</v>
      </c>
      <c r="I143" s="48">
        <v>0</v>
      </c>
      <c r="J143" s="14">
        <f t="shared" si="9"/>
        <v>0</v>
      </c>
      <c r="K143" s="47">
        <v>0</v>
      </c>
      <c r="L143" s="47">
        <v>0</v>
      </c>
      <c r="M143" s="14">
        <f t="shared" si="7"/>
        <v>0</v>
      </c>
      <c r="N143" s="14">
        <f t="shared" si="7"/>
        <v>0</v>
      </c>
      <c r="O143" s="4">
        <f t="shared" si="7"/>
        <v>0</v>
      </c>
      <c r="P143" s="4"/>
    </row>
    <row r="144" spans="1:16" x14ac:dyDescent="0.4">
      <c r="A144" s="49">
        <v>42222</v>
      </c>
      <c r="B144" s="48">
        <v>10300</v>
      </c>
      <c r="C144" s="48">
        <v>10300</v>
      </c>
      <c r="D144" s="48">
        <v>10300</v>
      </c>
      <c r="E144" s="48">
        <v>10300</v>
      </c>
      <c r="F144" s="50">
        <v>0</v>
      </c>
      <c r="G144" s="13">
        <f t="shared" si="8"/>
        <v>0</v>
      </c>
      <c r="H144" s="47">
        <v>0</v>
      </c>
      <c r="I144" s="48">
        <v>0</v>
      </c>
      <c r="J144" s="14">
        <f t="shared" si="9"/>
        <v>0</v>
      </c>
      <c r="K144" s="47">
        <v>0</v>
      </c>
      <c r="L144" s="47">
        <v>0</v>
      </c>
      <c r="M144" s="14">
        <f t="shared" si="7"/>
        <v>0</v>
      </c>
      <c r="N144" s="14">
        <f t="shared" si="7"/>
        <v>0</v>
      </c>
      <c r="O144" s="4">
        <f t="shared" si="7"/>
        <v>0</v>
      </c>
      <c r="P144" s="4"/>
    </row>
    <row r="145" spans="1:16" x14ac:dyDescent="0.4">
      <c r="A145" s="49">
        <v>42223</v>
      </c>
      <c r="B145" s="48">
        <v>10300</v>
      </c>
      <c r="C145" s="48">
        <v>10300</v>
      </c>
      <c r="D145" s="48">
        <v>10300</v>
      </c>
      <c r="E145" s="48">
        <v>10300</v>
      </c>
      <c r="F145" s="50">
        <v>0</v>
      </c>
      <c r="G145" s="13">
        <f t="shared" si="8"/>
        <v>0</v>
      </c>
      <c r="H145" s="47">
        <v>0</v>
      </c>
      <c r="I145" s="48">
        <v>0</v>
      </c>
      <c r="J145" s="14">
        <f t="shared" si="9"/>
        <v>0</v>
      </c>
      <c r="K145" s="47">
        <v>0</v>
      </c>
      <c r="L145" s="47">
        <v>0</v>
      </c>
      <c r="M145" s="14">
        <f t="shared" si="7"/>
        <v>0</v>
      </c>
      <c r="N145" s="14">
        <f t="shared" si="7"/>
        <v>0</v>
      </c>
      <c r="O145" s="4">
        <f t="shared" si="7"/>
        <v>0</v>
      </c>
      <c r="P145" s="4"/>
    </row>
    <row r="146" spans="1:16" x14ac:dyDescent="0.4">
      <c r="A146" s="49">
        <v>42226</v>
      </c>
      <c r="B146" s="48">
        <v>10300</v>
      </c>
      <c r="C146" s="48">
        <v>10300</v>
      </c>
      <c r="D146" s="48">
        <v>10300</v>
      </c>
      <c r="E146" s="48">
        <v>10300</v>
      </c>
      <c r="F146" s="50">
        <v>0</v>
      </c>
      <c r="G146" s="13">
        <f t="shared" si="8"/>
        <v>0</v>
      </c>
      <c r="H146" s="47">
        <v>0</v>
      </c>
      <c r="I146" s="48">
        <v>0</v>
      </c>
      <c r="J146" s="14">
        <f t="shared" si="9"/>
        <v>0</v>
      </c>
      <c r="K146" s="47">
        <v>0</v>
      </c>
      <c r="L146" s="47">
        <v>0</v>
      </c>
      <c r="M146" s="14">
        <f t="shared" si="7"/>
        <v>0</v>
      </c>
      <c r="N146" s="14">
        <f t="shared" si="7"/>
        <v>0</v>
      </c>
      <c r="O146" s="4">
        <f t="shared" si="7"/>
        <v>0</v>
      </c>
      <c r="P146" s="4"/>
    </row>
    <row r="147" spans="1:16" x14ac:dyDescent="0.4">
      <c r="A147" s="49">
        <v>42227</v>
      </c>
      <c r="B147" s="48">
        <v>10300</v>
      </c>
      <c r="C147" s="48">
        <v>10300</v>
      </c>
      <c r="D147" s="48">
        <v>10300</v>
      </c>
      <c r="E147" s="48">
        <v>10300</v>
      </c>
      <c r="F147" s="50">
        <v>0</v>
      </c>
      <c r="G147" s="13">
        <f t="shared" si="8"/>
        <v>0</v>
      </c>
      <c r="H147" s="47">
        <v>0</v>
      </c>
      <c r="I147" s="48">
        <v>0</v>
      </c>
      <c r="J147" s="14">
        <f t="shared" si="9"/>
        <v>0</v>
      </c>
      <c r="K147" s="47">
        <v>0</v>
      </c>
      <c r="L147" s="47">
        <v>0</v>
      </c>
      <c r="M147" s="14">
        <f t="shared" si="7"/>
        <v>0</v>
      </c>
      <c r="N147" s="14">
        <f t="shared" si="7"/>
        <v>0</v>
      </c>
      <c r="O147" s="4">
        <f t="shared" si="7"/>
        <v>0</v>
      </c>
      <c r="P147" s="4"/>
    </row>
    <row r="148" spans="1:16" x14ac:dyDescent="0.4">
      <c r="A148" s="49">
        <v>42228</v>
      </c>
      <c r="B148" s="48">
        <v>10300</v>
      </c>
      <c r="C148" s="48">
        <v>10300</v>
      </c>
      <c r="D148" s="48">
        <v>10300</v>
      </c>
      <c r="E148" s="48">
        <v>10300</v>
      </c>
      <c r="F148" s="50">
        <v>0</v>
      </c>
      <c r="G148" s="13">
        <f t="shared" si="8"/>
        <v>0</v>
      </c>
      <c r="H148" s="47">
        <v>0</v>
      </c>
      <c r="I148" s="48">
        <v>0</v>
      </c>
      <c r="J148" s="14">
        <f t="shared" si="9"/>
        <v>0</v>
      </c>
      <c r="K148" s="47">
        <v>0</v>
      </c>
      <c r="L148" s="47">
        <v>0</v>
      </c>
      <c r="M148" s="14">
        <f t="shared" si="7"/>
        <v>0</v>
      </c>
      <c r="N148" s="14">
        <f t="shared" si="7"/>
        <v>0</v>
      </c>
      <c r="O148" s="4">
        <f t="shared" si="7"/>
        <v>0</v>
      </c>
      <c r="P148" s="4"/>
    </row>
    <row r="149" spans="1:16" x14ac:dyDescent="0.4">
      <c r="A149" s="49">
        <v>42229</v>
      </c>
      <c r="B149" s="48">
        <v>10300</v>
      </c>
      <c r="C149" s="48">
        <v>10300</v>
      </c>
      <c r="D149" s="48">
        <v>10300</v>
      </c>
      <c r="E149" s="48">
        <v>10300</v>
      </c>
      <c r="F149" s="50">
        <v>0</v>
      </c>
      <c r="G149" s="13">
        <f t="shared" si="8"/>
        <v>0</v>
      </c>
      <c r="H149" s="47">
        <v>0</v>
      </c>
      <c r="I149" s="48">
        <v>0</v>
      </c>
      <c r="J149" s="14">
        <f t="shared" si="9"/>
        <v>0</v>
      </c>
      <c r="K149" s="47">
        <v>0</v>
      </c>
      <c r="L149" s="47">
        <v>0</v>
      </c>
      <c r="M149" s="14">
        <f t="shared" si="7"/>
        <v>0</v>
      </c>
      <c r="N149" s="14">
        <f t="shared" si="7"/>
        <v>0</v>
      </c>
      <c r="O149" s="4">
        <f t="shared" si="7"/>
        <v>0</v>
      </c>
      <c r="P149" s="4"/>
    </row>
    <row r="150" spans="1:16" x14ac:dyDescent="0.4">
      <c r="A150" s="49">
        <v>42233</v>
      </c>
      <c r="B150" s="48">
        <v>10300</v>
      </c>
      <c r="C150" s="48">
        <v>10300</v>
      </c>
      <c r="D150" s="48">
        <v>10300</v>
      </c>
      <c r="E150" s="48">
        <v>10300</v>
      </c>
      <c r="F150" s="50">
        <v>0</v>
      </c>
      <c r="G150" s="13">
        <f t="shared" si="8"/>
        <v>0</v>
      </c>
      <c r="H150" s="47">
        <v>0</v>
      </c>
      <c r="I150" s="48">
        <v>0</v>
      </c>
      <c r="J150" s="14">
        <f t="shared" si="9"/>
        <v>0</v>
      </c>
      <c r="K150" s="47">
        <v>0</v>
      </c>
      <c r="L150" s="47">
        <v>0</v>
      </c>
      <c r="M150" s="14">
        <f t="shared" si="7"/>
        <v>0</v>
      </c>
      <c r="N150" s="14">
        <f t="shared" si="7"/>
        <v>0</v>
      </c>
      <c r="O150" s="4">
        <f t="shared" si="7"/>
        <v>0</v>
      </c>
      <c r="P150" s="4"/>
    </row>
    <row r="151" spans="1:16" x14ac:dyDescent="0.4">
      <c r="A151" s="49">
        <v>42234</v>
      </c>
      <c r="B151" s="48">
        <v>10300</v>
      </c>
      <c r="C151" s="48">
        <v>10300</v>
      </c>
      <c r="D151" s="48">
        <v>10300</v>
      </c>
      <c r="E151" s="48">
        <v>10300</v>
      </c>
      <c r="F151" s="50">
        <v>0</v>
      </c>
      <c r="G151" s="13">
        <f t="shared" si="8"/>
        <v>0</v>
      </c>
      <c r="H151" s="47">
        <v>0</v>
      </c>
      <c r="I151" s="48">
        <v>0</v>
      </c>
      <c r="J151" s="14">
        <f t="shared" si="9"/>
        <v>0</v>
      </c>
      <c r="K151" s="47">
        <v>0</v>
      </c>
      <c r="L151" s="47">
        <v>0</v>
      </c>
      <c r="M151" s="14">
        <f t="shared" si="7"/>
        <v>0</v>
      </c>
      <c r="N151" s="14">
        <f t="shared" si="7"/>
        <v>0</v>
      </c>
      <c r="O151" s="4">
        <f t="shared" si="7"/>
        <v>0</v>
      </c>
      <c r="P151" s="4"/>
    </row>
    <row r="152" spans="1:16" x14ac:dyDescent="0.4">
      <c r="A152" s="49">
        <v>42235</v>
      </c>
      <c r="B152" s="48">
        <v>10300</v>
      </c>
      <c r="C152" s="48">
        <v>10300</v>
      </c>
      <c r="D152" s="48">
        <v>10300</v>
      </c>
      <c r="E152" s="48">
        <v>10300</v>
      </c>
      <c r="F152" s="50">
        <v>0</v>
      </c>
      <c r="G152" s="13">
        <f t="shared" si="8"/>
        <v>0</v>
      </c>
      <c r="H152" s="47">
        <v>0</v>
      </c>
      <c r="I152" s="48">
        <v>0</v>
      </c>
      <c r="J152" s="14">
        <f t="shared" si="9"/>
        <v>0</v>
      </c>
      <c r="K152" s="47">
        <v>0</v>
      </c>
      <c r="L152" s="47">
        <v>0</v>
      </c>
      <c r="M152" s="14">
        <f t="shared" si="7"/>
        <v>0</v>
      </c>
      <c r="N152" s="14">
        <f t="shared" si="7"/>
        <v>0</v>
      </c>
      <c r="O152" s="4">
        <f t="shared" si="7"/>
        <v>0</v>
      </c>
      <c r="P152" s="4"/>
    </row>
    <row r="153" spans="1:16" x14ac:dyDescent="0.4">
      <c r="A153" s="49">
        <v>42236</v>
      </c>
      <c r="B153" s="48">
        <v>10300</v>
      </c>
      <c r="C153" s="48">
        <v>10300</v>
      </c>
      <c r="D153" s="48">
        <v>10300</v>
      </c>
      <c r="E153" s="48">
        <v>10300</v>
      </c>
      <c r="F153" s="50">
        <v>0</v>
      </c>
      <c r="G153" s="13">
        <f t="shared" si="8"/>
        <v>0</v>
      </c>
      <c r="H153" s="47">
        <v>0</v>
      </c>
      <c r="I153" s="48">
        <v>0</v>
      </c>
      <c r="J153" s="14">
        <f t="shared" si="9"/>
        <v>0</v>
      </c>
      <c r="K153" s="47">
        <v>0</v>
      </c>
      <c r="L153" s="47">
        <v>0</v>
      </c>
      <c r="M153" s="14">
        <f t="shared" si="7"/>
        <v>0</v>
      </c>
      <c r="N153" s="14">
        <f t="shared" si="7"/>
        <v>0</v>
      </c>
      <c r="O153" s="4">
        <f t="shared" si="7"/>
        <v>0</v>
      </c>
      <c r="P153" s="4"/>
    </row>
    <row r="154" spans="1:16" x14ac:dyDescent="0.4">
      <c r="A154" s="49">
        <v>42237</v>
      </c>
      <c r="B154" s="48">
        <v>10300</v>
      </c>
      <c r="C154" s="48">
        <v>10300</v>
      </c>
      <c r="D154" s="48">
        <v>10300</v>
      </c>
      <c r="E154" s="48">
        <v>10300</v>
      </c>
      <c r="F154" s="50">
        <v>0</v>
      </c>
      <c r="G154" s="13">
        <f t="shared" si="8"/>
        <v>0</v>
      </c>
      <c r="H154" s="47">
        <v>0</v>
      </c>
      <c r="I154" s="48">
        <v>0</v>
      </c>
      <c r="J154" s="14">
        <f t="shared" si="9"/>
        <v>0</v>
      </c>
      <c r="K154" s="47">
        <v>0</v>
      </c>
      <c r="L154" s="47">
        <v>0</v>
      </c>
      <c r="M154" s="14">
        <f t="shared" si="7"/>
        <v>0</v>
      </c>
      <c r="N154" s="14">
        <f t="shared" si="7"/>
        <v>0</v>
      </c>
      <c r="O154" s="4">
        <f t="shared" si="7"/>
        <v>0</v>
      </c>
      <c r="P154" s="4"/>
    </row>
    <row r="155" spans="1:16" x14ac:dyDescent="0.4">
      <c r="A155" s="49">
        <v>42240</v>
      </c>
      <c r="B155" s="48">
        <v>10300</v>
      </c>
      <c r="C155" s="48">
        <v>10300</v>
      </c>
      <c r="D155" s="48">
        <v>10300</v>
      </c>
      <c r="E155" s="48">
        <v>10300</v>
      </c>
      <c r="F155" s="50">
        <v>0</v>
      </c>
      <c r="G155" s="13">
        <f t="shared" si="8"/>
        <v>0</v>
      </c>
      <c r="H155" s="47">
        <v>0</v>
      </c>
      <c r="I155" s="48">
        <v>0</v>
      </c>
      <c r="J155" s="14">
        <f t="shared" si="9"/>
        <v>0</v>
      </c>
      <c r="K155" s="47">
        <v>0</v>
      </c>
      <c r="L155" s="47">
        <v>0</v>
      </c>
      <c r="M155" s="14">
        <f t="shared" si="7"/>
        <v>0</v>
      </c>
      <c r="N155" s="14">
        <f t="shared" si="7"/>
        <v>0</v>
      </c>
      <c r="O155" s="4">
        <f t="shared" si="7"/>
        <v>0</v>
      </c>
      <c r="P155" s="4"/>
    </row>
    <row r="156" spans="1:16" x14ac:dyDescent="0.4">
      <c r="A156" s="49">
        <v>42241</v>
      </c>
      <c r="B156" s="48">
        <v>10300</v>
      </c>
      <c r="C156" s="48">
        <v>10300</v>
      </c>
      <c r="D156" s="48">
        <v>10300</v>
      </c>
      <c r="E156" s="48">
        <v>10300</v>
      </c>
      <c r="F156" s="50">
        <v>0</v>
      </c>
      <c r="G156" s="13">
        <f t="shared" si="8"/>
        <v>0</v>
      </c>
      <c r="H156" s="47">
        <v>0</v>
      </c>
      <c r="I156" s="48">
        <v>0</v>
      </c>
      <c r="J156" s="14">
        <f t="shared" si="9"/>
        <v>0</v>
      </c>
      <c r="K156" s="47">
        <v>0</v>
      </c>
      <c r="L156" s="47">
        <v>0</v>
      </c>
      <c r="M156" s="14">
        <f t="shared" si="7"/>
        <v>0</v>
      </c>
      <c r="N156" s="14">
        <f t="shared" si="7"/>
        <v>0</v>
      </c>
      <c r="O156" s="4">
        <f t="shared" si="7"/>
        <v>0</v>
      </c>
      <c r="P156" s="4"/>
    </row>
    <row r="157" spans="1:16" x14ac:dyDescent="0.4">
      <c r="A157" s="49">
        <v>42242</v>
      </c>
      <c r="B157" s="48">
        <v>10300</v>
      </c>
      <c r="C157" s="48">
        <v>10300</v>
      </c>
      <c r="D157" s="48">
        <v>10300</v>
      </c>
      <c r="E157" s="48">
        <v>10300</v>
      </c>
      <c r="F157" s="50">
        <v>0</v>
      </c>
      <c r="G157" s="13">
        <f t="shared" si="8"/>
        <v>0</v>
      </c>
      <c r="H157" s="47">
        <v>0</v>
      </c>
      <c r="I157" s="48">
        <v>0</v>
      </c>
      <c r="J157" s="14">
        <f t="shared" si="9"/>
        <v>0</v>
      </c>
      <c r="K157" s="47">
        <v>0</v>
      </c>
      <c r="L157" s="47">
        <v>0</v>
      </c>
      <c r="M157" s="14">
        <f t="shared" si="7"/>
        <v>0</v>
      </c>
      <c r="N157" s="14">
        <f t="shared" si="7"/>
        <v>0</v>
      </c>
      <c r="O157" s="4">
        <f t="shared" si="7"/>
        <v>0</v>
      </c>
      <c r="P157" s="4"/>
    </row>
    <row r="158" spans="1:16" x14ac:dyDescent="0.4">
      <c r="A158" s="49">
        <v>42243</v>
      </c>
      <c r="B158" s="48">
        <v>10300</v>
      </c>
      <c r="C158" s="48">
        <v>10300</v>
      </c>
      <c r="D158" s="48">
        <v>10300</v>
      </c>
      <c r="E158" s="48">
        <v>10300</v>
      </c>
      <c r="F158" s="50">
        <v>0</v>
      </c>
      <c r="G158" s="13">
        <f t="shared" si="8"/>
        <v>0</v>
      </c>
      <c r="H158" s="47">
        <v>0</v>
      </c>
      <c r="I158" s="48">
        <v>0</v>
      </c>
      <c r="J158" s="14">
        <f t="shared" si="9"/>
        <v>0</v>
      </c>
      <c r="K158" s="47">
        <v>0</v>
      </c>
      <c r="L158" s="47">
        <v>0</v>
      </c>
      <c r="M158" s="14">
        <f t="shared" si="7"/>
        <v>0</v>
      </c>
      <c r="N158" s="14">
        <f t="shared" si="7"/>
        <v>0</v>
      </c>
      <c r="O158" s="4">
        <f t="shared" si="7"/>
        <v>0</v>
      </c>
      <c r="P158" s="4"/>
    </row>
    <row r="159" spans="1:16" x14ac:dyDescent="0.4">
      <c r="A159" s="49">
        <v>42244</v>
      </c>
      <c r="B159" s="48">
        <v>10300</v>
      </c>
      <c r="C159" s="48">
        <v>10300</v>
      </c>
      <c r="D159" s="48">
        <v>10300</v>
      </c>
      <c r="E159" s="48">
        <v>10300</v>
      </c>
      <c r="F159" s="50">
        <v>0</v>
      </c>
      <c r="G159" s="13">
        <f t="shared" si="8"/>
        <v>0</v>
      </c>
      <c r="H159" s="47">
        <v>0</v>
      </c>
      <c r="I159" s="48">
        <v>0</v>
      </c>
      <c r="J159" s="14">
        <f t="shared" si="9"/>
        <v>0</v>
      </c>
      <c r="K159" s="47">
        <v>0</v>
      </c>
      <c r="L159" s="47">
        <v>0</v>
      </c>
      <c r="M159" s="14">
        <f t="shared" si="7"/>
        <v>0</v>
      </c>
      <c r="N159" s="14">
        <f t="shared" si="7"/>
        <v>0</v>
      </c>
      <c r="O159" s="4">
        <f t="shared" si="7"/>
        <v>0</v>
      </c>
      <c r="P159" s="4"/>
    </row>
    <row r="160" spans="1:16" x14ac:dyDescent="0.4">
      <c r="A160" s="49">
        <v>42247</v>
      </c>
      <c r="B160" s="48">
        <v>10300</v>
      </c>
      <c r="C160" s="48">
        <v>10300</v>
      </c>
      <c r="D160" s="48">
        <v>10300</v>
      </c>
      <c r="E160" s="48">
        <v>10300</v>
      </c>
      <c r="F160" s="50">
        <v>0</v>
      </c>
      <c r="G160" s="13">
        <f t="shared" si="8"/>
        <v>0</v>
      </c>
      <c r="H160" s="47">
        <v>0</v>
      </c>
      <c r="I160" s="48">
        <v>0</v>
      </c>
      <c r="J160" s="14">
        <f t="shared" si="9"/>
        <v>0</v>
      </c>
      <c r="K160" s="47">
        <v>0</v>
      </c>
      <c r="L160" s="47">
        <v>0</v>
      </c>
      <c r="M160" s="14">
        <f t="shared" si="7"/>
        <v>0</v>
      </c>
      <c r="N160" s="14">
        <f t="shared" si="7"/>
        <v>0</v>
      </c>
      <c r="O160" s="4">
        <f t="shared" si="7"/>
        <v>0</v>
      </c>
      <c r="P160" s="4"/>
    </row>
    <row r="161" spans="1:16" x14ac:dyDescent="0.4">
      <c r="A161" s="49">
        <v>42248</v>
      </c>
      <c r="B161" s="48">
        <v>10300</v>
      </c>
      <c r="C161" s="48">
        <v>10300</v>
      </c>
      <c r="D161" s="48">
        <v>10300</v>
      </c>
      <c r="E161" s="48">
        <v>10300</v>
      </c>
      <c r="F161" s="50">
        <v>0</v>
      </c>
      <c r="G161" s="13">
        <f t="shared" si="8"/>
        <v>0</v>
      </c>
      <c r="H161" s="47">
        <v>0</v>
      </c>
      <c r="I161" s="48">
        <v>0</v>
      </c>
      <c r="J161" s="14">
        <f t="shared" si="9"/>
        <v>0</v>
      </c>
      <c r="K161" s="47">
        <v>0</v>
      </c>
      <c r="L161" s="47">
        <v>0</v>
      </c>
      <c r="M161" s="14">
        <f t="shared" si="7"/>
        <v>0</v>
      </c>
      <c r="N161" s="14">
        <f t="shared" si="7"/>
        <v>0</v>
      </c>
      <c r="O161" s="4">
        <f t="shared" si="7"/>
        <v>0</v>
      </c>
      <c r="P161" s="4"/>
    </row>
    <row r="162" spans="1:16" x14ac:dyDescent="0.4">
      <c r="A162" s="49">
        <v>42249</v>
      </c>
      <c r="B162" s="48">
        <v>10300</v>
      </c>
      <c r="C162" s="48">
        <v>10300</v>
      </c>
      <c r="D162" s="48">
        <v>10300</v>
      </c>
      <c r="E162" s="48">
        <v>10300</v>
      </c>
      <c r="F162" s="50">
        <v>0</v>
      </c>
      <c r="G162" s="13">
        <f t="shared" si="8"/>
        <v>0</v>
      </c>
      <c r="H162" s="47">
        <v>0</v>
      </c>
      <c r="I162" s="48">
        <v>0</v>
      </c>
      <c r="J162" s="14">
        <f t="shared" si="9"/>
        <v>0</v>
      </c>
      <c r="K162" s="47">
        <v>0</v>
      </c>
      <c r="L162" s="47">
        <v>0</v>
      </c>
      <c r="M162" s="14">
        <f t="shared" si="7"/>
        <v>0</v>
      </c>
      <c r="N162" s="14">
        <f t="shared" si="7"/>
        <v>0</v>
      </c>
      <c r="O162" s="4">
        <f t="shared" si="7"/>
        <v>0</v>
      </c>
      <c r="P162" s="4"/>
    </row>
    <row r="163" spans="1:16" x14ac:dyDescent="0.4">
      <c r="A163" s="49">
        <v>42250</v>
      </c>
      <c r="B163" s="48">
        <v>10300</v>
      </c>
      <c r="C163" s="48">
        <v>10300</v>
      </c>
      <c r="D163" s="48">
        <v>10300</v>
      </c>
      <c r="E163" s="48">
        <v>10300</v>
      </c>
      <c r="F163" s="50">
        <v>0</v>
      </c>
      <c r="G163" s="13">
        <f t="shared" si="8"/>
        <v>0</v>
      </c>
      <c r="H163" s="47">
        <v>0</v>
      </c>
      <c r="I163" s="48">
        <v>0</v>
      </c>
      <c r="J163" s="14">
        <f t="shared" si="9"/>
        <v>0</v>
      </c>
      <c r="K163" s="47">
        <v>0</v>
      </c>
      <c r="L163" s="47">
        <v>0</v>
      </c>
      <c r="M163" s="14">
        <f t="shared" si="7"/>
        <v>0</v>
      </c>
      <c r="N163" s="14">
        <f t="shared" si="7"/>
        <v>0</v>
      </c>
      <c r="O163" s="4">
        <f t="shared" si="7"/>
        <v>0</v>
      </c>
      <c r="P163" s="4"/>
    </row>
    <row r="164" spans="1:16" x14ac:dyDescent="0.4">
      <c r="A164" s="49">
        <v>42251</v>
      </c>
      <c r="B164" s="48">
        <v>10300</v>
      </c>
      <c r="C164" s="48">
        <v>10300</v>
      </c>
      <c r="D164" s="48">
        <v>10300</v>
      </c>
      <c r="E164" s="48">
        <v>10300</v>
      </c>
      <c r="F164" s="50">
        <v>0</v>
      </c>
      <c r="G164" s="13">
        <f t="shared" si="8"/>
        <v>0</v>
      </c>
      <c r="H164" s="47">
        <v>0</v>
      </c>
      <c r="I164" s="48">
        <v>0</v>
      </c>
      <c r="J164" s="14">
        <f t="shared" si="9"/>
        <v>0</v>
      </c>
      <c r="K164" s="47">
        <v>0</v>
      </c>
      <c r="L164" s="47">
        <v>0</v>
      </c>
      <c r="M164" s="14">
        <f t="shared" si="7"/>
        <v>0</v>
      </c>
      <c r="N164" s="14">
        <f t="shared" si="7"/>
        <v>0</v>
      </c>
      <c r="O164" s="4">
        <f t="shared" si="7"/>
        <v>0</v>
      </c>
      <c r="P164" s="4"/>
    </row>
    <row r="165" spans="1:16" x14ac:dyDescent="0.4">
      <c r="A165" s="49">
        <v>42254</v>
      </c>
      <c r="B165" s="48">
        <v>10300</v>
      </c>
      <c r="C165" s="48">
        <v>10300</v>
      </c>
      <c r="D165" s="48">
        <v>10300</v>
      </c>
      <c r="E165" s="48">
        <v>10300</v>
      </c>
      <c r="F165" s="50">
        <v>0</v>
      </c>
      <c r="G165" s="13">
        <f t="shared" si="8"/>
        <v>0</v>
      </c>
      <c r="H165" s="47">
        <v>0</v>
      </c>
      <c r="I165" s="48">
        <v>0</v>
      </c>
      <c r="J165" s="14">
        <f t="shared" si="9"/>
        <v>0</v>
      </c>
      <c r="K165" s="47">
        <v>0</v>
      </c>
      <c r="L165" s="47">
        <v>0</v>
      </c>
      <c r="M165" s="14">
        <f t="shared" si="7"/>
        <v>0</v>
      </c>
      <c r="N165" s="14">
        <f t="shared" si="7"/>
        <v>0</v>
      </c>
      <c r="O165" s="4">
        <f t="shared" si="7"/>
        <v>0</v>
      </c>
      <c r="P165" s="4"/>
    </row>
    <row r="166" spans="1:16" x14ac:dyDescent="0.4">
      <c r="A166" s="49">
        <v>42255</v>
      </c>
      <c r="B166" s="48">
        <v>10300</v>
      </c>
      <c r="C166" s="48">
        <v>10300</v>
      </c>
      <c r="D166" s="48">
        <v>10300</v>
      </c>
      <c r="E166" s="48">
        <v>10300</v>
      </c>
      <c r="F166" s="50">
        <v>0</v>
      </c>
      <c r="G166" s="13">
        <f t="shared" si="8"/>
        <v>0</v>
      </c>
      <c r="H166" s="47">
        <v>0</v>
      </c>
      <c r="I166" s="48">
        <v>0</v>
      </c>
      <c r="J166" s="14">
        <f t="shared" si="9"/>
        <v>0</v>
      </c>
      <c r="K166" s="47">
        <v>0</v>
      </c>
      <c r="L166" s="47">
        <v>0</v>
      </c>
      <c r="M166" s="14">
        <f t="shared" ref="M166:O229" si="10">IFERROR(J166/G166,0)</f>
        <v>0</v>
      </c>
      <c r="N166" s="14">
        <f t="shared" si="10"/>
        <v>0</v>
      </c>
      <c r="O166" s="4">
        <f t="shared" si="10"/>
        <v>0</v>
      </c>
      <c r="P166" s="4"/>
    </row>
    <row r="167" spans="1:16" x14ac:dyDescent="0.4">
      <c r="A167" s="49">
        <v>42256</v>
      </c>
      <c r="B167" s="48">
        <v>10300</v>
      </c>
      <c r="C167" s="48">
        <v>10300</v>
      </c>
      <c r="D167" s="48">
        <v>10300</v>
      </c>
      <c r="E167" s="48">
        <v>10300</v>
      </c>
      <c r="F167" s="50">
        <v>0</v>
      </c>
      <c r="G167" s="13">
        <f t="shared" si="8"/>
        <v>0</v>
      </c>
      <c r="H167" s="47">
        <v>0</v>
      </c>
      <c r="I167" s="48">
        <v>0</v>
      </c>
      <c r="J167" s="14">
        <f t="shared" si="9"/>
        <v>0</v>
      </c>
      <c r="K167" s="47">
        <v>0</v>
      </c>
      <c r="L167" s="47">
        <v>0</v>
      </c>
      <c r="M167" s="14">
        <f t="shared" si="10"/>
        <v>0</v>
      </c>
      <c r="N167" s="14">
        <f t="shared" si="10"/>
        <v>0</v>
      </c>
      <c r="O167" s="4">
        <f t="shared" si="10"/>
        <v>0</v>
      </c>
      <c r="P167" s="4"/>
    </row>
    <row r="168" spans="1:16" x14ac:dyDescent="0.4">
      <c r="A168" s="49">
        <v>42257</v>
      </c>
      <c r="B168" s="48">
        <v>10300</v>
      </c>
      <c r="C168" s="48">
        <v>10300</v>
      </c>
      <c r="D168" s="48">
        <v>10300</v>
      </c>
      <c r="E168" s="48">
        <v>10300</v>
      </c>
      <c r="F168" s="50">
        <v>0</v>
      </c>
      <c r="G168" s="13">
        <f t="shared" si="8"/>
        <v>0</v>
      </c>
      <c r="H168" s="47">
        <v>0</v>
      </c>
      <c r="I168" s="48">
        <v>0</v>
      </c>
      <c r="J168" s="14">
        <f t="shared" si="9"/>
        <v>0</v>
      </c>
      <c r="K168" s="47">
        <v>0</v>
      </c>
      <c r="L168" s="47">
        <v>0</v>
      </c>
      <c r="M168" s="14">
        <f t="shared" si="10"/>
        <v>0</v>
      </c>
      <c r="N168" s="14">
        <f t="shared" si="10"/>
        <v>0</v>
      </c>
      <c r="O168" s="4">
        <f t="shared" si="10"/>
        <v>0</v>
      </c>
      <c r="P168" s="4"/>
    </row>
    <row r="169" spans="1:16" x14ac:dyDescent="0.4">
      <c r="A169" s="49">
        <v>42258</v>
      </c>
      <c r="B169" s="48">
        <v>10300</v>
      </c>
      <c r="C169" s="48">
        <v>10300</v>
      </c>
      <c r="D169" s="48">
        <v>10300</v>
      </c>
      <c r="E169" s="48">
        <v>10300</v>
      </c>
      <c r="F169" s="50">
        <v>0</v>
      </c>
      <c r="G169" s="13">
        <f t="shared" si="8"/>
        <v>0</v>
      </c>
      <c r="H169" s="47">
        <v>0</v>
      </c>
      <c r="I169" s="48">
        <v>0</v>
      </c>
      <c r="J169" s="14">
        <f t="shared" si="9"/>
        <v>0</v>
      </c>
      <c r="K169" s="47">
        <v>0</v>
      </c>
      <c r="L169" s="47">
        <v>0</v>
      </c>
      <c r="M169" s="14">
        <f t="shared" si="10"/>
        <v>0</v>
      </c>
      <c r="N169" s="14">
        <f t="shared" si="10"/>
        <v>0</v>
      </c>
      <c r="O169" s="4">
        <f t="shared" si="10"/>
        <v>0</v>
      </c>
      <c r="P169" s="4"/>
    </row>
    <row r="170" spans="1:16" x14ac:dyDescent="0.4">
      <c r="A170" s="49">
        <v>42261</v>
      </c>
      <c r="B170" s="48">
        <v>10300</v>
      </c>
      <c r="C170" s="48">
        <v>10300</v>
      </c>
      <c r="D170" s="48">
        <v>10300</v>
      </c>
      <c r="E170" s="48">
        <v>10300</v>
      </c>
      <c r="F170" s="50">
        <v>0</v>
      </c>
      <c r="G170" s="13">
        <f t="shared" si="8"/>
        <v>0</v>
      </c>
      <c r="H170" s="47">
        <v>0</v>
      </c>
      <c r="I170" s="48">
        <v>0</v>
      </c>
      <c r="J170" s="14">
        <f t="shared" si="9"/>
        <v>0</v>
      </c>
      <c r="K170" s="47">
        <v>0</v>
      </c>
      <c r="L170" s="47">
        <v>0</v>
      </c>
      <c r="M170" s="14">
        <f t="shared" si="10"/>
        <v>0</v>
      </c>
      <c r="N170" s="14">
        <f t="shared" si="10"/>
        <v>0</v>
      </c>
      <c r="O170" s="4">
        <f t="shared" si="10"/>
        <v>0</v>
      </c>
      <c r="P170" s="4"/>
    </row>
    <row r="171" spans="1:16" x14ac:dyDescent="0.4">
      <c r="A171" s="49">
        <v>42262</v>
      </c>
      <c r="B171" s="48">
        <v>10300</v>
      </c>
      <c r="C171" s="48">
        <v>10300</v>
      </c>
      <c r="D171" s="48">
        <v>10300</v>
      </c>
      <c r="E171" s="48">
        <v>10300</v>
      </c>
      <c r="F171" s="50">
        <v>0</v>
      </c>
      <c r="G171" s="13">
        <f t="shared" si="8"/>
        <v>0</v>
      </c>
      <c r="H171" s="47">
        <v>0</v>
      </c>
      <c r="I171" s="48">
        <v>0</v>
      </c>
      <c r="J171" s="14">
        <f t="shared" si="9"/>
        <v>0</v>
      </c>
      <c r="K171" s="47">
        <v>0</v>
      </c>
      <c r="L171" s="47">
        <v>0</v>
      </c>
      <c r="M171" s="14">
        <f t="shared" si="10"/>
        <v>0</v>
      </c>
      <c r="N171" s="14">
        <f t="shared" si="10"/>
        <v>0</v>
      </c>
      <c r="O171" s="4">
        <f t="shared" si="10"/>
        <v>0</v>
      </c>
      <c r="P171" s="4"/>
    </row>
    <row r="172" spans="1:16" x14ac:dyDescent="0.4">
      <c r="A172" s="49">
        <v>42263</v>
      </c>
      <c r="B172" s="48">
        <v>10300</v>
      </c>
      <c r="C172" s="48">
        <v>10300</v>
      </c>
      <c r="D172" s="48">
        <v>10300</v>
      </c>
      <c r="E172" s="48">
        <v>10300</v>
      </c>
      <c r="F172" s="50">
        <v>0</v>
      </c>
      <c r="G172" s="13">
        <f t="shared" si="8"/>
        <v>0</v>
      </c>
      <c r="H172" s="47">
        <v>0</v>
      </c>
      <c r="I172" s="48">
        <v>0</v>
      </c>
      <c r="J172" s="14">
        <f t="shared" si="9"/>
        <v>0</v>
      </c>
      <c r="K172" s="47">
        <v>0</v>
      </c>
      <c r="L172" s="47">
        <v>0</v>
      </c>
      <c r="M172" s="14">
        <f t="shared" si="10"/>
        <v>0</v>
      </c>
      <c r="N172" s="14">
        <f t="shared" si="10"/>
        <v>0</v>
      </c>
      <c r="O172" s="4">
        <f t="shared" si="10"/>
        <v>0</v>
      </c>
      <c r="P172" s="4"/>
    </row>
    <row r="173" spans="1:16" x14ac:dyDescent="0.4">
      <c r="A173" s="49">
        <v>42264</v>
      </c>
      <c r="B173" s="48">
        <v>10300</v>
      </c>
      <c r="C173" s="48">
        <v>10300</v>
      </c>
      <c r="D173" s="48">
        <v>10300</v>
      </c>
      <c r="E173" s="48">
        <v>10300</v>
      </c>
      <c r="F173" s="50">
        <v>0</v>
      </c>
      <c r="G173" s="13">
        <f t="shared" si="8"/>
        <v>0</v>
      </c>
      <c r="H173" s="47">
        <v>0</v>
      </c>
      <c r="I173" s="48">
        <v>0</v>
      </c>
      <c r="J173" s="14">
        <f t="shared" si="9"/>
        <v>0</v>
      </c>
      <c r="K173" s="47">
        <v>0</v>
      </c>
      <c r="L173" s="47">
        <v>0</v>
      </c>
      <c r="M173" s="14">
        <f t="shared" si="10"/>
        <v>0</v>
      </c>
      <c r="N173" s="14">
        <f t="shared" si="10"/>
        <v>0</v>
      </c>
      <c r="O173" s="4">
        <f t="shared" si="10"/>
        <v>0</v>
      </c>
      <c r="P173" s="4"/>
    </row>
    <row r="174" spans="1:16" x14ac:dyDescent="0.4">
      <c r="A174" s="49">
        <v>42265</v>
      </c>
      <c r="B174" s="48">
        <v>10300</v>
      </c>
      <c r="C174" s="48">
        <v>10300</v>
      </c>
      <c r="D174" s="48">
        <v>10300</v>
      </c>
      <c r="E174" s="48">
        <v>10300</v>
      </c>
      <c r="F174" s="50">
        <v>0</v>
      </c>
      <c r="G174" s="13">
        <f t="shared" si="8"/>
        <v>0</v>
      </c>
      <c r="H174" s="47">
        <v>0</v>
      </c>
      <c r="I174" s="48">
        <v>0</v>
      </c>
      <c r="J174" s="14">
        <f t="shared" si="9"/>
        <v>0</v>
      </c>
      <c r="K174" s="47">
        <v>0</v>
      </c>
      <c r="L174" s="47">
        <v>0</v>
      </c>
      <c r="M174" s="14">
        <f t="shared" si="10"/>
        <v>0</v>
      </c>
      <c r="N174" s="14">
        <f t="shared" si="10"/>
        <v>0</v>
      </c>
      <c r="O174" s="4">
        <f t="shared" si="10"/>
        <v>0</v>
      </c>
      <c r="P174" s="4"/>
    </row>
    <row r="175" spans="1:16" x14ac:dyDescent="0.4">
      <c r="A175" s="49">
        <v>42268</v>
      </c>
      <c r="B175" s="48">
        <v>10300</v>
      </c>
      <c r="C175" s="48">
        <v>10300</v>
      </c>
      <c r="D175" s="48">
        <v>10300</v>
      </c>
      <c r="E175" s="48">
        <v>10300</v>
      </c>
      <c r="F175" s="50">
        <v>0</v>
      </c>
      <c r="G175" s="13">
        <f t="shared" si="8"/>
        <v>0</v>
      </c>
      <c r="H175" s="47">
        <v>0</v>
      </c>
      <c r="I175" s="48">
        <v>0</v>
      </c>
      <c r="J175" s="14">
        <f t="shared" si="9"/>
        <v>0</v>
      </c>
      <c r="K175" s="47">
        <v>0</v>
      </c>
      <c r="L175" s="47">
        <v>0</v>
      </c>
      <c r="M175" s="14">
        <f t="shared" si="10"/>
        <v>0</v>
      </c>
      <c r="N175" s="14">
        <f t="shared" si="10"/>
        <v>0</v>
      </c>
      <c r="O175" s="4">
        <f t="shared" si="10"/>
        <v>0</v>
      </c>
      <c r="P175" s="4"/>
    </row>
    <row r="176" spans="1:16" x14ac:dyDescent="0.4">
      <c r="A176" s="49">
        <v>42269</v>
      </c>
      <c r="B176" s="48">
        <v>10300</v>
      </c>
      <c r="C176" s="48">
        <v>10300</v>
      </c>
      <c r="D176" s="48">
        <v>10300</v>
      </c>
      <c r="E176" s="48">
        <v>10300</v>
      </c>
      <c r="F176" s="50">
        <v>0</v>
      </c>
      <c r="G176" s="13">
        <f t="shared" si="8"/>
        <v>0</v>
      </c>
      <c r="H176" s="47">
        <v>0</v>
      </c>
      <c r="I176" s="48">
        <v>0</v>
      </c>
      <c r="J176" s="14">
        <f t="shared" si="9"/>
        <v>0</v>
      </c>
      <c r="K176" s="47">
        <v>0</v>
      </c>
      <c r="L176" s="47">
        <v>0</v>
      </c>
      <c r="M176" s="14">
        <f t="shared" si="10"/>
        <v>0</v>
      </c>
      <c r="N176" s="14">
        <f t="shared" si="10"/>
        <v>0</v>
      </c>
      <c r="O176" s="4">
        <f t="shared" si="10"/>
        <v>0</v>
      </c>
      <c r="P176" s="4"/>
    </row>
    <row r="177" spans="1:16" x14ac:dyDescent="0.4">
      <c r="A177" s="49">
        <v>42270</v>
      </c>
      <c r="B177" s="48">
        <v>10300</v>
      </c>
      <c r="C177" s="48">
        <v>10300</v>
      </c>
      <c r="D177" s="48">
        <v>10300</v>
      </c>
      <c r="E177" s="48">
        <v>10300</v>
      </c>
      <c r="F177" s="50">
        <v>0</v>
      </c>
      <c r="G177" s="13">
        <f t="shared" si="8"/>
        <v>0</v>
      </c>
      <c r="H177" s="47">
        <v>0</v>
      </c>
      <c r="I177" s="48">
        <v>0</v>
      </c>
      <c r="J177" s="14">
        <f t="shared" si="9"/>
        <v>0</v>
      </c>
      <c r="K177" s="47">
        <v>0</v>
      </c>
      <c r="L177" s="47">
        <v>0</v>
      </c>
      <c r="M177" s="14">
        <f t="shared" si="10"/>
        <v>0</v>
      </c>
      <c r="N177" s="14">
        <f t="shared" si="10"/>
        <v>0</v>
      </c>
      <c r="O177" s="4">
        <f t="shared" si="10"/>
        <v>0</v>
      </c>
      <c r="P177" s="4"/>
    </row>
    <row r="178" spans="1:16" x14ac:dyDescent="0.4">
      <c r="A178" s="49">
        <v>42271</v>
      </c>
      <c r="B178" s="48">
        <v>10300</v>
      </c>
      <c r="C178" s="48">
        <v>10300</v>
      </c>
      <c r="D178" s="48">
        <v>10300</v>
      </c>
      <c r="E178" s="48">
        <v>10300</v>
      </c>
      <c r="F178" s="50">
        <v>0</v>
      </c>
      <c r="G178" s="13">
        <f t="shared" si="8"/>
        <v>0</v>
      </c>
      <c r="H178" s="47">
        <v>0</v>
      </c>
      <c r="I178" s="48">
        <v>0</v>
      </c>
      <c r="J178" s="14">
        <f t="shared" si="9"/>
        <v>0</v>
      </c>
      <c r="K178" s="47">
        <v>0</v>
      </c>
      <c r="L178" s="47">
        <v>0</v>
      </c>
      <c r="M178" s="14">
        <f t="shared" si="10"/>
        <v>0</v>
      </c>
      <c r="N178" s="14">
        <f t="shared" si="10"/>
        <v>0</v>
      </c>
      <c r="O178" s="4">
        <f t="shared" si="10"/>
        <v>0</v>
      </c>
      <c r="P178" s="4"/>
    </row>
    <row r="179" spans="1:16" x14ac:dyDescent="0.4">
      <c r="A179" s="49">
        <v>42272</v>
      </c>
      <c r="B179" s="48">
        <v>10300</v>
      </c>
      <c r="C179" s="48">
        <v>10300</v>
      </c>
      <c r="D179" s="48">
        <v>10300</v>
      </c>
      <c r="E179" s="48">
        <v>10300</v>
      </c>
      <c r="F179" s="50">
        <v>0</v>
      </c>
      <c r="G179" s="13">
        <f t="shared" si="8"/>
        <v>0</v>
      </c>
      <c r="H179" s="47">
        <v>0</v>
      </c>
      <c r="I179" s="48">
        <v>0</v>
      </c>
      <c r="J179" s="14">
        <f t="shared" si="9"/>
        <v>0</v>
      </c>
      <c r="K179" s="47">
        <v>0</v>
      </c>
      <c r="L179" s="47">
        <v>0</v>
      </c>
      <c r="M179" s="14">
        <f t="shared" si="10"/>
        <v>0</v>
      </c>
      <c r="N179" s="14">
        <f t="shared" si="10"/>
        <v>0</v>
      </c>
      <c r="O179" s="4">
        <f t="shared" si="10"/>
        <v>0</v>
      </c>
      <c r="P179" s="4"/>
    </row>
    <row r="180" spans="1:16" x14ac:dyDescent="0.4">
      <c r="A180" s="49">
        <v>42277</v>
      </c>
      <c r="B180" s="48">
        <v>10300</v>
      </c>
      <c r="C180" s="48">
        <v>10300</v>
      </c>
      <c r="D180" s="48">
        <v>10300</v>
      </c>
      <c r="E180" s="48">
        <v>10300</v>
      </c>
      <c r="F180" s="50">
        <v>0</v>
      </c>
      <c r="G180" s="13">
        <f t="shared" si="8"/>
        <v>0</v>
      </c>
      <c r="H180" s="47">
        <v>0</v>
      </c>
      <c r="I180" s="48">
        <v>0</v>
      </c>
      <c r="J180" s="14">
        <f t="shared" si="9"/>
        <v>0</v>
      </c>
      <c r="K180" s="47">
        <v>0</v>
      </c>
      <c r="L180" s="47">
        <v>0</v>
      </c>
      <c r="M180" s="14">
        <f t="shared" si="10"/>
        <v>0</v>
      </c>
      <c r="N180" s="14">
        <f t="shared" si="10"/>
        <v>0</v>
      </c>
      <c r="O180" s="4">
        <f t="shared" si="10"/>
        <v>0</v>
      </c>
      <c r="P180" s="4"/>
    </row>
    <row r="181" spans="1:16" x14ac:dyDescent="0.4">
      <c r="A181" s="49">
        <v>42278</v>
      </c>
      <c r="B181" s="48">
        <v>10300</v>
      </c>
      <c r="C181" s="48">
        <v>10300</v>
      </c>
      <c r="D181" s="48">
        <v>10300</v>
      </c>
      <c r="E181" s="48">
        <v>10300</v>
      </c>
      <c r="F181" s="50">
        <v>0</v>
      </c>
      <c r="G181" s="13">
        <f t="shared" si="8"/>
        <v>0</v>
      </c>
      <c r="H181" s="47">
        <v>0</v>
      </c>
      <c r="I181" s="48">
        <v>0</v>
      </c>
      <c r="J181" s="14">
        <f t="shared" si="9"/>
        <v>0</v>
      </c>
      <c r="K181" s="47">
        <v>0</v>
      </c>
      <c r="L181" s="47">
        <v>0</v>
      </c>
      <c r="M181" s="14">
        <f t="shared" si="10"/>
        <v>0</v>
      </c>
      <c r="N181" s="14">
        <f t="shared" si="10"/>
        <v>0</v>
      </c>
      <c r="O181" s="4">
        <f t="shared" si="10"/>
        <v>0</v>
      </c>
      <c r="P181" s="4"/>
    </row>
    <row r="182" spans="1:16" x14ac:dyDescent="0.4">
      <c r="A182" s="49">
        <v>42279</v>
      </c>
      <c r="B182" s="48">
        <v>10300</v>
      </c>
      <c r="C182" s="48">
        <v>10300</v>
      </c>
      <c r="D182" s="48">
        <v>10300</v>
      </c>
      <c r="E182" s="48">
        <v>10300</v>
      </c>
      <c r="F182" s="50">
        <v>0</v>
      </c>
      <c r="G182" s="13">
        <f t="shared" si="8"/>
        <v>0</v>
      </c>
      <c r="H182" s="47">
        <v>0</v>
      </c>
      <c r="I182" s="48">
        <v>0</v>
      </c>
      <c r="J182" s="14">
        <f t="shared" si="9"/>
        <v>0</v>
      </c>
      <c r="K182" s="47">
        <v>0</v>
      </c>
      <c r="L182" s="47">
        <v>0</v>
      </c>
      <c r="M182" s="14">
        <f t="shared" si="10"/>
        <v>0</v>
      </c>
      <c r="N182" s="14">
        <f t="shared" si="10"/>
        <v>0</v>
      </c>
      <c r="O182" s="4">
        <f t="shared" si="10"/>
        <v>0</v>
      </c>
      <c r="P182" s="4"/>
    </row>
    <row r="183" spans="1:16" x14ac:dyDescent="0.4">
      <c r="A183" s="49">
        <v>42282</v>
      </c>
      <c r="B183" s="48">
        <v>10300</v>
      </c>
      <c r="C183" s="48">
        <v>10300</v>
      </c>
      <c r="D183" s="48">
        <v>10300</v>
      </c>
      <c r="E183" s="48">
        <v>10300</v>
      </c>
      <c r="F183" s="50">
        <v>0</v>
      </c>
      <c r="G183" s="13">
        <f t="shared" si="8"/>
        <v>0</v>
      </c>
      <c r="H183" s="47">
        <v>0</v>
      </c>
      <c r="I183" s="48">
        <v>0</v>
      </c>
      <c r="J183" s="14">
        <f t="shared" si="9"/>
        <v>0</v>
      </c>
      <c r="K183" s="47">
        <v>0</v>
      </c>
      <c r="L183" s="47">
        <v>0</v>
      </c>
      <c r="M183" s="14">
        <f t="shared" si="10"/>
        <v>0</v>
      </c>
      <c r="N183" s="14">
        <f t="shared" si="10"/>
        <v>0</v>
      </c>
      <c r="O183" s="4">
        <f t="shared" si="10"/>
        <v>0</v>
      </c>
      <c r="P183" s="4"/>
    </row>
    <row r="184" spans="1:16" x14ac:dyDescent="0.4">
      <c r="A184" s="49">
        <v>42283</v>
      </c>
      <c r="B184" s="48">
        <v>10300</v>
      </c>
      <c r="C184" s="48">
        <v>10300</v>
      </c>
      <c r="D184" s="48">
        <v>10300</v>
      </c>
      <c r="E184" s="48">
        <v>10300</v>
      </c>
      <c r="F184" s="50">
        <v>0</v>
      </c>
      <c r="G184" s="13">
        <f t="shared" si="8"/>
        <v>0</v>
      </c>
      <c r="H184" s="47">
        <v>0</v>
      </c>
      <c r="I184" s="48">
        <v>0</v>
      </c>
      <c r="J184" s="14">
        <f t="shared" si="9"/>
        <v>0</v>
      </c>
      <c r="K184" s="47">
        <v>0</v>
      </c>
      <c r="L184" s="47">
        <v>0</v>
      </c>
      <c r="M184" s="14">
        <f t="shared" si="10"/>
        <v>0</v>
      </c>
      <c r="N184" s="14">
        <f t="shared" si="10"/>
        <v>0</v>
      </c>
      <c r="O184" s="4">
        <f t="shared" si="10"/>
        <v>0</v>
      </c>
      <c r="P184" s="4"/>
    </row>
    <row r="185" spans="1:16" x14ac:dyDescent="0.4">
      <c r="A185" s="49">
        <v>42284</v>
      </c>
      <c r="B185" s="48">
        <v>11300</v>
      </c>
      <c r="C185" s="48">
        <v>11300</v>
      </c>
      <c r="D185" s="48">
        <v>11300</v>
      </c>
      <c r="E185" s="48">
        <v>11300</v>
      </c>
      <c r="F185" s="50">
        <v>9.7100000000000009</v>
      </c>
      <c r="G185" s="13">
        <f t="shared" si="8"/>
        <v>12000</v>
      </c>
      <c r="H185" s="47">
        <v>0</v>
      </c>
      <c r="I185" s="48">
        <v>12000</v>
      </c>
      <c r="J185" s="14">
        <f t="shared" si="9"/>
        <v>135600000</v>
      </c>
      <c r="K185" s="47">
        <v>0</v>
      </c>
      <c r="L185" s="47">
        <v>135600000</v>
      </c>
      <c r="M185" s="14">
        <f t="shared" si="10"/>
        <v>11300</v>
      </c>
      <c r="N185" s="14">
        <f t="shared" si="10"/>
        <v>0</v>
      </c>
      <c r="O185" s="4">
        <f t="shared" si="10"/>
        <v>11300</v>
      </c>
      <c r="P185" s="52"/>
    </row>
    <row r="186" spans="1:16" x14ac:dyDescent="0.4">
      <c r="A186" s="49">
        <v>42285</v>
      </c>
      <c r="B186" s="48">
        <v>11300</v>
      </c>
      <c r="C186" s="48">
        <v>11300</v>
      </c>
      <c r="D186" s="48">
        <v>11300</v>
      </c>
      <c r="E186" s="48">
        <v>11300</v>
      </c>
      <c r="F186" s="50">
        <v>0</v>
      </c>
      <c r="G186" s="13">
        <f t="shared" si="8"/>
        <v>0</v>
      </c>
      <c r="H186" s="47">
        <v>168000</v>
      </c>
      <c r="I186" s="48">
        <v>168000</v>
      </c>
      <c r="J186" s="14">
        <f t="shared" si="9"/>
        <v>0</v>
      </c>
      <c r="K186" s="13">
        <f>L186</f>
        <v>2024400000</v>
      </c>
      <c r="L186" s="47">
        <v>2024400000</v>
      </c>
      <c r="M186" s="14">
        <f t="shared" si="10"/>
        <v>0</v>
      </c>
      <c r="N186" s="14">
        <f t="shared" si="10"/>
        <v>12050</v>
      </c>
      <c r="O186" s="4">
        <f t="shared" si="10"/>
        <v>12050</v>
      </c>
      <c r="P186" s="52"/>
    </row>
    <row r="187" spans="1:16" x14ac:dyDescent="0.4">
      <c r="A187" s="49">
        <v>42289</v>
      </c>
      <c r="B187" s="48">
        <v>11300</v>
      </c>
      <c r="C187" s="48">
        <v>11300</v>
      </c>
      <c r="D187" s="48">
        <v>11300</v>
      </c>
      <c r="E187" s="48">
        <v>11300</v>
      </c>
      <c r="F187" s="50">
        <v>0</v>
      </c>
      <c r="G187" s="13">
        <f t="shared" si="8"/>
        <v>0</v>
      </c>
      <c r="H187" s="47">
        <v>0</v>
      </c>
      <c r="I187" s="48">
        <v>0</v>
      </c>
      <c r="J187" s="14">
        <f t="shared" si="9"/>
        <v>0</v>
      </c>
      <c r="K187" s="47">
        <v>0</v>
      </c>
      <c r="L187" s="47">
        <v>0</v>
      </c>
      <c r="M187" s="14">
        <f t="shared" si="10"/>
        <v>0</v>
      </c>
      <c r="N187" s="14">
        <f t="shared" si="10"/>
        <v>0</v>
      </c>
      <c r="O187" s="4">
        <f t="shared" si="10"/>
        <v>0</v>
      </c>
      <c r="P187" s="52"/>
    </row>
    <row r="188" spans="1:16" x14ac:dyDescent="0.4">
      <c r="A188" s="49">
        <v>42290</v>
      </c>
      <c r="B188" s="48">
        <v>11300</v>
      </c>
      <c r="C188" s="48">
        <v>11300</v>
      </c>
      <c r="D188" s="48">
        <v>11300</v>
      </c>
      <c r="E188" s="48">
        <v>11300</v>
      </c>
      <c r="F188" s="50">
        <v>0</v>
      </c>
      <c r="G188" s="13">
        <f t="shared" si="8"/>
        <v>0</v>
      </c>
      <c r="H188" s="47">
        <v>0</v>
      </c>
      <c r="I188" s="48">
        <v>0</v>
      </c>
      <c r="J188" s="14">
        <f t="shared" si="9"/>
        <v>0</v>
      </c>
      <c r="K188" s="47">
        <v>0</v>
      </c>
      <c r="L188" s="47">
        <v>0</v>
      </c>
      <c r="M188" s="14">
        <f t="shared" si="10"/>
        <v>0</v>
      </c>
      <c r="N188" s="14">
        <f t="shared" si="10"/>
        <v>0</v>
      </c>
      <c r="O188" s="4">
        <f t="shared" si="10"/>
        <v>0</v>
      </c>
      <c r="P188" s="52"/>
    </row>
    <row r="189" spans="1:16" x14ac:dyDescent="0.4">
      <c r="A189" s="49">
        <v>42291</v>
      </c>
      <c r="B189" s="48">
        <v>11300</v>
      </c>
      <c r="C189" s="48">
        <v>11300</v>
      </c>
      <c r="D189" s="48">
        <v>11300</v>
      </c>
      <c r="E189" s="48">
        <v>11300</v>
      </c>
      <c r="F189" s="50">
        <v>0</v>
      </c>
      <c r="G189" s="13">
        <f t="shared" si="8"/>
        <v>0</v>
      </c>
      <c r="H189" s="47">
        <v>0</v>
      </c>
      <c r="I189" s="48">
        <v>0</v>
      </c>
      <c r="J189" s="14">
        <f t="shared" si="9"/>
        <v>0</v>
      </c>
      <c r="K189" s="47">
        <v>0</v>
      </c>
      <c r="L189" s="47">
        <v>0</v>
      </c>
      <c r="M189" s="14">
        <f t="shared" si="10"/>
        <v>0</v>
      </c>
      <c r="N189" s="14">
        <f t="shared" si="10"/>
        <v>0</v>
      </c>
      <c r="O189" s="4">
        <f t="shared" si="10"/>
        <v>0</v>
      </c>
      <c r="P189" s="53"/>
    </row>
    <row r="190" spans="1:16" x14ac:dyDescent="0.4">
      <c r="A190" s="49">
        <v>42292</v>
      </c>
      <c r="B190" s="48">
        <v>11300</v>
      </c>
      <c r="C190" s="48">
        <v>11300</v>
      </c>
      <c r="D190" s="48">
        <v>11300</v>
      </c>
      <c r="E190" s="48">
        <v>11300</v>
      </c>
      <c r="F190" s="50">
        <v>0</v>
      </c>
      <c r="G190" s="13">
        <f t="shared" si="8"/>
        <v>0</v>
      </c>
      <c r="H190" s="47">
        <v>0</v>
      </c>
      <c r="I190" s="48">
        <v>0</v>
      </c>
      <c r="J190" s="14">
        <f t="shared" si="9"/>
        <v>0</v>
      </c>
      <c r="K190" s="47">
        <v>0</v>
      </c>
      <c r="L190" s="47">
        <v>0</v>
      </c>
      <c r="M190" s="14">
        <f t="shared" si="10"/>
        <v>0</v>
      </c>
      <c r="N190" s="14">
        <f t="shared" si="10"/>
        <v>0</v>
      </c>
      <c r="O190" s="4">
        <f t="shared" si="10"/>
        <v>0</v>
      </c>
      <c r="P190" s="53"/>
    </row>
    <row r="191" spans="1:16" x14ac:dyDescent="0.4">
      <c r="A191" s="49">
        <v>42293</v>
      </c>
      <c r="B191" s="48">
        <v>11300</v>
      </c>
      <c r="C191" s="48">
        <v>11300</v>
      </c>
      <c r="D191" s="48">
        <v>11300</v>
      </c>
      <c r="E191" s="48">
        <v>11300</v>
      </c>
      <c r="F191" s="50">
        <v>0</v>
      </c>
      <c r="G191" s="13">
        <f t="shared" si="8"/>
        <v>0</v>
      </c>
      <c r="H191" s="47">
        <v>0</v>
      </c>
      <c r="I191" s="48">
        <v>0</v>
      </c>
      <c r="J191" s="14">
        <f t="shared" si="9"/>
        <v>0</v>
      </c>
      <c r="K191" s="47">
        <v>0</v>
      </c>
      <c r="L191" s="47">
        <v>0</v>
      </c>
      <c r="M191" s="14">
        <f t="shared" si="10"/>
        <v>0</v>
      </c>
      <c r="N191" s="14">
        <f t="shared" si="10"/>
        <v>0</v>
      </c>
      <c r="O191" s="4">
        <f t="shared" si="10"/>
        <v>0</v>
      </c>
      <c r="P191" s="53"/>
    </row>
    <row r="192" spans="1:16" x14ac:dyDescent="0.4">
      <c r="A192" s="49">
        <v>42296</v>
      </c>
      <c r="B192" s="48">
        <v>11300</v>
      </c>
      <c r="C192" s="48">
        <v>11300</v>
      </c>
      <c r="D192" s="48">
        <v>11300</v>
      </c>
      <c r="E192" s="48">
        <v>11300</v>
      </c>
      <c r="F192" s="50">
        <v>0</v>
      </c>
      <c r="G192" s="13">
        <f t="shared" si="8"/>
        <v>0</v>
      </c>
      <c r="H192" s="47">
        <v>0</v>
      </c>
      <c r="I192" s="48">
        <v>0</v>
      </c>
      <c r="J192" s="14">
        <f>L192-K192</f>
        <v>0</v>
      </c>
      <c r="K192" s="47">
        <v>0</v>
      </c>
      <c r="L192" s="47">
        <v>0</v>
      </c>
      <c r="M192" s="14">
        <f t="shared" si="10"/>
        <v>0</v>
      </c>
      <c r="N192" s="14">
        <f t="shared" si="10"/>
        <v>0</v>
      </c>
      <c r="O192" s="4">
        <f t="shared" si="10"/>
        <v>0</v>
      </c>
      <c r="P192" s="53"/>
    </row>
    <row r="193" spans="1:16" x14ac:dyDescent="0.4">
      <c r="A193" s="49">
        <v>42297</v>
      </c>
      <c r="B193" s="48">
        <v>11300</v>
      </c>
      <c r="C193" s="48">
        <v>11300</v>
      </c>
      <c r="D193" s="48">
        <v>11300</v>
      </c>
      <c r="E193" s="48">
        <v>11300</v>
      </c>
      <c r="F193" s="50">
        <v>0</v>
      </c>
      <c r="G193" s="13">
        <f t="shared" si="8"/>
        <v>0</v>
      </c>
      <c r="H193" s="47">
        <v>0</v>
      </c>
      <c r="I193" s="48">
        <v>0</v>
      </c>
      <c r="J193" s="14">
        <f t="shared" ref="J193:J254" si="11">L193-K193</f>
        <v>0</v>
      </c>
      <c r="K193" s="47">
        <v>0</v>
      </c>
      <c r="L193" s="47">
        <v>0</v>
      </c>
      <c r="M193" s="14">
        <f t="shared" si="10"/>
        <v>0</v>
      </c>
      <c r="N193" s="14">
        <f t="shared" si="10"/>
        <v>0</v>
      </c>
      <c r="O193" s="4">
        <f t="shared" si="10"/>
        <v>0</v>
      </c>
      <c r="P193" s="53"/>
    </row>
    <row r="194" spans="1:16" x14ac:dyDescent="0.4">
      <c r="A194" s="49">
        <v>42298</v>
      </c>
      <c r="B194" s="48">
        <v>11300</v>
      </c>
      <c r="C194" s="48">
        <v>11300</v>
      </c>
      <c r="D194" s="48">
        <v>11300</v>
      </c>
      <c r="E194" s="48">
        <v>11300</v>
      </c>
      <c r="F194" s="50">
        <v>0</v>
      </c>
      <c r="G194" s="13">
        <f t="shared" si="8"/>
        <v>0</v>
      </c>
      <c r="H194" s="47">
        <v>0</v>
      </c>
      <c r="I194" s="48">
        <v>0</v>
      </c>
      <c r="J194" s="14">
        <f t="shared" si="11"/>
        <v>0</v>
      </c>
      <c r="K194" s="47">
        <v>0</v>
      </c>
      <c r="L194" s="47">
        <v>0</v>
      </c>
      <c r="M194" s="14">
        <f t="shared" si="10"/>
        <v>0</v>
      </c>
      <c r="N194" s="14">
        <f t="shared" si="10"/>
        <v>0</v>
      </c>
      <c r="O194" s="4">
        <f t="shared" si="10"/>
        <v>0</v>
      </c>
      <c r="P194" s="4"/>
    </row>
    <row r="195" spans="1:16" x14ac:dyDescent="0.4">
      <c r="A195" s="49">
        <v>42299</v>
      </c>
      <c r="B195" s="48">
        <v>11300</v>
      </c>
      <c r="C195" s="48">
        <v>11300</v>
      </c>
      <c r="D195" s="48">
        <v>11300</v>
      </c>
      <c r="E195" s="48">
        <v>11300</v>
      </c>
      <c r="F195" s="50">
        <v>0</v>
      </c>
      <c r="G195" s="13">
        <f t="shared" ref="G195:G258" si="12">I195-H195</f>
        <v>0</v>
      </c>
      <c r="H195" s="47">
        <v>0</v>
      </c>
      <c r="I195" s="48">
        <v>0</v>
      </c>
      <c r="J195" s="14">
        <f t="shared" si="11"/>
        <v>0</v>
      </c>
      <c r="K195" s="47">
        <v>0</v>
      </c>
      <c r="L195" s="47">
        <v>0</v>
      </c>
      <c r="M195" s="14">
        <f t="shared" si="10"/>
        <v>0</v>
      </c>
      <c r="N195" s="14">
        <f t="shared" si="10"/>
        <v>0</v>
      </c>
      <c r="O195" s="4">
        <f t="shared" si="10"/>
        <v>0</v>
      </c>
      <c r="P195" s="4"/>
    </row>
    <row r="196" spans="1:16" x14ac:dyDescent="0.4">
      <c r="A196" s="49">
        <v>42300</v>
      </c>
      <c r="B196" s="48">
        <v>11300</v>
      </c>
      <c r="C196" s="48">
        <v>11300</v>
      </c>
      <c r="D196" s="48">
        <v>11300</v>
      </c>
      <c r="E196" s="48">
        <v>11300</v>
      </c>
      <c r="F196" s="50">
        <v>0</v>
      </c>
      <c r="G196" s="13">
        <f t="shared" si="12"/>
        <v>0</v>
      </c>
      <c r="H196" s="47">
        <v>0</v>
      </c>
      <c r="I196" s="48">
        <v>0</v>
      </c>
      <c r="J196" s="14">
        <f t="shared" si="11"/>
        <v>0</v>
      </c>
      <c r="K196" s="47">
        <v>0</v>
      </c>
      <c r="L196" s="47">
        <v>0</v>
      </c>
      <c r="M196" s="14">
        <f t="shared" si="10"/>
        <v>0</v>
      </c>
      <c r="N196" s="14">
        <f t="shared" si="10"/>
        <v>0</v>
      </c>
      <c r="O196" s="4">
        <f t="shared" si="10"/>
        <v>0</v>
      </c>
      <c r="P196" s="4"/>
    </row>
    <row r="197" spans="1:16" x14ac:dyDescent="0.4">
      <c r="A197" s="49">
        <v>42303</v>
      </c>
      <c r="B197" s="48">
        <v>11300</v>
      </c>
      <c r="C197" s="48">
        <v>11300</v>
      </c>
      <c r="D197" s="48">
        <v>11300</v>
      </c>
      <c r="E197" s="48">
        <v>11300</v>
      </c>
      <c r="F197" s="50">
        <v>0</v>
      </c>
      <c r="G197" s="13">
        <f t="shared" si="12"/>
        <v>0</v>
      </c>
      <c r="H197" s="47">
        <v>0</v>
      </c>
      <c r="I197" s="48">
        <v>0</v>
      </c>
      <c r="J197" s="14">
        <f t="shared" si="11"/>
        <v>0</v>
      </c>
      <c r="K197" s="47">
        <v>0</v>
      </c>
      <c r="L197" s="47">
        <v>0</v>
      </c>
      <c r="M197" s="14">
        <f t="shared" si="10"/>
        <v>0</v>
      </c>
      <c r="N197" s="14">
        <f t="shared" si="10"/>
        <v>0</v>
      </c>
      <c r="O197" s="4">
        <f t="shared" si="10"/>
        <v>0</v>
      </c>
      <c r="P197" s="4"/>
    </row>
    <row r="198" spans="1:16" x14ac:dyDescent="0.4">
      <c r="A198" s="49">
        <v>42304</v>
      </c>
      <c r="B198" s="48">
        <v>11300</v>
      </c>
      <c r="C198" s="48">
        <v>11300</v>
      </c>
      <c r="D198" s="48">
        <v>11300</v>
      </c>
      <c r="E198" s="48">
        <v>11300</v>
      </c>
      <c r="F198" s="50">
        <v>0</v>
      </c>
      <c r="G198" s="13">
        <f t="shared" si="12"/>
        <v>0</v>
      </c>
      <c r="H198" s="47">
        <v>0</v>
      </c>
      <c r="I198" s="48">
        <v>0</v>
      </c>
      <c r="J198" s="14">
        <f t="shared" si="11"/>
        <v>0</v>
      </c>
      <c r="K198" s="47">
        <v>0</v>
      </c>
      <c r="L198" s="47">
        <v>0</v>
      </c>
      <c r="M198" s="14">
        <f t="shared" si="10"/>
        <v>0</v>
      </c>
      <c r="N198" s="14">
        <f t="shared" si="10"/>
        <v>0</v>
      </c>
      <c r="O198" s="4">
        <f t="shared" si="10"/>
        <v>0</v>
      </c>
      <c r="P198" s="4"/>
    </row>
    <row r="199" spans="1:16" x14ac:dyDescent="0.4">
      <c r="A199" s="49">
        <v>42305</v>
      </c>
      <c r="B199" s="48">
        <v>11300</v>
      </c>
      <c r="C199" s="48">
        <v>11300</v>
      </c>
      <c r="D199" s="48">
        <v>11300</v>
      </c>
      <c r="E199" s="48">
        <v>11300</v>
      </c>
      <c r="F199" s="50">
        <v>0</v>
      </c>
      <c r="G199" s="13">
        <f t="shared" si="12"/>
        <v>0</v>
      </c>
      <c r="H199" s="47">
        <v>0</v>
      </c>
      <c r="I199" s="48">
        <v>0</v>
      </c>
      <c r="J199" s="14">
        <f t="shared" si="11"/>
        <v>0</v>
      </c>
      <c r="K199" s="47">
        <v>0</v>
      </c>
      <c r="L199" s="47">
        <v>0</v>
      </c>
      <c r="M199" s="14">
        <f t="shared" si="10"/>
        <v>0</v>
      </c>
      <c r="N199" s="14">
        <f t="shared" si="10"/>
        <v>0</v>
      </c>
      <c r="O199" s="4">
        <f t="shared" si="10"/>
        <v>0</v>
      </c>
      <c r="P199" s="4"/>
    </row>
    <row r="200" spans="1:16" x14ac:dyDescent="0.4">
      <c r="A200" s="49">
        <v>42306</v>
      </c>
      <c r="B200" s="48">
        <v>11300</v>
      </c>
      <c r="C200" s="48">
        <v>11300</v>
      </c>
      <c r="D200" s="48">
        <v>11300</v>
      </c>
      <c r="E200" s="48">
        <v>11300</v>
      </c>
      <c r="F200" s="50">
        <v>0</v>
      </c>
      <c r="G200" s="13">
        <f t="shared" si="12"/>
        <v>0</v>
      </c>
      <c r="H200" s="47">
        <v>0</v>
      </c>
      <c r="I200" s="48">
        <v>0</v>
      </c>
      <c r="J200" s="14">
        <f t="shared" si="11"/>
        <v>0</v>
      </c>
      <c r="K200" s="47">
        <v>0</v>
      </c>
      <c r="L200" s="47">
        <v>0</v>
      </c>
      <c r="M200" s="14">
        <f t="shared" si="10"/>
        <v>0</v>
      </c>
      <c r="N200" s="14">
        <f t="shared" si="10"/>
        <v>0</v>
      </c>
      <c r="O200" s="4">
        <f t="shared" si="10"/>
        <v>0</v>
      </c>
      <c r="P200" s="4"/>
    </row>
    <row r="201" spans="1:16" x14ac:dyDescent="0.4">
      <c r="A201" s="49">
        <v>42307</v>
      </c>
      <c r="B201" s="48">
        <v>11300</v>
      </c>
      <c r="C201" s="48">
        <v>11300</v>
      </c>
      <c r="D201" s="48">
        <v>11300</v>
      </c>
      <c r="E201" s="48">
        <v>11300</v>
      </c>
      <c r="F201" s="50">
        <v>0</v>
      </c>
      <c r="G201" s="13">
        <f t="shared" si="12"/>
        <v>0</v>
      </c>
      <c r="H201" s="47">
        <v>0</v>
      </c>
      <c r="I201" s="48">
        <v>0</v>
      </c>
      <c r="J201" s="14">
        <f t="shared" si="11"/>
        <v>0</v>
      </c>
      <c r="K201" s="47">
        <v>0</v>
      </c>
      <c r="L201" s="47">
        <v>0</v>
      </c>
      <c r="M201" s="14">
        <f t="shared" si="10"/>
        <v>0</v>
      </c>
      <c r="N201" s="14">
        <f t="shared" si="10"/>
        <v>0</v>
      </c>
      <c r="O201" s="4">
        <f t="shared" si="10"/>
        <v>0</v>
      </c>
      <c r="P201" s="4"/>
    </row>
    <row r="202" spans="1:16" x14ac:dyDescent="0.4">
      <c r="A202" s="49">
        <v>42310</v>
      </c>
      <c r="B202" s="48">
        <v>11300</v>
      </c>
      <c r="C202" s="48">
        <v>11300</v>
      </c>
      <c r="D202" s="48">
        <v>11300</v>
      </c>
      <c r="E202" s="48">
        <v>11300</v>
      </c>
      <c r="F202" s="50">
        <v>0</v>
      </c>
      <c r="G202" s="13">
        <f t="shared" si="12"/>
        <v>0</v>
      </c>
      <c r="H202" s="47">
        <v>0</v>
      </c>
      <c r="I202" s="48">
        <v>0</v>
      </c>
      <c r="J202" s="14">
        <f t="shared" si="11"/>
        <v>0</v>
      </c>
      <c r="K202" s="47">
        <v>0</v>
      </c>
      <c r="L202" s="47">
        <v>0</v>
      </c>
      <c r="M202" s="14">
        <f t="shared" si="10"/>
        <v>0</v>
      </c>
      <c r="N202" s="14">
        <f t="shared" si="10"/>
        <v>0</v>
      </c>
      <c r="O202" s="4">
        <f t="shared" si="10"/>
        <v>0</v>
      </c>
      <c r="P202" s="4"/>
    </row>
    <row r="203" spans="1:16" x14ac:dyDescent="0.4">
      <c r="A203" s="49">
        <v>42311</v>
      </c>
      <c r="B203" s="48">
        <v>11300</v>
      </c>
      <c r="C203" s="48">
        <v>11300</v>
      </c>
      <c r="D203" s="48">
        <v>11300</v>
      </c>
      <c r="E203" s="48">
        <v>11300</v>
      </c>
      <c r="F203" s="50">
        <v>0</v>
      </c>
      <c r="G203" s="13">
        <f t="shared" si="12"/>
        <v>0</v>
      </c>
      <c r="H203" s="47">
        <v>0</v>
      </c>
      <c r="I203" s="48">
        <v>0</v>
      </c>
      <c r="J203" s="14">
        <f t="shared" si="11"/>
        <v>0</v>
      </c>
      <c r="K203" s="47">
        <v>0</v>
      </c>
      <c r="L203" s="47">
        <v>0</v>
      </c>
      <c r="M203" s="14">
        <f t="shared" si="10"/>
        <v>0</v>
      </c>
      <c r="N203" s="14">
        <f t="shared" si="10"/>
        <v>0</v>
      </c>
      <c r="O203" s="4">
        <f t="shared" si="10"/>
        <v>0</v>
      </c>
      <c r="P203" s="4"/>
    </row>
    <row r="204" spans="1:16" x14ac:dyDescent="0.4">
      <c r="A204" s="49">
        <v>42312</v>
      </c>
      <c r="B204" s="48">
        <v>11300</v>
      </c>
      <c r="C204" s="48">
        <v>11300</v>
      </c>
      <c r="D204" s="48">
        <v>11300</v>
      </c>
      <c r="E204" s="48">
        <v>11300</v>
      </c>
      <c r="F204" s="50">
        <v>0</v>
      </c>
      <c r="G204" s="13">
        <f t="shared" si="12"/>
        <v>0</v>
      </c>
      <c r="H204" s="47">
        <v>0</v>
      </c>
      <c r="I204" s="48">
        <v>0</v>
      </c>
      <c r="J204" s="14">
        <f t="shared" si="11"/>
        <v>0</v>
      </c>
      <c r="K204" s="47">
        <v>0</v>
      </c>
      <c r="L204" s="47">
        <v>0</v>
      </c>
      <c r="M204" s="14">
        <f t="shared" si="10"/>
        <v>0</v>
      </c>
      <c r="N204" s="14">
        <f t="shared" si="10"/>
        <v>0</v>
      </c>
      <c r="O204" s="4">
        <f t="shared" si="10"/>
        <v>0</v>
      </c>
      <c r="P204" s="4"/>
    </row>
    <row r="205" spans="1:16" x14ac:dyDescent="0.4">
      <c r="A205" s="49">
        <v>42313</v>
      </c>
      <c r="B205" s="48">
        <v>11300</v>
      </c>
      <c r="C205" s="48">
        <v>11300</v>
      </c>
      <c r="D205" s="48">
        <v>11300</v>
      </c>
      <c r="E205" s="48">
        <v>11300</v>
      </c>
      <c r="F205" s="50">
        <v>0</v>
      </c>
      <c r="G205" s="13">
        <f t="shared" si="12"/>
        <v>0</v>
      </c>
      <c r="H205" s="47">
        <v>0</v>
      </c>
      <c r="I205" s="48">
        <v>0</v>
      </c>
      <c r="J205" s="14">
        <f t="shared" si="11"/>
        <v>0</v>
      </c>
      <c r="K205" s="47">
        <v>0</v>
      </c>
      <c r="L205" s="47">
        <v>0</v>
      </c>
      <c r="M205" s="14">
        <f t="shared" si="10"/>
        <v>0</v>
      </c>
      <c r="N205" s="14">
        <f t="shared" si="10"/>
        <v>0</v>
      </c>
      <c r="O205" s="4">
        <f t="shared" si="10"/>
        <v>0</v>
      </c>
      <c r="P205" s="4"/>
    </row>
    <row r="206" spans="1:16" x14ac:dyDescent="0.4">
      <c r="A206" s="49">
        <v>42314</v>
      </c>
      <c r="B206" s="48">
        <v>11300</v>
      </c>
      <c r="C206" s="48">
        <v>11300</v>
      </c>
      <c r="D206" s="48">
        <v>11300</v>
      </c>
      <c r="E206" s="48">
        <v>11300</v>
      </c>
      <c r="F206" s="50">
        <v>0</v>
      </c>
      <c r="G206" s="13">
        <f t="shared" si="12"/>
        <v>0</v>
      </c>
      <c r="H206" s="47">
        <v>0</v>
      </c>
      <c r="I206" s="48">
        <v>0</v>
      </c>
      <c r="J206" s="14">
        <f t="shared" si="11"/>
        <v>0</v>
      </c>
      <c r="K206" s="47">
        <v>0</v>
      </c>
      <c r="L206" s="47">
        <v>0</v>
      </c>
      <c r="M206" s="14">
        <f t="shared" si="10"/>
        <v>0</v>
      </c>
      <c r="N206" s="14">
        <f t="shared" si="10"/>
        <v>0</v>
      </c>
      <c r="O206" s="4">
        <f t="shared" si="10"/>
        <v>0</v>
      </c>
      <c r="P206" s="4"/>
    </row>
    <row r="207" spans="1:16" x14ac:dyDescent="0.4">
      <c r="A207" s="49">
        <v>42317</v>
      </c>
      <c r="B207" s="48">
        <v>11500</v>
      </c>
      <c r="C207" s="48">
        <v>11500</v>
      </c>
      <c r="D207" s="48">
        <v>11500</v>
      </c>
      <c r="E207" s="48">
        <v>11500</v>
      </c>
      <c r="F207" s="50">
        <v>1.77</v>
      </c>
      <c r="G207" s="13">
        <f t="shared" si="12"/>
        <v>0</v>
      </c>
      <c r="H207" s="47">
        <v>0</v>
      </c>
      <c r="I207" s="48">
        <v>0</v>
      </c>
      <c r="J207" s="14">
        <f t="shared" si="11"/>
        <v>0</v>
      </c>
      <c r="K207" s="47">
        <v>0</v>
      </c>
      <c r="L207" s="47">
        <v>0</v>
      </c>
      <c r="M207" s="14">
        <f t="shared" si="10"/>
        <v>0</v>
      </c>
      <c r="N207" s="14">
        <f t="shared" si="10"/>
        <v>0</v>
      </c>
      <c r="O207" s="4">
        <f t="shared" si="10"/>
        <v>0</v>
      </c>
      <c r="P207" s="4"/>
    </row>
    <row r="208" spans="1:16" x14ac:dyDescent="0.4">
      <c r="A208" s="49">
        <v>42318</v>
      </c>
      <c r="B208" s="48">
        <v>11500</v>
      </c>
      <c r="C208" s="48">
        <v>11500</v>
      </c>
      <c r="D208" s="48">
        <v>11500</v>
      </c>
      <c r="E208" s="48">
        <v>11500</v>
      </c>
      <c r="F208" s="50">
        <v>0</v>
      </c>
      <c r="G208" s="13">
        <f t="shared" si="12"/>
        <v>0</v>
      </c>
      <c r="H208" s="47">
        <v>0</v>
      </c>
      <c r="I208" s="48">
        <v>0</v>
      </c>
      <c r="J208" s="14">
        <f t="shared" si="11"/>
        <v>0</v>
      </c>
      <c r="K208" s="47">
        <v>0</v>
      </c>
      <c r="L208" s="47">
        <v>0</v>
      </c>
      <c r="M208" s="14">
        <f t="shared" si="10"/>
        <v>0</v>
      </c>
      <c r="N208" s="14">
        <f t="shared" si="10"/>
        <v>0</v>
      </c>
      <c r="O208" s="4">
        <f t="shared" si="10"/>
        <v>0</v>
      </c>
      <c r="P208" s="4"/>
    </row>
    <row r="209" spans="1:16" x14ac:dyDescent="0.4">
      <c r="A209" s="49">
        <v>42319</v>
      </c>
      <c r="B209" s="48">
        <v>11500</v>
      </c>
      <c r="C209" s="48">
        <v>11500</v>
      </c>
      <c r="D209" s="48">
        <v>11500</v>
      </c>
      <c r="E209" s="48">
        <v>11500</v>
      </c>
      <c r="F209" s="50">
        <v>0</v>
      </c>
      <c r="G209" s="13">
        <f t="shared" si="12"/>
        <v>0</v>
      </c>
      <c r="H209" s="47">
        <v>0</v>
      </c>
      <c r="I209" s="48">
        <v>0</v>
      </c>
      <c r="J209" s="14">
        <f t="shared" si="11"/>
        <v>0</v>
      </c>
      <c r="K209" s="47">
        <v>0</v>
      </c>
      <c r="L209" s="47">
        <v>0</v>
      </c>
      <c r="M209" s="14">
        <f t="shared" si="10"/>
        <v>0</v>
      </c>
      <c r="N209" s="14">
        <f t="shared" si="10"/>
        <v>0</v>
      </c>
      <c r="O209" s="4">
        <f t="shared" si="10"/>
        <v>0</v>
      </c>
      <c r="P209" s="4"/>
    </row>
    <row r="210" spans="1:16" x14ac:dyDescent="0.4">
      <c r="A210" s="49">
        <v>42320</v>
      </c>
      <c r="B210" s="48">
        <v>11500</v>
      </c>
      <c r="C210" s="48">
        <v>11500</v>
      </c>
      <c r="D210" s="48">
        <v>11500</v>
      </c>
      <c r="E210" s="48">
        <v>11500</v>
      </c>
      <c r="F210" s="50">
        <v>0</v>
      </c>
      <c r="G210" s="13">
        <f t="shared" si="12"/>
        <v>0</v>
      </c>
      <c r="H210" s="47">
        <v>0</v>
      </c>
      <c r="I210" s="48">
        <v>0</v>
      </c>
      <c r="J210" s="14">
        <f t="shared" si="11"/>
        <v>0</v>
      </c>
      <c r="K210" s="47">
        <v>0</v>
      </c>
      <c r="L210" s="47">
        <v>0</v>
      </c>
      <c r="M210" s="14">
        <f t="shared" si="10"/>
        <v>0</v>
      </c>
      <c r="N210" s="14">
        <f t="shared" si="10"/>
        <v>0</v>
      </c>
      <c r="O210" s="4">
        <f t="shared" si="10"/>
        <v>0</v>
      </c>
      <c r="P210" s="4"/>
    </row>
    <row r="211" spans="1:16" x14ac:dyDescent="0.4">
      <c r="A211" s="49">
        <v>42321</v>
      </c>
      <c r="B211" s="48">
        <v>11500</v>
      </c>
      <c r="C211" s="48">
        <v>11500</v>
      </c>
      <c r="D211" s="48">
        <v>11500</v>
      </c>
      <c r="E211" s="48">
        <v>11500</v>
      </c>
      <c r="F211" s="50">
        <v>0</v>
      </c>
      <c r="G211" s="13">
        <f t="shared" si="12"/>
        <v>0</v>
      </c>
      <c r="H211" s="47">
        <v>0</v>
      </c>
      <c r="I211" s="48">
        <v>0</v>
      </c>
      <c r="J211" s="14">
        <f>L211-K211</f>
        <v>0</v>
      </c>
      <c r="K211" s="47">
        <v>0</v>
      </c>
      <c r="L211" s="47">
        <v>0</v>
      </c>
      <c r="M211" s="14">
        <f t="shared" si="10"/>
        <v>0</v>
      </c>
      <c r="N211" s="14">
        <f t="shared" si="10"/>
        <v>0</v>
      </c>
      <c r="O211" s="4">
        <f t="shared" si="10"/>
        <v>0</v>
      </c>
      <c r="P211" s="4"/>
    </row>
    <row r="212" spans="1:16" x14ac:dyDescent="0.4">
      <c r="A212" s="49">
        <v>42324</v>
      </c>
      <c r="B212" s="48">
        <v>11500</v>
      </c>
      <c r="C212" s="48">
        <v>11500</v>
      </c>
      <c r="D212" s="48">
        <v>11500</v>
      </c>
      <c r="E212" s="48">
        <v>11500</v>
      </c>
      <c r="F212" s="50">
        <v>0</v>
      </c>
      <c r="G212" s="13">
        <f t="shared" si="12"/>
        <v>0</v>
      </c>
      <c r="H212" s="47">
        <v>0</v>
      </c>
      <c r="I212" s="48">
        <v>0</v>
      </c>
      <c r="J212" s="14">
        <f t="shared" si="11"/>
        <v>0</v>
      </c>
      <c r="K212" s="47">
        <v>0</v>
      </c>
      <c r="L212" s="47">
        <v>0</v>
      </c>
      <c r="M212" s="14">
        <f t="shared" si="10"/>
        <v>0</v>
      </c>
      <c r="N212" s="14">
        <f t="shared" si="10"/>
        <v>0</v>
      </c>
      <c r="O212" s="4">
        <f t="shared" si="10"/>
        <v>0</v>
      </c>
      <c r="P212" s="4"/>
    </row>
    <row r="213" spans="1:16" x14ac:dyDescent="0.4">
      <c r="A213" s="49">
        <v>42325</v>
      </c>
      <c r="B213" s="48">
        <v>11500</v>
      </c>
      <c r="C213" s="48">
        <v>11500</v>
      </c>
      <c r="D213" s="48">
        <v>11500</v>
      </c>
      <c r="E213" s="48">
        <v>11500</v>
      </c>
      <c r="F213" s="50">
        <v>0</v>
      </c>
      <c r="G213" s="13">
        <f t="shared" si="12"/>
        <v>0</v>
      </c>
      <c r="H213" s="47">
        <v>0</v>
      </c>
      <c r="I213" s="48">
        <v>0</v>
      </c>
      <c r="J213" s="14">
        <f t="shared" si="11"/>
        <v>0</v>
      </c>
      <c r="K213" s="47">
        <v>0</v>
      </c>
      <c r="L213" s="47">
        <v>0</v>
      </c>
      <c r="M213" s="14">
        <f t="shared" si="10"/>
        <v>0</v>
      </c>
      <c r="N213" s="14">
        <f t="shared" si="10"/>
        <v>0</v>
      </c>
      <c r="O213" s="4">
        <f t="shared" si="10"/>
        <v>0</v>
      </c>
      <c r="P213" s="4"/>
    </row>
    <row r="214" spans="1:16" x14ac:dyDescent="0.4">
      <c r="A214" s="49">
        <v>42326</v>
      </c>
      <c r="B214" s="48">
        <v>11500</v>
      </c>
      <c r="C214" s="48">
        <v>11500</v>
      </c>
      <c r="D214" s="48">
        <v>11500</v>
      </c>
      <c r="E214" s="48">
        <v>11500</v>
      </c>
      <c r="F214" s="50">
        <v>0</v>
      </c>
      <c r="G214" s="13">
        <f t="shared" si="12"/>
        <v>0</v>
      </c>
      <c r="H214" s="47">
        <v>0</v>
      </c>
      <c r="I214" s="48">
        <v>0</v>
      </c>
      <c r="J214" s="14">
        <f t="shared" si="11"/>
        <v>0</v>
      </c>
      <c r="K214" s="47">
        <v>0</v>
      </c>
      <c r="L214" s="47">
        <v>0</v>
      </c>
      <c r="M214" s="14">
        <f t="shared" si="10"/>
        <v>0</v>
      </c>
      <c r="N214" s="14">
        <f t="shared" si="10"/>
        <v>0</v>
      </c>
      <c r="O214" s="4">
        <f t="shared" si="10"/>
        <v>0</v>
      </c>
      <c r="P214" s="4"/>
    </row>
    <row r="215" spans="1:16" x14ac:dyDescent="0.4">
      <c r="A215" s="49">
        <v>42327</v>
      </c>
      <c r="B215" s="48">
        <v>11500</v>
      </c>
      <c r="C215" s="48">
        <v>11500</v>
      </c>
      <c r="D215" s="48">
        <v>11500</v>
      </c>
      <c r="E215" s="48">
        <v>11500</v>
      </c>
      <c r="F215" s="50">
        <v>0</v>
      </c>
      <c r="G215" s="13">
        <f t="shared" si="12"/>
        <v>0</v>
      </c>
      <c r="H215" s="47">
        <v>0</v>
      </c>
      <c r="I215" s="48">
        <v>0</v>
      </c>
      <c r="J215" s="14">
        <f t="shared" si="11"/>
        <v>0</v>
      </c>
      <c r="K215" s="47">
        <v>0</v>
      </c>
      <c r="L215" s="47">
        <v>0</v>
      </c>
      <c r="M215" s="14">
        <f t="shared" si="10"/>
        <v>0</v>
      </c>
      <c r="N215" s="14">
        <f t="shared" si="10"/>
        <v>0</v>
      </c>
      <c r="O215" s="4">
        <f t="shared" si="10"/>
        <v>0</v>
      </c>
      <c r="P215" s="4"/>
    </row>
    <row r="216" spans="1:16" x14ac:dyDescent="0.4">
      <c r="A216" s="49">
        <v>42328</v>
      </c>
      <c r="B216" s="48">
        <v>11500</v>
      </c>
      <c r="C216" s="48">
        <v>11500</v>
      </c>
      <c r="D216" s="48">
        <v>11500</v>
      </c>
      <c r="E216" s="48">
        <v>11500</v>
      </c>
      <c r="F216" s="50">
        <v>0</v>
      </c>
      <c r="G216" s="13">
        <f t="shared" si="12"/>
        <v>0</v>
      </c>
      <c r="H216" s="47">
        <v>0</v>
      </c>
      <c r="I216" s="48">
        <v>0</v>
      </c>
      <c r="J216" s="14">
        <f t="shared" si="11"/>
        <v>0</v>
      </c>
      <c r="K216" s="47">
        <v>0</v>
      </c>
      <c r="L216" s="47">
        <v>0</v>
      </c>
      <c r="M216" s="14">
        <f t="shared" si="10"/>
        <v>0</v>
      </c>
      <c r="N216" s="14">
        <f t="shared" si="10"/>
        <v>0</v>
      </c>
      <c r="O216" s="4">
        <f t="shared" si="10"/>
        <v>0</v>
      </c>
      <c r="P216" s="4"/>
    </row>
    <row r="217" spans="1:16" x14ac:dyDescent="0.4">
      <c r="A217" s="49">
        <v>42331</v>
      </c>
      <c r="B217" s="48">
        <v>11500</v>
      </c>
      <c r="C217" s="48">
        <v>11500</v>
      </c>
      <c r="D217" s="48">
        <v>11500</v>
      </c>
      <c r="E217" s="48">
        <v>11500</v>
      </c>
      <c r="F217" s="50">
        <v>0</v>
      </c>
      <c r="G217" s="13">
        <f t="shared" si="12"/>
        <v>0</v>
      </c>
      <c r="H217" s="47">
        <v>0</v>
      </c>
      <c r="I217" s="48">
        <v>0</v>
      </c>
      <c r="J217" s="14">
        <f t="shared" si="11"/>
        <v>0</v>
      </c>
      <c r="K217" s="47">
        <v>0</v>
      </c>
      <c r="L217" s="47">
        <v>0</v>
      </c>
      <c r="M217" s="14">
        <f t="shared" si="10"/>
        <v>0</v>
      </c>
      <c r="N217" s="14">
        <f t="shared" si="10"/>
        <v>0</v>
      </c>
      <c r="O217" s="4">
        <f t="shared" si="10"/>
        <v>0</v>
      </c>
      <c r="P217" s="4"/>
    </row>
    <row r="218" spans="1:16" x14ac:dyDescent="0.4">
      <c r="A218" s="49">
        <v>42332</v>
      </c>
      <c r="B218" s="48">
        <v>11500</v>
      </c>
      <c r="C218" s="48">
        <v>11500</v>
      </c>
      <c r="D218" s="48">
        <v>11500</v>
      </c>
      <c r="E218" s="48">
        <v>11500</v>
      </c>
      <c r="F218" s="50">
        <v>0</v>
      </c>
      <c r="G218" s="13">
        <f t="shared" si="12"/>
        <v>0</v>
      </c>
      <c r="H218" s="47">
        <v>0</v>
      </c>
      <c r="I218" s="48">
        <v>0</v>
      </c>
      <c r="J218" s="14">
        <f t="shared" si="11"/>
        <v>0</v>
      </c>
      <c r="K218" s="47">
        <v>0</v>
      </c>
      <c r="L218" s="47">
        <v>0</v>
      </c>
      <c r="M218" s="14">
        <f t="shared" si="10"/>
        <v>0</v>
      </c>
      <c r="N218" s="14">
        <f t="shared" si="10"/>
        <v>0</v>
      </c>
      <c r="O218" s="4">
        <f t="shared" si="10"/>
        <v>0</v>
      </c>
      <c r="P218" s="4"/>
    </row>
    <row r="219" spans="1:16" x14ac:dyDescent="0.4">
      <c r="A219" s="49">
        <v>42333</v>
      </c>
      <c r="B219" s="48">
        <v>11500</v>
      </c>
      <c r="C219" s="48">
        <v>11500</v>
      </c>
      <c r="D219" s="48">
        <v>11500</v>
      </c>
      <c r="E219" s="48">
        <v>11500</v>
      </c>
      <c r="F219" s="50">
        <v>0</v>
      </c>
      <c r="G219" s="13">
        <f t="shared" si="12"/>
        <v>0</v>
      </c>
      <c r="H219" s="47">
        <v>0</v>
      </c>
      <c r="I219" s="48">
        <v>0</v>
      </c>
      <c r="J219" s="14">
        <f t="shared" si="11"/>
        <v>0</v>
      </c>
      <c r="K219" s="47">
        <v>0</v>
      </c>
      <c r="L219" s="47">
        <v>0</v>
      </c>
      <c r="M219" s="14">
        <f t="shared" si="10"/>
        <v>0</v>
      </c>
      <c r="N219" s="14">
        <f t="shared" si="10"/>
        <v>0</v>
      </c>
      <c r="O219" s="4">
        <f t="shared" si="10"/>
        <v>0</v>
      </c>
      <c r="P219" s="4"/>
    </row>
    <row r="220" spans="1:16" x14ac:dyDescent="0.4">
      <c r="A220" s="49">
        <v>42334</v>
      </c>
      <c r="B220" s="48">
        <v>11500</v>
      </c>
      <c r="C220" s="48">
        <v>11500</v>
      </c>
      <c r="D220" s="48">
        <v>11500</v>
      </c>
      <c r="E220" s="48">
        <v>11500</v>
      </c>
      <c r="F220" s="50">
        <v>0</v>
      </c>
      <c r="G220" s="13">
        <f t="shared" si="12"/>
        <v>0</v>
      </c>
      <c r="H220" s="47">
        <v>0</v>
      </c>
      <c r="I220" s="48">
        <v>0</v>
      </c>
      <c r="J220" s="14">
        <f t="shared" si="11"/>
        <v>0</v>
      </c>
      <c r="K220" s="47">
        <v>0</v>
      </c>
      <c r="L220" s="47">
        <v>0</v>
      </c>
      <c r="M220" s="14">
        <f t="shared" si="10"/>
        <v>0</v>
      </c>
      <c r="N220" s="14">
        <f t="shared" si="10"/>
        <v>0</v>
      </c>
      <c r="O220" s="4">
        <f t="shared" si="10"/>
        <v>0</v>
      </c>
      <c r="P220" s="4"/>
    </row>
    <row r="221" spans="1:16" x14ac:dyDescent="0.4">
      <c r="A221" s="49">
        <v>42335</v>
      </c>
      <c r="B221" s="48">
        <v>11500</v>
      </c>
      <c r="C221" s="48">
        <v>11500</v>
      </c>
      <c r="D221" s="48">
        <v>11500</v>
      </c>
      <c r="E221" s="48">
        <v>11500</v>
      </c>
      <c r="F221" s="50">
        <v>0</v>
      </c>
      <c r="G221" s="13">
        <f t="shared" si="12"/>
        <v>0</v>
      </c>
      <c r="H221" s="47">
        <v>0</v>
      </c>
      <c r="I221" s="48">
        <v>0</v>
      </c>
      <c r="J221" s="14">
        <f t="shared" si="11"/>
        <v>0</v>
      </c>
      <c r="K221" s="47">
        <v>0</v>
      </c>
      <c r="L221" s="47">
        <v>0</v>
      </c>
      <c r="M221" s="14">
        <f t="shared" si="10"/>
        <v>0</v>
      </c>
      <c r="N221" s="14">
        <f t="shared" si="10"/>
        <v>0</v>
      </c>
      <c r="O221" s="4">
        <f t="shared" si="10"/>
        <v>0</v>
      </c>
      <c r="P221" s="4"/>
    </row>
    <row r="222" spans="1:16" x14ac:dyDescent="0.4">
      <c r="A222" s="49">
        <v>42338</v>
      </c>
      <c r="B222" s="48">
        <v>11500</v>
      </c>
      <c r="C222" s="48">
        <v>11500</v>
      </c>
      <c r="D222" s="48">
        <v>11500</v>
      </c>
      <c r="E222" s="48">
        <v>11500</v>
      </c>
      <c r="F222" s="50">
        <v>0</v>
      </c>
      <c r="G222" s="13">
        <f t="shared" si="12"/>
        <v>0</v>
      </c>
      <c r="H222" s="47">
        <v>0</v>
      </c>
      <c r="I222" s="48">
        <v>0</v>
      </c>
      <c r="J222" s="14">
        <f t="shared" si="11"/>
        <v>0</v>
      </c>
      <c r="K222" s="47">
        <v>0</v>
      </c>
      <c r="L222" s="47">
        <v>0</v>
      </c>
      <c r="M222" s="14">
        <f t="shared" si="10"/>
        <v>0</v>
      </c>
      <c r="N222" s="14">
        <f t="shared" si="10"/>
        <v>0</v>
      </c>
      <c r="O222" s="4">
        <f t="shared" si="10"/>
        <v>0</v>
      </c>
      <c r="P222" s="4"/>
    </row>
    <row r="223" spans="1:16" x14ac:dyDescent="0.4">
      <c r="A223" s="49">
        <v>42339</v>
      </c>
      <c r="B223" s="48">
        <v>11500</v>
      </c>
      <c r="C223" s="48">
        <v>11500</v>
      </c>
      <c r="D223" s="48">
        <v>11500</v>
      </c>
      <c r="E223" s="48">
        <v>11500</v>
      </c>
      <c r="F223" s="50">
        <v>0</v>
      </c>
      <c r="G223" s="13">
        <f t="shared" si="12"/>
        <v>0</v>
      </c>
      <c r="H223" s="47">
        <v>0</v>
      </c>
      <c r="I223" s="48">
        <v>0</v>
      </c>
      <c r="J223" s="14">
        <f t="shared" si="11"/>
        <v>0</v>
      </c>
      <c r="K223" s="47">
        <v>0</v>
      </c>
      <c r="L223" s="47">
        <v>0</v>
      </c>
      <c r="M223" s="14">
        <f t="shared" si="10"/>
        <v>0</v>
      </c>
      <c r="N223" s="14">
        <f t="shared" si="10"/>
        <v>0</v>
      </c>
      <c r="O223" s="4">
        <f t="shared" si="10"/>
        <v>0</v>
      </c>
      <c r="P223" s="4"/>
    </row>
    <row r="224" spans="1:16" x14ac:dyDescent="0.4">
      <c r="A224" s="49">
        <v>42340</v>
      </c>
      <c r="B224" s="48">
        <v>11500</v>
      </c>
      <c r="C224" s="48">
        <v>11500</v>
      </c>
      <c r="D224" s="48">
        <v>11500</v>
      </c>
      <c r="E224" s="48">
        <v>11500</v>
      </c>
      <c r="F224" s="50">
        <v>0</v>
      </c>
      <c r="G224" s="13">
        <f t="shared" si="12"/>
        <v>0</v>
      </c>
      <c r="H224" s="47">
        <v>0</v>
      </c>
      <c r="I224" s="48">
        <v>0</v>
      </c>
      <c r="J224" s="14">
        <f t="shared" si="11"/>
        <v>0</v>
      </c>
      <c r="K224" s="47">
        <v>0</v>
      </c>
      <c r="L224" s="47">
        <v>0</v>
      </c>
      <c r="M224" s="14">
        <f t="shared" si="10"/>
        <v>0</v>
      </c>
      <c r="N224" s="14">
        <f t="shared" si="10"/>
        <v>0</v>
      </c>
      <c r="O224" s="4">
        <f t="shared" si="10"/>
        <v>0</v>
      </c>
      <c r="P224" s="4"/>
    </row>
    <row r="225" spans="1:16" x14ac:dyDescent="0.4">
      <c r="A225" s="49">
        <v>42341</v>
      </c>
      <c r="B225" s="48">
        <v>11500</v>
      </c>
      <c r="C225" s="48">
        <v>11500</v>
      </c>
      <c r="D225" s="48">
        <v>11500</v>
      </c>
      <c r="E225" s="48">
        <v>11500</v>
      </c>
      <c r="F225" s="50">
        <v>0</v>
      </c>
      <c r="G225" s="13">
        <f t="shared" si="12"/>
        <v>0</v>
      </c>
      <c r="H225" s="47">
        <v>0</v>
      </c>
      <c r="I225" s="48">
        <v>0</v>
      </c>
      <c r="J225" s="14">
        <f t="shared" si="11"/>
        <v>0</v>
      </c>
      <c r="K225" s="47">
        <v>0</v>
      </c>
      <c r="L225" s="47">
        <v>0</v>
      </c>
      <c r="M225" s="14">
        <f t="shared" si="10"/>
        <v>0</v>
      </c>
      <c r="N225" s="14">
        <f t="shared" si="10"/>
        <v>0</v>
      </c>
      <c r="O225" s="4">
        <f t="shared" si="10"/>
        <v>0</v>
      </c>
      <c r="P225" s="4"/>
    </row>
    <row r="226" spans="1:16" x14ac:dyDescent="0.4">
      <c r="A226" s="49">
        <v>42342</v>
      </c>
      <c r="B226" s="48">
        <v>11500</v>
      </c>
      <c r="C226" s="48">
        <v>11500</v>
      </c>
      <c r="D226" s="48">
        <v>11500</v>
      </c>
      <c r="E226" s="48">
        <v>11500</v>
      </c>
      <c r="F226" s="50">
        <v>0</v>
      </c>
      <c r="G226" s="13">
        <f t="shared" si="12"/>
        <v>0</v>
      </c>
      <c r="H226" s="47">
        <v>0</v>
      </c>
      <c r="I226" s="48">
        <v>0</v>
      </c>
      <c r="J226" s="14">
        <f t="shared" si="11"/>
        <v>0</v>
      </c>
      <c r="K226" s="47">
        <v>0</v>
      </c>
      <c r="L226" s="47">
        <v>0</v>
      </c>
      <c r="M226" s="14">
        <f t="shared" si="10"/>
        <v>0</v>
      </c>
      <c r="N226" s="14">
        <f t="shared" si="10"/>
        <v>0</v>
      </c>
      <c r="O226" s="4">
        <f t="shared" si="10"/>
        <v>0</v>
      </c>
      <c r="P226" s="4"/>
    </row>
    <row r="227" spans="1:16" x14ac:dyDescent="0.4">
      <c r="A227" s="49">
        <v>42345</v>
      </c>
      <c r="B227" s="48">
        <v>11600</v>
      </c>
      <c r="C227" s="48">
        <v>11600</v>
      </c>
      <c r="D227" s="48">
        <v>11600</v>
      </c>
      <c r="E227" s="48">
        <v>11600</v>
      </c>
      <c r="F227" s="50">
        <v>0.87</v>
      </c>
      <c r="G227" s="13">
        <f t="shared" si="12"/>
        <v>0</v>
      </c>
      <c r="H227" s="47">
        <v>0</v>
      </c>
      <c r="I227" s="48">
        <v>0</v>
      </c>
      <c r="J227" s="14">
        <f t="shared" si="11"/>
        <v>0</v>
      </c>
      <c r="K227" s="47">
        <v>0</v>
      </c>
      <c r="L227" s="47">
        <v>0</v>
      </c>
      <c r="M227" s="14">
        <f t="shared" si="10"/>
        <v>0</v>
      </c>
      <c r="N227" s="14">
        <f t="shared" si="10"/>
        <v>0</v>
      </c>
      <c r="O227" s="4">
        <f t="shared" si="10"/>
        <v>0</v>
      </c>
      <c r="P227" s="4"/>
    </row>
    <row r="228" spans="1:16" x14ac:dyDescent="0.4">
      <c r="A228" s="49">
        <v>42346</v>
      </c>
      <c r="B228" s="48">
        <v>11600</v>
      </c>
      <c r="C228" s="48">
        <v>11600</v>
      </c>
      <c r="D228" s="48">
        <v>11600</v>
      </c>
      <c r="E228" s="48">
        <v>11600</v>
      </c>
      <c r="F228" s="50">
        <v>0</v>
      </c>
      <c r="G228" s="13">
        <f t="shared" si="12"/>
        <v>0</v>
      </c>
      <c r="H228" s="47">
        <v>0</v>
      </c>
      <c r="I228" s="48">
        <v>0</v>
      </c>
      <c r="J228" s="14">
        <f>L228-K228</f>
        <v>0</v>
      </c>
      <c r="K228" s="47">
        <v>0</v>
      </c>
      <c r="L228" s="47">
        <v>0</v>
      </c>
      <c r="M228" s="14">
        <f t="shared" si="10"/>
        <v>0</v>
      </c>
      <c r="N228" s="14">
        <f t="shared" si="10"/>
        <v>0</v>
      </c>
      <c r="O228" s="4">
        <f t="shared" si="10"/>
        <v>0</v>
      </c>
      <c r="P228" s="4"/>
    </row>
    <row r="229" spans="1:16" x14ac:dyDescent="0.4">
      <c r="A229" s="49">
        <v>42347</v>
      </c>
      <c r="B229" s="48">
        <v>11600</v>
      </c>
      <c r="C229" s="48">
        <v>11600</v>
      </c>
      <c r="D229" s="48">
        <v>11600</v>
      </c>
      <c r="E229" s="48">
        <v>11600</v>
      </c>
      <c r="F229" s="50">
        <v>0</v>
      </c>
      <c r="G229" s="13">
        <f t="shared" si="12"/>
        <v>0</v>
      </c>
      <c r="H229" s="47">
        <v>100000</v>
      </c>
      <c r="I229" s="48">
        <v>100000</v>
      </c>
      <c r="J229" s="14">
        <f t="shared" si="11"/>
        <v>0</v>
      </c>
      <c r="K229" s="13">
        <f>L229</f>
        <v>1210000000</v>
      </c>
      <c r="L229" s="47">
        <v>1210000000</v>
      </c>
      <c r="M229" s="14">
        <f t="shared" si="10"/>
        <v>0</v>
      </c>
      <c r="N229" s="14">
        <f t="shared" si="10"/>
        <v>12100</v>
      </c>
      <c r="O229" s="4">
        <f t="shared" si="10"/>
        <v>12100</v>
      </c>
      <c r="P229" s="4"/>
    </row>
    <row r="230" spans="1:16" x14ac:dyDescent="0.4">
      <c r="A230" s="49">
        <v>42348</v>
      </c>
      <c r="B230" s="48">
        <v>11600</v>
      </c>
      <c r="C230" s="48">
        <v>11600</v>
      </c>
      <c r="D230" s="48">
        <v>11600</v>
      </c>
      <c r="E230" s="48">
        <v>11600</v>
      </c>
      <c r="F230" s="50">
        <v>0</v>
      </c>
      <c r="G230" s="13">
        <f t="shared" si="12"/>
        <v>0</v>
      </c>
      <c r="H230" s="47">
        <v>40000</v>
      </c>
      <c r="I230" s="48">
        <v>40000</v>
      </c>
      <c r="J230" s="14">
        <f t="shared" si="11"/>
        <v>0</v>
      </c>
      <c r="K230" s="13">
        <f>L230</f>
        <v>484000000</v>
      </c>
      <c r="L230" s="47">
        <v>484000000</v>
      </c>
      <c r="M230" s="14">
        <f t="shared" ref="M230:O290" si="13">IFERROR(J230/G230,0)</f>
        <v>0</v>
      </c>
      <c r="N230" s="14">
        <f t="shared" si="13"/>
        <v>12100</v>
      </c>
      <c r="O230" s="4">
        <f t="shared" si="13"/>
        <v>12100</v>
      </c>
      <c r="P230" s="4"/>
    </row>
    <row r="231" spans="1:16" x14ac:dyDescent="0.4">
      <c r="A231" s="49">
        <v>42349</v>
      </c>
      <c r="B231" s="48">
        <v>11600</v>
      </c>
      <c r="C231" s="48">
        <v>11600</v>
      </c>
      <c r="D231" s="48">
        <v>11600</v>
      </c>
      <c r="E231" s="48">
        <v>11600</v>
      </c>
      <c r="F231" s="50">
        <v>0</v>
      </c>
      <c r="G231" s="13">
        <f t="shared" si="12"/>
        <v>0</v>
      </c>
      <c r="H231" s="47">
        <v>0</v>
      </c>
      <c r="I231" s="48">
        <v>0</v>
      </c>
      <c r="J231" s="14">
        <f t="shared" si="11"/>
        <v>0</v>
      </c>
      <c r="K231" s="47">
        <v>0</v>
      </c>
      <c r="L231" s="47">
        <v>0</v>
      </c>
      <c r="M231" s="14">
        <f t="shared" si="13"/>
        <v>0</v>
      </c>
      <c r="N231" s="14">
        <f t="shared" si="13"/>
        <v>0</v>
      </c>
      <c r="O231" s="4">
        <f t="shared" si="13"/>
        <v>0</v>
      </c>
      <c r="P231" s="4"/>
    </row>
    <row r="232" spans="1:16" x14ac:dyDescent="0.4">
      <c r="A232" s="49">
        <v>42352</v>
      </c>
      <c r="B232" s="48">
        <v>11600</v>
      </c>
      <c r="C232" s="48">
        <v>11600</v>
      </c>
      <c r="D232" s="48">
        <v>11600</v>
      </c>
      <c r="E232" s="48">
        <v>11600</v>
      </c>
      <c r="F232" s="50">
        <v>0</v>
      </c>
      <c r="G232" s="13">
        <f t="shared" si="12"/>
        <v>0</v>
      </c>
      <c r="H232" s="47">
        <v>0</v>
      </c>
      <c r="I232" s="48">
        <v>0</v>
      </c>
      <c r="J232" s="14">
        <f t="shared" si="11"/>
        <v>0</v>
      </c>
      <c r="K232" s="47">
        <v>0</v>
      </c>
      <c r="L232" s="47">
        <v>0</v>
      </c>
      <c r="M232" s="14">
        <f t="shared" si="13"/>
        <v>0</v>
      </c>
      <c r="N232" s="14">
        <f t="shared" si="13"/>
        <v>0</v>
      </c>
      <c r="O232" s="4">
        <f t="shared" si="13"/>
        <v>0</v>
      </c>
      <c r="P232" s="4"/>
    </row>
    <row r="233" spans="1:16" x14ac:dyDescent="0.4">
      <c r="A233" s="49">
        <v>42353</v>
      </c>
      <c r="B233" s="48">
        <v>11600</v>
      </c>
      <c r="C233" s="48">
        <v>11600</v>
      </c>
      <c r="D233" s="48">
        <v>11600</v>
      </c>
      <c r="E233" s="48">
        <v>11600</v>
      </c>
      <c r="F233" s="50">
        <v>0</v>
      </c>
      <c r="G233" s="13">
        <f t="shared" si="12"/>
        <v>0</v>
      </c>
      <c r="H233" s="47">
        <v>0</v>
      </c>
      <c r="I233" s="48">
        <v>0</v>
      </c>
      <c r="J233" s="14">
        <f t="shared" si="11"/>
        <v>0</v>
      </c>
      <c r="K233" s="47">
        <v>0</v>
      </c>
      <c r="L233" s="47">
        <v>0</v>
      </c>
      <c r="M233" s="14">
        <f t="shared" si="13"/>
        <v>0</v>
      </c>
      <c r="N233" s="14">
        <f t="shared" si="13"/>
        <v>0</v>
      </c>
      <c r="O233" s="4">
        <f t="shared" si="13"/>
        <v>0</v>
      </c>
      <c r="P233" s="4"/>
    </row>
    <row r="234" spans="1:16" x14ac:dyDescent="0.4">
      <c r="A234" s="49">
        <v>42354</v>
      </c>
      <c r="B234" s="48">
        <v>11600</v>
      </c>
      <c r="C234" s="48">
        <v>11600</v>
      </c>
      <c r="D234" s="48">
        <v>11600</v>
      </c>
      <c r="E234" s="48">
        <v>11600</v>
      </c>
      <c r="F234" s="50">
        <v>0</v>
      </c>
      <c r="G234" s="13">
        <f t="shared" si="12"/>
        <v>0</v>
      </c>
      <c r="H234" s="47">
        <v>0</v>
      </c>
      <c r="I234" s="48">
        <v>0</v>
      </c>
      <c r="J234" s="14">
        <f t="shared" si="11"/>
        <v>0</v>
      </c>
      <c r="K234" s="47">
        <v>0</v>
      </c>
      <c r="L234" s="47">
        <v>0</v>
      </c>
      <c r="M234" s="14">
        <f t="shared" si="13"/>
        <v>0</v>
      </c>
      <c r="N234" s="14">
        <f t="shared" si="13"/>
        <v>0</v>
      </c>
      <c r="O234" s="4">
        <f t="shared" si="13"/>
        <v>0</v>
      </c>
      <c r="P234" s="4"/>
    </row>
    <row r="235" spans="1:16" x14ac:dyDescent="0.4">
      <c r="A235" s="49">
        <v>42355</v>
      </c>
      <c r="B235" s="48">
        <v>11600</v>
      </c>
      <c r="C235" s="48">
        <v>11600</v>
      </c>
      <c r="D235" s="48">
        <v>11600</v>
      </c>
      <c r="E235" s="48">
        <v>11600</v>
      </c>
      <c r="F235" s="50">
        <v>0</v>
      </c>
      <c r="G235" s="13">
        <f t="shared" si="12"/>
        <v>0</v>
      </c>
      <c r="H235" s="47">
        <v>0</v>
      </c>
      <c r="I235" s="48">
        <v>0</v>
      </c>
      <c r="J235" s="14">
        <f t="shared" si="11"/>
        <v>0</v>
      </c>
      <c r="K235" s="47">
        <v>0</v>
      </c>
      <c r="L235" s="47">
        <v>0</v>
      </c>
      <c r="M235" s="14">
        <f t="shared" si="13"/>
        <v>0</v>
      </c>
      <c r="N235" s="14">
        <f t="shared" si="13"/>
        <v>0</v>
      </c>
      <c r="O235" s="4">
        <f t="shared" si="13"/>
        <v>0</v>
      </c>
      <c r="P235" s="4"/>
    </row>
    <row r="236" spans="1:16" x14ac:dyDescent="0.4">
      <c r="A236" s="49">
        <v>42356</v>
      </c>
      <c r="B236" s="48">
        <v>11600</v>
      </c>
      <c r="C236" s="48">
        <v>11600</v>
      </c>
      <c r="D236" s="48">
        <v>11600</v>
      </c>
      <c r="E236" s="48">
        <v>11600</v>
      </c>
      <c r="F236" s="50">
        <v>0</v>
      </c>
      <c r="G236" s="13">
        <f t="shared" si="12"/>
        <v>0</v>
      </c>
      <c r="H236" s="47">
        <v>0</v>
      </c>
      <c r="I236" s="48">
        <v>0</v>
      </c>
      <c r="J236" s="14">
        <f t="shared" si="11"/>
        <v>0</v>
      </c>
      <c r="K236" s="47">
        <v>0</v>
      </c>
      <c r="L236" s="47">
        <v>0</v>
      </c>
      <c r="M236" s="14">
        <f t="shared" si="13"/>
        <v>0</v>
      </c>
      <c r="N236" s="14">
        <f t="shared" si="13"/>
        <v>0</v>
      </c>
      <c r="O236" s="4">
        <f t="shared" si="13"/>
        <v>0</v>
      </c>
      <c r="P236" s="4"/>
    </row>
    <row r="237" spans="1:16" x14ac:dyDescent="0.4">
      <c r="A237" s="49">
        <v>42359</v>
      </c>
      <c r="B237" s="48">
        <v>11700</v>
      </c>
      <c r="C237" s="48">
        <v>11700</v>
      </c>
      <c r="D237" s="48">
        <v>11700</v>
      </c>
      <c r="E237" s="48">
        <v>11700</v>
      </c>
      <c r="F237" s="50">
        <v>0.86</v>
      </c>
      <c r="G237" s="13">
        <f t="shared" si="12"/>
        <v>0</v>
      </c>
      <c r="H237" s="47">
        <v>0</v>
      </c>
      <c r="I237" s="48">
        <v>0</v>
      </c>
      <c r="J237" s="14">
        <f t="shared" si="11"/>
        <v>0</v>
      </c>
      <c r="K237" s="47">
        <v>0</v>
      </c>
      <c r="L237" s="47">
        <v>0</v>
      </c>
      <c r="M237" s="14">
        <f t="shared" si="13"/>
        <v>0</v>
      </c>
      <c r="N237" s="14">
        <f t="shared" si="13"/>
        <v>0</v>
      </c>
      <c r="O237" s="4">
        <f t="shared" si="13"/>
        <v>0</v>
      </c>
      <c r="P237" s="4"/>
    </row>
    <row r="238" spans="1:16" x14ac:dyDescent="0.4">
      <c r="A238" s="49">
        <v>42360</v>
      </c>
      <c r="B238" s="48">
        <v>11700</v>
      </c>
      <c r="C238" s="48">
        <v>11700</v>
      </c>
      <c r="D238" s="48">
        <v>11700</v>
      </c>
      <c r="E238" s="48">
        <v>11700</v>
      </c>
      <c r="F238" s="50">
        <v>0</v>
      </c>
      <c r="G238" s="13">
        <f t="shared" si="12"/>
        <v>0</v>
      </c>
      <c r="H238" s="47">
        <v>0</v>
      </c>
      <c r="I238" s="48">
        <v>0</v>
      </c>
      <c r="J238" s="14">
        <f t="shared" si="11"/>
        <v>0</v>
      </c>
      <c r="K238" s="47">
        <v>0</v>
      </c>
      <c r="L238" s="47">
        <v>0</v>
      </c>
      <c r="M238" s="14">
        <f t="shared" si="13"/>
        <v>0</v>
      </c>
      <c r="N238" s="14">
        <f t="shared" si="13"/>
        <v>0</v>
      </c>
      <c r="O238" s="4">
        <f t="shared" si="13"/>
        <v>0</v>
      </c>
      <c r="P238" s="4"/>
    </row>
    <row r="239" spans="1:16" x14ac:dyDescent="0.4">
      <c r="A239" s="49">
        <v>42361</v>
      </c>
      <c r="B239" s="48">
        <v>12000</v>
      </c>
      <c r="C239" s="48">
        <v>12000</v>
      </c>
      <c r="D239" s="48">
        <v>12000</v>
      </c>
      <c r="E239" s="48">
        <v>12000</v>
      </c>
      <c r="F239" s="50">
        <v>2.56</v>
      </c>
      <c r="G239" s="13">
        <f t="shared" si="12"/>
        <v>0</v>
      </c>
      <c r="H239" s="47">
        <v>0</v>
      </c>
      <c r="I239" s="48">
        <v>0</v>
      </c>
      <c r="J239" s="14">
        <f t="shared" si="11"/>
        <v>0</v>
      </c>
      <c r="K239" s="47">
        <v>0</v>
      </c>
      <c r="L239" s="47">
        <v>0</v>
      </c>
      <c r="M239" s="14">
        <f t="shared" si="13"/>
        <v>0</v>
      </c>
      <c r="N239" s="14">
        <f t="shared" si="13"/>
        <v>0</v>
      </c>
      <c r="O239" s="4">
        <f t="shared" si="13"/>
        <v>0</v>
      </c>
      <c r="P239" s="4"/>
    </row>
    <row r="240" spans="1:16" x14ac:dyDescent="0.4">
      <c r="A240" s="49">
        <v>42362</v>
      </c>
      <c r="B240" s="48">
        <v>12000</v>
      </c>
      <c r="C240" s="48">
        <v>12000</v>
      </c>
      <c r="D240" s="48">
        <v>12000</v>
      </c>
      <c r="E240" s="48">
        <v>12000</v>
      </c>
      <c r="F240" s="50">
        <v>0</v>
      </c>
      <c r="G240" s="13">
        <f t="shared" si="12"/>
        <v>0</v>
      </c>
      <c r="H240" s="47">
        <v>0</v>
      </c>
      <c r="I240" s="48">
        <v>0</v>
      </c>
      <c r="J240" s="14">
        <f t="shared" si="11"/>
        <v>0</v>
      </c>
      <c r="K240" s="47">
        <v>0</v>
      </c>
      <c r="L240" s="47">
        <v>0</v>
      </c>
      <c r="M240" s="14">
        <f t="shared" si="13"/>
        <v>0</v>
      </c>
      <c r="N240" s="14">
        <f t="shared" si="13"/>
        <v>0</v>
      </c>
      <c r="O240" s="4">
        <f t="shared" si="13"/>
        <v>0</v>
      </c>
      <c r="P240" s="4"/>
    </row>
    <row r="241" spans="1:16" x14ac:dyDescent="0.4">
      <c r="A241" s="49">
        <v>42366</v>
      </c>
      <c r="B241" s="48">
        <v>12000</v>
      </c>
      <c r="C241" s="48">
        <v>12000</v>
      </c>
      <c r="D241" s="48">
        <v>12000</v>
      </c>
      <c r="E241" s="48">
        <v>12000</v>
      </c>
      <c r="F241" s="50">
        <v>0</v>
      </c>
      <c r="G241" s="13">
        <f t="shared" si="12"/>
        <v>0</v>
      </c>
      <c r="H241" s="47">
        <v>0</v>
      </c>
      <c r="I241" s="48">
        <v>0</v>
      </c>
      <c r="J241" s="14">
        <f t="shared" si="11"/>
        <v>0</v>
      </c>
      <c r="K241" s="47">
        <v>0</v>
      </c>
      <c r="L241" s="47">
        <v>0</v>
      </c>
      <c r="M241" s="14">
        <f t="shared" si="13"/>
        <v>0</v>
      </c>
      <c r="N241" s="14">
        <f t="shared" si="13"/>
        <v>0</v>
      </c>
      <c r="O241" s="4">
        <f t="shared" si="13"/>
        <v>0</v>
      </c>
      <c r="P241" s="4"/>
    </row>
    <row r="242" spans="1:16" x14ac:dyDescent="0.4">
      <c r="A242" s="49">
        <v>42367</v>
      </c>
      <c r="B242" s="48">
        <v>12000</v>
      </c>
      <c r="C242" s="48">
        <v>12000</v>
      </c>
      <c r="D242" s="48">
        <v>12000</v>
      </c>
      <c r="E242" s="48">
        <v>12000</v>
      </c>
      <c r="F242" s="50">
        <v>0</v>
      </c>
      <c r="G242" s="13">
        <f t="shared" si="12"/>
        <v>0</v>
      </c>
      <c r="H242" s="47">
        <v>0</v>
      </c>
      <c r="I242" s="48">
        <v>0</v>
      </c>
      <c r="J242" s="14">
        <f t="shared" si="11"/>
        <v>0</v>
      </c>
      <c r="K242" s="47">
        <v>0</v>
      </c>
      <c r="L242" s="47">
        <v>0</v>
      </c>
      <c r="M242" s="14">
        <f t="shared" si="13"/>
        <v>0</v>
      </c>
      <c r="N242" s="14">
        <f t="shared" si="13"/>
        <v>0</v>
      </c>
      <c r="O242" s="4">
        <f t="shared" si="13"/>
        <v>0</v>
      </c>
      <c r="P242" s="4"/>
    </row>
    <row r="243" spans="1:16" x14ac:dyDescent="0.4">
      <c r="A243" s="49">
        <v>42368</v>
      </c>
      <c r="B243" s="48">
        <v>12000</v>
      </c>
      <c r="C243" s="48">
        <v>12000</v>
      </c>
      <c r="D243" s="48">
        <v>12000</v>
      </c>
      <c r="E243" s="48">
        <v>12000</v>
      </c>
      <c r="F243" s="50">
        <v>0</v>
      </c>
      <c r="G243" s="13">
        <f t="shared" si="12"/>
        <v>0</v>
      </c>
      <c r="H243" s="47">
        <v>0</v>
      </c>
      <c r="I243" s="48">
        <v>0</v>
      </c>
      <c r="J243" s="14">
        <f t="shared" si="11"/>
        <v>0</v>
      </c>
      <c r="K243" s="47">
        <v>0</v>
      </c>
      <c r="L243" s="47">
        <v>0</v>
      </c>
      <c r="M243" s="14">
        <f t="shared" si="13"/>
        <v>0</v>
      </c>
      <c r="N243" s="14">
        <f t="shared" si="13"/>
        <v>0</v>
      </c>
      <c r="O243" s="4">
        <f t="shared" si="13"/>
        <v>0</v>
      </c>
      <c r="P243" s="4"/>
    </row>
    <row r="244" spans="1:16" x14ac:dyDescent="0.4">
      <c r="A244" s="49">
        <v>42373</v>
      </c>
      <c r="B244" s="48">
        <v>12000</v>
      </c>
      <c r="C244" s="48">
        <v>12000</v>
      </c>
      <c r="D244" s="48">
        <v>12000</v>
      </c>
      <c r="E244" s="48">
        <v>12000</v>
      </c>
      <c r="F244" s="50">
        <v>0</v>
      </c>
      <c r="G244" s="13">
        <f t="shared" si="12"/>
        <v>0</v>
      </c>
      <c r="H244" s="47">
        <v>0</v>
      </c>
      <c r="I244" s="48">
        <v>0</v>
      </c>
      <c r="J244" s="14">
        <f t="shared" si="11"/>
        <v>0</v>
      </c>
      <c r="K244" s="47">
        <v>0</v>
      </c>
      <c r="L244" s="47">
        <v>0</v>
      </c>
      <c r="M244" s="14">
        <f t="shared" si="13"/>
        <v>0</v>
      </c>
      <c r="N244" s="14">
        <f t="shared" si="13"/>
        <v>0</v>
      </c>
      <c r="O244" s="4">
        <f t="shared" si="13"/>
        <v>0</v>
      </c>
      <c r="P244" s="4"/>
    </row>
    <row r="245" spans="1:16" x14ac:dyDescent="0.4">
      <c r="A245" s="49">
        <v>42374</v>
      </c>
      <c r="B245" s="48">
        <v>12000</v>
      </c>
      <c r="C245" s="48">
        <v>12000</v>
      </c>
      <c r="D245" s="48">
        <v>12000</v>
      </c>
      <c r="E245" s="48">
        <v>12000</v>
      </c>
      <c r="F245" s="50">
        <v>0</v>
      </c>
      <c r="G245" s="13">
        <f t="shared" si="12"/>
        <v>0</v>
      </c>
      <c r="H245" s="47">
        <v>0</v>
      </c>
      <c r="I245" s="48">
        <v>0</v>
      </c>
      <c r="J245" s="14">
        <f t="shared" si="11"/>
        <v>0</v>
      </c>
      <c r="K245" s="47">
        <v>0</v>
      </c>
      <c r="L245" s="47">
        <v>0</v>
      </c>
      <c r="M245" s="14">
        <f t="shared" si="13"/>
        <v>0</v>
      </c>
      <c r="N245" s="14">
        <f t="shared" si="13"/>
        <v>0</v>
      </c>
      <c r="O245" s="4">
        <f t="shared" si="13"/>
        <v>0</v>
      </c>
      <c r="P245" s="4"/>
    </row>
    <row r="246" spans="1:16" x14ac:dyDescent="0.4">
      <c r="A246" s="49">
        <v>42375</v>
      </c>
      <c r="B246" s="48">
        <v>12000</v>
      </c>
      <c r="C246" s="48">
        <v>12000</v>
      </c>
      <c r="D246" s="48">
        <v>12000</v>
      </c>
      <c r="E246" s="48">
        <v>12000</v>
      </c>
      <c r="F246" s="50">
        <v>0</v>
      </c>
      <c r="G246" s="13">
        <f t="shared" si="12"/>
        <v>0</v>
      </c>
      <c r="H246" s="47">
        <v>0</v>
      </c>
      <c r="I246" s="48">
        <v>0</v>
      </c>
      <c r="J246" s="14">
        <f t="shared" si="11"/>
        <v>0</v>
      </c>
      <c r="K246" s="47">
        <v>0</v>
      </c>
      <c r="L246" s="47">
        <v>0</v>
      </c>
      <c r="M246" s="14">
        <f t="shared" si="13"/>
        <v>0</v>
      </c>
      <c r="N246" s="14">
        <f t="shared" si="13"/>
        <v>0</v>
      </c>
      <c r="O246" s="4">
        <f t="shared" si="13"/>
        <v>0</v>
      </c>
      <c r="P246" s="4"/>
    </row>
    <row r="247" spans="1:16" x14ac:dyDescent="0.4">
      <c r="A247" s="49">
        <v>42376</v>
      </c>
      <c r="B247" s="48">
        <v>12000</v>
      </c>
      <c r="C247" s="48">
        <v>12000</v>
      </c>
      <c r="D247" s="48">
        <v>12000</v>
      </c>
      <c r="E247" s="48">
        <v>12000</v>
      </c>
      <c r="F247" s="50">
        <v>0</v>
      </c>
      <c r="G247" s="13">
        <f t="shared" si="12"/>
        <v>0</v>
      </c>
      <c r="H247" s="47">
        <v>0</v>
      </c>
      <c r="I247" s="48">
        <v>0</v>
      </c>
      <c r="J247" s="14">
        <f>L247-K247</f>
        <v>0</v>
      </c>
      <c r="K247" s="47">
        <v>0</v>
      </c>
      <c r="L247" s="47">
        <v>0</v>
      </c>
      <c r="M247" s="14">
        <f t="shared" si="13"/>
        <v>0</v>
      </c>
      <c r="N247" s="14">
        <f t="shared" si="13"/>
        <v>0</v>
      </c>
      <c r="O247" s="4">
        <f t="shared" si="13"/>
        <v>0</v>
      </c>
      <c r="P247" s="4"/>
    </row>
    <row r="248" spans="1:16" x14ac:dyDescent="0.4">
      <c r="A248" s="49">
        <v>42377</v>
      </c>
      <c r="B248" s="48">
        <v>12000</v>
      </c>
      <c r="C248" s="48">
        <v>12000</v>
      </c>
      <c r="D248" s="48">
        <v>12000</v>
      </c>
      <c r="E248" s="48">
        <v>12000</v>
      </c>
      <c r="F248" s="50">
        <v>0</v>
      </c>
      <c r="G248" s="13">
        <f t="shared" si="12"/>
        <v>0</v>
      </c>
      <c r="H248" s="47">
        <v>0</v>
      </c>
      <c r="I248" s="48">
        <v>0</v>
      </c>
      <c r="J248" s="14">
        <f t="shared" si="11"/>
        <v>0</v>
      </c>
      <c r="K248" s="47">
        <v>0</v>
      </c>
      <c r="L248" s="47">
        <v>0</v>
      </c>
      <c r="M248" s="14">
        <f t="shared" si="13"/>
        <v>0</v>
      </c>
      <c r="N248" s="14">
        <f t="shared" si="13"/>
        <v>0</v>
      </c>
      <c r="O248" s="4">
        <f t="shared" si="13"/>
        <v>0</v>
      </c>
      <c r="P248" s="4"/>
    </row>
    <row r="249" spans="1:16" x14ac:dyDescent="0.4">
      <c r="A249" s="49">
        <v>42380</v>
      </c>
      <c r="B249" s="48">
        <v>12000</v>
      </c>
      <c r="C249" s="48">
        <v>12000</v>
      </c>
      <c r="D249" s="48">
        <v>12000</v>
      </c>
      <c r="E249" s="48">
        <v>12000</v>
      </c>
      <c r="F249" s="50">
        <v>0</v>
      </c>
      <c r="G249" s="13">
        <f t="shared" si="12"/>
        <v>0</v>
      </c>
      <c r="H249" s="47">
        <v>0</v>
      </c>
      <c r="I249" s="48">
        <v>0</v>
      </c>
      <c r="J249" s="14">
        <f t="shared" si="11"/>
        <v>0</v>
      </c>
      <c r="K249" s="47">
        <v>0</v>
      </c>
      <c r="L249" s="47">
        <v>0</v>
      </c>
      <c r="M249" s="14">
        <f t="shared" si="13"/>
        <v>0</v>
      </c>
      <c r="N249" s="14">
        <f t="shared" si="13"/>
        <v>0</v>
      </c>
      <c r="O249" s="4">
        <f t="shared" si="13"/>
        <v>0</v>
      </c>
      <c r="P249" s="4"/>
    </row>
    <row r="250" spans="1:16" x14ac:dyDescent="0.4">
      <c r="A250" s="49">
        <v>42381</v>
      </c>
      <c r="B250" s="48">
        <v>12000</v>
      </c>
      <c r="C250" s="48">
        <v>12000</v>
      </c>
      <c r="D250" s="48">
        <v>12000</v>
      </c>
      <c r="E250" s="48">
        <v>12000</v>
      </c>
      <c r="F250" s="50">
        <v>0</v>
      </c>
      <c r="G250" s="13">
        <f t="shared" si="12"/>
        <v>0</v>
      </c>
      <c r="H250" s="47">
        <v>0</v>
      </c>
      <c r="I250" s="48">
        <v>0</v>
      </c>
      <c r="J250" s="14">
        <f t="shared" si="11"/>
        <v>0</v>
      </c>
      <c r="K250" s="47">
        <v>0</v>
      </c>
      <c r="L250" s="47">
        <v>0</v>
      </c>
      <c r="M250" s="14">
        <f t="shared" si="13"/>
        <v>0</v>
      </c>
      <c r="N250" s="14">
        <f t="shared" si="13"/>
        <v>0</v>
      </c>
      <c r="O250" s="4">
        <f t="shared" si="13"/>
        <v>0</v>
      </c>
      <c r="P250" s="4"/>
    </row>
    <row r="251" spans="1:16" x14ac:dyDescent="0.4">
      <c r="A251" s="49">
        <v>42382</v>
      </c>
      <c r="B251" s="48">
        <v>12000</v>
      </c>
      <c r="C251" s="48">
        <v>12000</v>
      </c>
      <c r="D251" s="48">
        <v>12000</v>
      </c>
      <c r="E251" s="48">
        <v>12000</v>
      </c>
      <c r="F251" s="50">
        <v>0</v>
      </c>
      <c r="G251" s="13">
        <f t="shared" si="12"/>
        <v>0</v>
      </c>
      <c r="H251" s="47">
        <v>0</v>
      </c>
      <c r="I251" s="48">
        <v>0</v>
      </c>
      <c r="J251" s="14">
        <f t="shared" si="11"/>
        <v>0</v>
      </c>
      <c r="K251" s="47">
        <v>0</v>
      </c>
      <c r="L251" s="47">
        <v>0</v>
      </c>
      <c r="M251" s="14">
        <f t="shared" si="13"/>
        <v>0</v>
      </c>
      <c r="N251" s="14">
        <f t="shared" si="13"/>
        <v>0</v>
      </c>
      <c r="O251" s="4">
        <f t="shared" si="13"/>
        <v>0</v>
      </c>
      <c r="P251" s="4"/>
    </row>
    <row r="252" spans="1:16" x14ac:dyDescent="0.4">
      <c r="A252" s="49">
        <v>42383</v>
      </c>
      <c r="B252" s="48">
        <v>12000</v>
      </c>
      <c r="C252" s="48">
        <v>12000</v>
      </c>
      <c r="D252" s="48">
        <v>12000</v>
      </c>
      <c r="E252" s="48">
        <v>12000</v>
      </c>
      <c r="F252" s="50">
        <v>0</v>
      </c>
      <c r="G252" s="13">
        <f t="shared" si="12"/>
        <v>0</v>
      </c>
      <c r="H252" s="47">
        <v>0</v>
      </c>
      <c r="I252" s="48">
        <v>0</v>
      </c>
      <c r="J252" s="14">
        <f t="shared" si="11"/>
        <v>0</v>
      </c>
      <c r="K252" s="47">
        <v>0</v>
      </c>
      <c r="L252" s="47">
        <v>0</v>
      </c>
      <c r="M252" s="14">
        <f t="shared" si="13"/>
        <v>0</v>
      </c>
      <c r="N252" s="14">
        <f t="shared" si="13"/>
        <v>0</v>
      </c>
      <c r="O252" s="4">
        <f t="shared" si="13"/>
        <v>0</v>
      </c>
      <c r="P252" s="4"/>
    </row>
    <row r="253" spans="1:16" x14ac:dyDescent="0.4">
      <c r="A253" s="49">
        <v>42384</v>
      </c>
      <c r="B253" s="48">
        <v>12600</v>
      </c>
      <c r="C253" s="48">
        <v>12600</v>
      </c>
      <c r="D253" s="48">
        <v>12600</v>
      </c>
      <c r="E253" s="48">
        <v>12600</v>
      </c>
      <c r="F253" s="50">
        <v>5</v>
      </c>
      <c r="G253" s="13">
        <f t="shared" si="12"/>
        <v>100</v>
      </c>
      <c r="H253" s="47">
        <v>0</v>
      </c>
      <c r="I253" s="48">
        <v>100</v>
      </c>
      <c r="J253" s="14">
        <f t="shared" si="11"/>
        <v>1260000</v>
      </c>
      <c r="K253" s="47">
        <v>0</v>
      </c>
      <c r="L253" s="47">
        <v>1260000</v>
      </c>
      <c r="M253" s="14">
        <f t="shared" si="13"/>
        <v>12600</v>
      </c>
      <c r="N253" s="14">
        <f t="shared" si="13"/>
        <v>0</v>
      </c>
      <c r="O253" s="4">
        <f t="shared" si="13"/>
        <v>12600</v>
      </c>
      <c r="P253" s="4"/>
    </row>
    <row r="254" spans="1:16" x14ac:dyDescent="0.4">
      <c r="A254" s="49">
        <v>42387</v>
      </c>
      <c r="B254" s="48">
        <v>12600</v>
      </c>
      <c r="C254" s="48">
        <v>12600</v>
      </c>
      <c r="D254" s="48">
        <v>12600</v>
      </c>
      <c r="E254" s="48">
        <v>12600</v>
      </c>
      <c r="F254" s="50">
        <v>0</v>
      </c>
      <c r="G254" s="13">
        <f t="shared" si="12"/>
        <v>0</v>
      </c>
      <c r="H254" s="47">
        <v>0</v>
      </c>
      <c r="I254" s="48">
        <v>0</v>
      </c>
      <c r="J254" s="14">
        <f t="shared" si="11"/>
        <v>0</v>
      </c>
      <c r="K254" s="47">
        <v>0</v>
      </c>
      <c r="L254" s="47">
        <v>0</v>
      </c>
      <c r="M254" s="14">
        <f t="shared" si="13"/>
        <v>0</v>
      </c>
      <c r="N254" s="14">
        <f t="shared" si="13"/>
        <v>0</v>
      </c>
      <c r="O254" s="4">
        <f t="shared" si="13"/>
        <v>0</v>
      </c>
      <c r="P254" s="4"/>
    </row>
    <row r="255" spans="1:16" x14ac:dyDescent="0.4">
      <c r="A255" s="49">
        <v>42388</v>
      </c>
      <c r="B255" s="48">
        <v>12600</v>
      </c>
      <c r="C255" s="48">
        <v>12600</v>
      </c>
      <c r="D255" s="48">
        <v>12600</v>
      </c>
      <c r="E255" s="48">
        <v>12600</v>
      </c>
      <c r="F255" s="50">
        <v>0</v>
      </c>
      <c r="G255" s="13">
        <f t="shared" si="12"/>
        <v>0</v>
      </c>
      <c r="H255" s="47">
        <v>0</v>
      </c>
      <c r="I255" s="48">
        <v>0</v>
      </c>
      <c r="J255" s="14">
        <f>L255-K255</f>
        <v>0</v>
      </c>
      <c r="K255" s="47">
        <v>0</v>
      </c>
      <c r="L255" s="47">
        <v>0</v>
      </c>
      <c r="M255" s="14">
        <f t="shared" si="13"/>
        <v>0</v>
      </c>
      <c r="N255" s="14">
        <f t="shared" si="13"/>
        <v>0</v>
      </c>
      <c r="O255" s="4">
        <f t="shared" si="13"/>
        <v>0</v>
      </c>
      <c r="P255" s="4"/>
    </row>
    <row r="256" spans="1:16" x14ac:dyDescent="0.4">
      <c r="A256" s="49">
        <v>42389</v>
      </c>
      <c r="B256" s="48">
        <v>12600</v>
      </c>
      <c r="C256" s="48">
        <v>12600</v>
      </c>
      <c r="D256" s="48">
        <v>12600</v>
      </c>
      <c r="E256" s="48">
        <v>12600</v>
      </c>
      <c r="F256" s="50">
        <v>0</v>
      </c>
      <c r="G256" s="13">
        <f t="shared" si="12"/>
        <v>0</v>
      </c>
      <c r="H256" s="47">
        <v>0</v>
      </c>
      <c r="I256" s="48">
        <v>0</v>
      </c>
      <c r="J256" s="14">
        <f t="shared" ref="J256:J319" si="14">L256-K256</f>
        <v>0</v>
      </c>
      <c r="K256" s="47">
        <v>0</v>
      </c>
      <c r="L256" s="47">
        <v>0</v>
      </c>
      <c r="M256" s="14">
        <f t="shared" si="13"/>
        <v>0</v>
      </c>
      <c r="N256" s="14">
        <f t="shared" si="13"/>
        <v>0</v>
      </c>
      <c r="O256" s="4">
        <f t="shared" si="13"/>
        <v>0</v>
      </c>
      <c r="P256" s="4"/>
    </row>
    <row r="257" spans="1:16" x14ac:dyDescent="0.4">
      <c r="A257" s="49">
        <v>42390</v>
      </c>
      <c r="B257" s="48">
        <v>12600</v>
      </c>
      <c r="C257" s="48">
        <v>12600</v>
      </c>
      <c r="D257" s="48">
        <v>12600</v>
      </c>
      <c r="E257" s="48">
        <v>12600</v>
      </c>
      <c r="F257" s="50">
        <v>0</v>
      </c>
      <c r="G257" s="13">
        <f t="shared" si="12"/>
        <v>0</v>
      </c>
      <c r="H257" s="47">
        <v>0</v>
      </c>
      <c r="I257" s="48">
        <v>0</v>
      </c>
      <c r="J257" s="14">
        <f t="shared" si="14"/>
        <v>0</v>
      </c>
      <c r="K257" s="47">
        <v>0</v>
      </c>
      <c r="L257" s="47">
        <v>0</v>
      </c>
      <c r="M257" s="14">
        <f t="shared" si="13"/>
        <v>0</v>
      </c>
      <c r="N257" s="14">
        <f t="shared" si="13"/>
        <v>0</v>
      </c>
      <c r="O257" s="4">
        <f t="shared" si="13"/>
        <v>0</v>
      </c>
      <c r="P257" s="4"/>
    </row>
    <row r="258" spans="1:16" x14ac:dyDescent="0.4">
      <c r="A258" s="49">
        <v>42391</v>
      </c>
      <c r="B258" s="48">
        <v>12600</v>
      </c>
      <c r="C258" s="48">
        <v>12600</v>
      </c>
      <c r="D258" s="48">
        <v>12600</v>
      </c>
      <c r="E258" s="48">
        <v>12600</v>
      </c>
      <c r="F258" s="50">
        <v>0</v>
      </c>
      <c r="G258" s="13">
        <f t="shared" si="12"/>
        <v>0</v>
      </c>
      <c r="H258" s="47">
        <v>0</v>
      </c>
      <c r="I258" s="48">
        <v>0</v>
      </c>
      <c r="J258" s="14">
        <f t="shared" si="14"/>
        <v>0</v>
      </c>
      <c r="K258" s="47">
        <v>0</v>
      </c>
      <c r="L258" s="47">
        <v>0</v>
      </c>
      <c r="M258" s="14">
        <f t="shared" si="13"/>
        <v>0</v>
      </c>
      <c r="N258" s="14">
        <f t="shared" si="13"/>
        <v>0</v>
      </c>
      <c r="O258" s="4">
        <f t="shared" si="13"/>
        <v>0</v>
      </c>
      <c r="P258" s="4"/>
    </row>
    <row r="259" spans="1:16" x14ac:dyDescent="0.4">
      <c r="A259" s="49">
        <v>42394</v>
      </c>
      <c r="B259" s="48">
        <v>12700</v>
      </c>
      <c r="C259" s="48">
        <v>12700</v>
      </c>
      <c r="D259" s="48">
        <v>12700</v>
      </c>
      <c r="E259" s="48">
        <v>12700</v>
      </c>
      <c r="F259" s="50">
        <v>0.79</v>
      </c>
      <c r="G259" s="13">
        <f t="shared" ref="G259:G322" si="15">I259-H259</f>
        <v>0</v>
      </c>
      <c r="H259" s="47">
        <v>0</v>
      </c>
      <c r="I259" s="48">
        <v>0</v>
      </c>
      <c r="J259" s="14">
        <f t="shared" si="14"/>
        <v>0</v>
      </c>
      <c r="K259" s="47">
        <v>0</v>
      </c>
      <c r="L259" s="47">
        <v>0</v>
      </c>
      <c r="M259" s="14">
        <f t="shared" si="13"/>
        <v>0</v>
      </c>
      <c r="N259" s="14">
        <f t="shared" si="13"/>
        <v>0</v>
      </c>
      <c r="O259" s="4">
        <f t="shared" si="13"/>
        <v>0</v>
      </c>
      <c r="P259" s="4"/>
    </row>
    <row r="260" spans="1:16" x14ac:dyDescent="0.4">
      <c r="A260" s="49">
        <v>42395</v>
      </c>
      <c r="B260" s="48">
        <v>12700</v>
      </c>
      <c r="C260" s="48">
        <v>12700</v>
      </c>
      <c r="D260" s="48">
        <v>12700</v>
      </c>
      <c r="E260" s="48">
        <v>12700</v>
      </c>
      <c r="F260" s="50">
        <v>0</v>
      </c>
      <c r="G260" s="13">
        <f t="shared" si="15"/>
        <v>0</v>
      </c>
      <c r="H260" s="47">
        <v>0</v>
      </c>
      <c r="I260" s="48">
        <v>0</v>
      </c>
      <c r="J260" s="14">
        <f t="shared" si="14"/>
        <v>0</v>
      </c>
      <c r="K260" s="47">
        <v>0</v>
      </c>
      <c r="L260" s="47">
        <v>0</v>
      </c>
      <c r="M260" s="14">
        <f t="shared" si="13"/>
        <v>0</v>
      </c>
      <c r="N260" s="14">
        <f t="shared" si="13"/>
        <v>0</v>
      </c>
      <c r="O260" s="4">
        <f t="shared" si="13"/>
        <v>0</v>
      </c>
      <c r="P260" s="4"/>
    </row>
    <row r="261" spans="1:16" x14ac:dyDescent="0.4">
      <c r="A261" s="49">
        <v>42396</v>
      </c>
      <c r="B261" s="48">
        <v>12700</v>
      </c>
      <c r="C261" s="48">
        <v>12700</v>
      </c>
      <c r="D261" s="48">
        <v>12700</v>
      </c>
      <c r="E261" s="48">
        <v>12700</v>
      </c>
      <c r="F261" s="50">
        <v>0</v>
      </c>
      <c r="G261" s="13">
        <f t="shared" si="15"/>
        <v>0</v>
      </c>
      <c r="H261" s="47">
        <v>0</v>
      </c>
      <c r="I261" s="48">
        <v>0</v>
      </c>
      <c r="J261" s="14">
        <f t="shared" si="14"/>
        <v>0</v>
      </c>
      <c r="K261" s="47">
        <v>0</v>
      </c>
      <c r="L261" s="47">
        <v>0</v>
      </c>
      <c r="M261" s="14">
        <f t="shared" si="13"/>
        <v>0</v>
      </c>
      <c r="N261" s="14">
        <f t="shared" si="13"/>
        <v>0</v>
      </c>
      <c r="O261" s="4">
        <f t="shared" si="13"/>
        <v>0</v>
      </c>
      <c r="P261" s="4"/>
    </row>
    <row r="262" spans="1:16" x14ac:dyDescent="0.4">
      <c r="A262" s="49">
        <v>42397</v>
      </c>
      <c r="B262" s="48">
        <v>12700</v>
      </c>
      <c r="C262" s="48">
        <v>12700</v>
      </c>
      <c r="D262" s="48">
        <v>12700</v>
      </c>
      <c r="E262" s="48">
        <v>12700</v>
      </c>
      <c r="F262" s="50">
        <v>0</v>
      </c>
      <c r="G262" s="13">
        <f t="shared" si="15"/>
        <v>0</v>
      </c>
      <c r="H262" s="47">
        <v>0</v>
      </c>
      <c r="I262" s="48">
        <v>0</v>
      </c>
      <c r="J262" s="14">
        <f t="shared" si="14"/>
        <v>0</v>
      </c>
      <c r="K262" s="47">
        <v>0</v>
      </c>
      <c r="L262" s="47">
        <v>0</v>
      </c>
      <c r="M262" s="14">
        <f t="shared" si="13"/>
        <v>0</v>
      </c>
      <c r="N262" s="14">
        <f t="shared" si="13"/>
        <v>0</v>
      </c>
      <c r="O262" s="4">
        <f t="shared" si="13"/>
        <v>0</v>
      </c>
      <c r="P262" s="4"/>
    </row>
    <row r="263" spans="1:16" x14ac:dyDescent="0.4">
      <c r="A263" s="49">
        <v>42398</v>
      </c>
      <c r="B263" s="48">
        <v>12700</v>
      </c>
      <c r="C263" s="48">
        <v>12700</v>
      </c>
      <c r="D263" s="48">
        <v>12700</v>
      </c>
      <c r="E263" s="48">
        <v>12700</v>
      </c>
      <c r="F263" s="50">
        <v>0</v>
      </c>
      <c r="G263" s="13">
        <f t="shared" si="15"/>
        <v>0</v>
      </c>
      <c r="H263" s="47">
        <v>0</v>
      </c>
      <c r="I263" s="48">
        <v>0</v>
      </c>
      <c r="J263" s="14">
        <f t="shared" si="14"/>
        <v>0</v>
      </c>
      <c r="K263" s="47">
        <v>0</v>
      </c>
      <c r="L263" s="47">
        <v>0</v>
      </c>
      <c r="M263" s="14">
        <f t="shared" si="13"/>
        <v>0</v>
      </c>
      <c r="N263" s="14">
        <f t="shared" si="13"/>
        <v>0</v>
      </c>
      <c r="O263" s="4">
        <f t="shared" si="13"/>
        <v>0</v>
      </c>
      <c r="P263" s="4"/>
    </row>
    <row r="264" spans="1:16" x14ac:dyDescent="0.4">
      <c r="A264" s="49">
        <v>42401</v>
      </c>
      <c r="B264" s="48">
        <v>12700</v>
      </c>
      <c r="C264" s="48">
        <v>12700</v>
      </c>
      <c r="D264" s="48">
        <v>12700</v>
      </c>
      <c r="E264" s="48">
        <v>12700</v>
      </c>
      <c r="F264" s="50">
        <v>0</v>
      </c>
      <c r="G264" s="13">
        <f t="shared" si="15"/>
        <v>0</v>
      </c>
      <c r="H264" s="47">
        <v>0</v>
      </c>
      <c r="I264" s="48">
        <v>0</v>
      </c>
      <c r="J264" s="14">
        <f t="shared" si="14"/>
        <v>0</v>
      </c>
      <c r="K264" s="47">
        <v>0</v>
      </c>
      <c r="L264" s="47">
        <v>0</v>
      </c>
      <c r="M264" s="14">
        <f t="shared" si="13"/>
        <v>0</v>
      </c>
      <c r="N264" s="14">
        <f t="shared" si="13"/>
        <v>0</v>
      </c>
      <c r="O264" s="4">
        <f t="shared" si="13"/>
        <v>0</v>
      </c>
      <c r="P264" s="4"/>
    </row>
    <row r="265" spans="1:16" x14ac:dyDescent="0.4">
      <c r="A265" s="49">
        <v>42402</v>
      </c>
      <c r="B265" s="48">
        <v>12700</v>
      </c>
      <c r="C265" s="48">
        <v>12700</v>
      </c>
      <c r="D265" s="48">
        <v>12700</v>
      </c>
      <c r="E265" s="48">
        <v>12700</v>
      </c>
      <c r="F265" s="50">
        <v>0</v>
      </c>
      <c r="G265" s="13">
        <f t="shared" si="15"/>
        <v>0</v>
      </c>
      <c r="H265" s="47">
        <v>0</v>
      </c>
      <c r="I265" s="48">
        <v>0</v>
      </c>
      <c r="J265" s="14">
        <f t="shared" si="14"/>
        <v>0</v>
      </c>
      <c r="K265" s="47">
        <v>0</v>
      </c>
      <c r="L265" s="47">
        <v>0</v>
      </c>
      <c r="M265" s="14">
        <f t="shared" si="13"/>
        <v>0</v>
      </c>
      <c r="N265" s="14">
        <f t="shared" si="13"/>
        <v>0</v>
      </c>
      <c r="O265" s="4">
        <f t="shared" si="13"/>
        <v>0</v>
      </c>
      <c r="P265" s="4"/>
    </row>
    <row r="266" spans="1:16" x14ac:dyDescent="0.4">
      <c r="A266" s="49">
        <v>42403</v>
      </c>
      <c r="B266" s="48">
        <v>12700</v>
      </c>
      <c r="C266" s="48">
        <v>12700</v>
      </c>
      <c r="D266" s="48">
        <v>12700</v>
      </c>
      <c r="E266" s="48">
        <v>12700</v>
      </c>
      <c r="F266" s="50">
        <v>0</v>
      </c>
      <c r="G266" s="13">
        <f t="shared" si="15"/>
        <v>0</v>
      </c>
      <c r="H266" s="47">
        <v>0</v>
      </c>
      <c r="I266" s="48">
        <v>0</v>
      </c>
      <c r="J266" s="14">
        <f t="shared" si="14"/>
        <v>0</v>
      </c>
      <c r="K266" s="47">
        <v>0</v>
      </c>
      <c r="L266" s="47">
        <v>0</v>
      </c>
      <c r="M266" s="14">
        <f t="shared" si="13"/>
        <v>0</v>
      </c>
      <c r="N266" s="14">
        <f t="shared" si="13"/>
        <v>0</v>
      </c>
      <c r="O266" s="4">
        <f t="shared" si="13"/>
        <v>0</v>
      </c>
      <c r="P266" s="4"/>
    </row>
    <row r="267" spans="1:16" x14ac:dyDescent="0.4">
      <c r="A267" s="49">
        <v>42404</v>
      </c>
      <c r="B267" s="48">
        <v>12700</v>
      </c>
      <c r="C267" s="48">
        <v>12700</v>
      </c>
      <c r="D267" s="48">
        <v>12700</v>
      </c>
      <c r="E267" s="48">
        <v>12700</v>
      </c>
      <c r="F267" s="50">
        <v>0</v>
      </c>
      <c r="G267" s="13">
        <f t="shared" si="15"/>
        <v>0</v>
      </c>
      <c r="H267" s="47">
        <v>0</v>
      </c>
      <c r="I267" s="48">
        <v>0</v>
      </c>
      <c r="J267" s="14">
        <f t="shared" si="14"/>
        <v>0</v>
      </c>
      <c r="K267" s="47">
        <v>0</v>
      </c>
      <c r="L267" s="47">
        <v>0</v>
      </c>
      <c r="M267" s="14">
        <f t="shared" si="13"/>
        <v>0</v>
      </c>
      <c r="N267" s="14">
        <f t="shared" si="13"/>
        <v>0</v>
      </c>
      <c r="O267" s="4">
        <f t="shared" si="13"/>
        <v>0</v>
      </c>
      <c r="P267" s="4"/>
    </row>
    <row r="268" spans="1:16" x14ac:dyDescent="0.4">
      <c r="A268" s="49">
        <v>42405</v>
      </c>
      <c r="B268" s="48">
        <v>12800</v>
      </c>
      <c r="C268" s="48">
        <v>12800</v>
      </c>
      <c r="D268" s="48">
        <v>12800</v>
      </c>
      <c r="E268" s="48">
        <v>12800</v>
      </c>
      <c r="F268" s="50">
        <v>0.79</v>
      </c>
      <c r="G268" s="13">
        <f t="shared" si="15"/>
        <v>0</v>
      </c>
      <c r="H268" s="47">
        <v>0</v>
      </c>
      <c r="I268" s="48">
        <v>0</v>
      </c>
      <c r="J268" s="14">
        <f t="shared" si="14"/>
        <v>0</v>
      </c>
      <c r="K268" s="47">
        <v>0</v>
      </c>
      <c r="L268" s="47">
        <v>0</v>
      </c>
      <c r="M268" s="14">
        <f t="shared" si="13"/>
        <v>0</v>
      </c>
      <c r="N268" s="14">
        <f t="shared" si="13"/>
        <v>0</v>
      </c>
      <c r="O268" s="4">
        <f t="shared" si="13"/>
        <v>0</v>
      </c>
      <c r="P268" s="4"/>
    </row>
    <row r="269" spans="1:16" x14ac:dyDescent="0.4">
      <c r="A269" s="49">
        <v>42411</v>
      </c>
      <c r="B269" s="48">
        <v>12800</v>
      </c>
      <c r="C269" s="48">
        <v>12800</v>
      </c>
      <c r="D269" s="48">
        <v>12800</v>
      </c>
      <c r="E269" s="48">
        <v>12800</v>
      </c>
      <c r="F269" s="50">
        <v>0</v>
      </c>
      <c r="G269" s="13">
        <f t="shared" si="15"/>
        <v>0</v>
      </c>
      <c r="H269" s="47">
        <v>0</v>
      </c>
      <c r="I269" s="48">
        <v>0</v>
      </c>
      <c r="J269" s="14">
        <f t="shared" si="14"/>
        <v>0</v>
      </c>
      <c r="K269" s="47">
        <v>0</v>
      </c>
      <c r="L269" s="47">
        <v>0</v>
      </c>
      <c r="M269" s="14">
        <f t="shared" si="13"/>
        <v>0</v>
      </c>
      <c r="N269" s="14">
        <f t="shared" si="13"/>
        <v>0</v>
      </c>
      <c r="O269" s="4">
        <f t="shared" si="13"/>
        <v>0</v>
      </c>
      <c r="P269" s="4"/>
    </row>
    <row r="270" spans="1:16" x14ac:dyDescent="0.4">
      <c r="A270" s="49">
        <v>42412</v>
      </c>
      <c r="B270" s="48">
        <v>12800</v>
      </c>
      <c r="C270" s="48">
        <v>12800</v>
      </c>
      <c r="D270" s="48">
        <v>12800</v>
      </c>
      <c r="E270" s="48">
        <v>12800</v>
      </c>
      <c r="F270" s="50">
        <v>0</v>
      </c>
      <c r="G270" s="13">
        <f t="shared" si="15"/>
        <v>0</v>
      </c>
      <c r="H270" s="47">
        <v>0</v>
      </c>
      <c r="I270" s="48">
        <v>0</v>
      </c>
      <c r="J270" s="14">
        <f t="shared" si="14"/>
        <v>0</v>
      </c>
      <c r="K270" s="47">
        <v>0</v>
      </c>
      <c r="L270" s="47">
        <v>0</v>
      </c>
      <c r="M270" s="14">
        <f t="shared" si="13"/>
        <v>0</v>
      </c>
      <c r="N270" s="14">
        <f t="shared" si="13"/>
        <v>0</v>
      </c>
      <c r="O270" s="4">
        <f t="shared" si="13"/>
        <v>0</v>
      </c>
      <c r="P270" s="4"/>
    </row>
    <row r="271" spans="1:16" x14ac:dyDescent="0.4">
      <c r="A271" s="49">
        <v>42415</v>
      </c>
      <c r="B271" s="48">
        <v>12800</v>
      </c>
      <c r="C271" s="48">
        <v>12800</v>
      </c>
      <c r="D271" s="48">
        <v>12800</v>
      </c>
      <c r="E271" s="48">
        <v>12800</v>
      </c>
      <c r="F271" s="50">
        <v>0</v>
      </c>
      <c r="G271" s="13">
        <f t="shared" si="15"/>
        <v>0</v>
      </c>
      <c r="H271" s="47">
        <v>0</v>
      </c>
      <c r="I271" s="48">
        <v>0</v>
      </c>
      <c r="J271" s="14">
        <f t="shared" si="14"/>
        <v>0</v>
      </c>
      <c r="K271" s="47">
        <v>0</v>
      </c>
      <c r="L271" s="47">
        <v>0</v>
      </c>
      <c r="M271" s="14">
        <f t="shared" si="13"/>
        <v>0</v>
      </c>
      <c r="N271" s="14">
        <f t="shared" si="13"/>
        <v>0</v>
      </c>
      <c r="O271" s="4">
        <f t="shared" si="13"/>
        <v>0</v>
      </c>
      <c r="P271" s="4"/>
    </row>
    <row r="272" spans="1:16" x14ac:dyDescent="0.4">
      <c r="A272" s="49">
        <v>42416</v>
      </c>
      <c r="B272" s="48">
        <v>12800</v>
      </c>
      <c r="C272" s="48">
        <v>12800</v>
      </c>
      <c r="D272" s="48">
        <v>12800</v>
      </c>
      <c r="E272" s="48">
        <v>12800</v>
      </c>
      <c r="F272" s="50">
        <v>0</v>
      </c>
      <c r="G272" s="13">
        <f t="shared" si="15"/>
        <v>0</v>
      </c>
      <c r="H272" s="47">
        <v>0</v>
      </c>
      <c r="I272" s="48">
        <v>0</v>
      </c>
      <c r="J272" s="14">
        <f t="shared" si="14"/>
        <v>0</v>
      </c>
      <c r="K272" s="47">
        <v>0</v>
      </c>
      <c r="L272" s="47">
        <v>0</v>
      </c>
      <c r="M272" s="14">
        <f t="shared" si="13"/>
        <v>0</v>
      </c>
      <c r="N272" s="14">
        <f t="shared" si="13"/>
        <v>0</v>
      </c>
      <c r="O272" s="4">
        <f t="shared" si="13"/>
        <v>0</v>
      </c>
      <c r="P272" s="4"/>
    </row>
    <row r="273" spans="1:16" x14ac:dyDescent="0.4">
      <c r="A273" s="49">
        <v>42417</v>
      </c>
      <c r="B273" s="48">
        <v>12800</v>
      </c>
      <c r="C273" s="48">
        <v>12800</v>
      </c>
      <c r="D273" s="48">
        <v>12800</v>
      </c>
      <c r="E273" s="48">
        <v>12800</v>
      </c>
      <c r="F273" s="50">
        <v>0</v>
      </c>
      <c r="G273" s="13">
        <f t="shared" si="15"/>
        <v>0</v>
      </c>
      <c r="H273" s="47">
        <v>0</v>
      </c>
      <c r="I273" s="48">
        <v>0</v>
      </c>
      <c r="J273" s="14">
        <f t="shared" si="14"/>
        <v>0</v>
      </c>
      <c r="K273" s="47">
        <v>0</v>
      </c>
      <c r="L273" s="47">
        <v>0</v>
      </c>
      <c r="M273" s="14">
        <f t="shared" si="13"/>
        <v>0</v>
      </c>
      <c r="N273" s="14">
        <f t="shared" si="13"/>
        <v>0</v>
      </c>
      <c r="O273" s="4">
        <f t="shared" si="13"/>
        <v>0</v>
      </c>
      <c r="P273" s="4"/>
    </row>
    <row r="274" spans="1:16" x14ac:dyDescent="0.4">
      <c r="A274" s="49">
        <v>42418</v>
      </c>
      <c r="B274" s="48">
        <v>12800</v>
      </c>
      <c r="C274" s="48">
        <v>12800</v>
      </c>
      <c r="D274" s="48">
        <v>12800</v>
      </c>
      <c r="E274" s="48">
        <v>12800</v>
      </c>
      <c r="F274" s="50">
        <v>0</v>
      </c>
      <c r="G274" s="13">
        <f t="shared" si="15"/>
        <v>0</v>
      </c>
      <c r="H274" s="47">
        <v>0</v>
      </c>
      <c r="I274" s="48">
        <v>0</v>
      </c>
      <c r="J274" s="14">
        <f t="shared" si="14"/>
        <v>0</v>
      </c>
      <c r="K274" s="47">
        <v>0</v>
      </c>
      <c r="L274" s="47">
        <v>0</v>
      </c>
      <c r="M274" s="14">
        <f t="shared" si="13"/>
        <v>0</v>
      </c>
      <c r="N274" s="14">
        <f t="shared" si="13"/>
        <v>0</v>
      </c>
      <c r="O274" s="4">
        <f t="shared" si="13"/>
        <v>0</v>
      </c>
      <c r="P274" s="4"/>
    </row>
    <row r="275" spans="1:16" x14ac:dyDescent="0.4">
      <c r="A275" s="49">
        <v>42419</v>
      </c>
      <c r="B275" s="48">
        <v>13100</v>
      </c>
      <c r="C275" s="48">
        <v>13100</v>
      </c>
      <c r="D275" s="48">
        <v>13100</v>
      </c>
      <c r="E275" s="48">
        <v>13100</v>
      </c>
      <c r="F275" s="50">
        <v>2.34</v>
      </c>
      <c r="G275" s="13">
        <f t="shared" si="15"/>
        <v>0</v>
      </c>
      <c r="H275" s="47">
        <v>0</v>
      </c>
      <c r="I275" s="48">
        <v>0</v>
      </c>
      <c r="J275" s="14">
        <f t="shared" si="14"/>
        <v>0</v>
      </c>
      <c r="K275" s="47">
        <v>0</v>
      </c>
      <c r="L275" s="47">
        <v>0</v>
      </c>
      <c r="M275" s="14">
        <f t="shared" si="13"/>
        <v>0</v>
      </c>
      <c r="N275" s="14">
        <f t="shared" si="13"/>
        <v>0</v>
      </c>
      <c r="O275" s="4">
        <f t="shared" si="13"/>
        <v>0</v>
      </c>
      <c r="P275" s="4"/>
    </row>
    <row r="276" spans="1:16" x14ac:dyDescent="0.4">
      <c r="A276" s="49">
        <v>42422</v>
      </c>
      <c r="B276" s="48">
        <v>14400</v>
      </c>
      <c r="C276" s="48">
        <v>14400</v>
      </c>
      <c r="D276" s="48">
        <v>14400</v>
      </c>
      <c r="E276" s="48">
        <v>14400</v>
      </c>
      <c r="F276" s="50">
        <v>9.92</v>
      </c>
      <c r="G276" s="13">
        <f t="shared" si="15"/>
        <v>500</v>
      </c>
      <c r="H276" s="47">
        <v>0</v>
      </c>
      <c r="I276" s="48">
        <v>500</v>
      </c>
      <c r="J276" s="14">
        <f t="shared" si="14"/>
        <v>7200000</v>
      </c>
      <c r="K276" s="47">
        <v>0</v>
      </c>
      <c r="L276" s="47">
        <v>7200000</v>
      </c>
      <c r="M276" s="14">
        <f t="shared" si="13"/>
        <v>14400</v>
      </c>
      <c r="N276" s="14">
        <f t="shared" si="13"/>
        <v>0</v>
      </c>
      <c r="O276" s="4">
        <f t="shared" si="13"/>
        <v>14400</v>
      </c>
      <c r="P276" s="4"/>
    </row>
    <row r="277" spans="1:16" x14ac:dyDescent="0.4">
      <c r="A277" s="49">
        <v>42423</v>
      </c>
      <c r="B277" s="48">
        <v>15800</v>
      </c>
      <c r="C277" s="48">
        <v>15800</v>
      </c>
      <c r="D277" s="48">
        <v>15800</v>
      </c>
      <c r="E277" s="48">
        <v>15800</v>
      </c>
      <c r="F277" s="50">
        <v>9.7200000000000006</v>
      </c>
      <c r="G277" s="13">
        <f t="shared" si="15"/>
        <v>500</v>
      </c>
      <c r="H277" s="47">
        <v>0</v>
      </c>
      <c r="I277" s="48">
        <v>500</v>
      </c>
      <c r="J277" s="14">
        <f t="shared" si="14"/>
        <v>7900000</v>
      </c>
      <c r="K277" s="47">
        <v>0</v>
      </c>
      <c r="L277" s="47">
        <v>7900000</v>
      </c>
      <c r="M277" s="14">
        <f t="shared" si="13"/>
        <v>15800</v>
      </c>
      <c r="N277" s="14">
        <f t="shared" si="13"/>
        <v>0</v>
      </c>
      <c r="O277" s="4">
        <f t="shared" si="13"/>
        <v>15800</v>
      </c>
      <c r="P277" s="4"/>
    </row>
    <row r="278" spans="1:16" x14ac:dyDescent="0.4">
      <c r="A278" s="49">
        <v>42424</v>
      </c>
      <c r="B278" s="48">
        <v>16000</v>
      </c>
      <c r="C278" s="48">
        <v>16000</v>
      </c>
      <c r="D278" s="48">
        <v>16000</v>
      </c>
      <c r="E278" s="48">
        <v>16000</v>
      </c>
      <c r="F278" s="50">
        <v>1.27</v>
      </c>
      <c r="G278" s="13">
        <f t="shared" si="15"/>
        <v>0</v>
      </c>
      <c r="H278" s="47">
        <v>0</v>
      </c>
      <c r="I278" s="48">
        <v>0</v>
      </c>
      <c r="J278" s="14">
        <f t="shared" si="14"/>
        <v>0</v>
      </c>
      <c r="K278" s="47">
        <v>0</v>
      </c>
      <c r="L278" s="47">
        <v>0</v>
      </c>
      <c r="M278" s="14">
        <f t="shared" si="13"/>
        <v>0</v>
      </c>
      <c r="N278" s="14">
        <f t="shared" si="13"/>
        <v>0</v>
      </c>
      <c r="O278" s="4">
        <f t="shared" si="13"/>
        <v>0</v>
      </c>
      <c r="P278" s="4"/>
    </row>
    <row r="279" spans="1:16" x14ac:dyDescent="0.4">
      <c r="A279" s="49">
        <v>42425</v>
      </c>
      <c r="B279" s="48">
        <v>16000</v>
      </c>
      <c r="C279" s="48">
        <v>16000</v>
      </c>
      <c r="D279" s="48">
        <v>16000</v>
      </c>
      <c r="E279" s="48">
        <v>16000</v>
      </c>
      <c r="F279" s="50">
        <v>0</v>
      </c>
      <c r="G279" s="13">
        <f t="shared" si="15"/>
        <v>0</v>
      </c>
      <c r="H279" s="47">
        <v>0</v>
      </c>
      <c r="I279" s="48">
        <v>0</v>
      </c>
      <c r="J279" s="14">
        <f t="shared" si="14"/>
        <v>0</v>
      </c>
      <c r="K279" s="47">
        <v>0</v>
      </c>
      <c r="L279" s="47">
        <v>0</v>
      </c>
      <c r="M279" s="14">
        <f t="shared" si="13"/>
        <v>0</v>
      </c>
      <c r="N279" s="14">
        <f t="shared" si="13"/>
        <v>0</v>
      </c>
      <c r="O279" s="4">
        <f t="shared" si="13"/>
        <v>0</v>
      </c>
      <c r="P279" s="4"/>
    </row>
    <row r="280" spans="1:16" x14ac:dyDescent="0.4">
      <c r="A280" s="49">
        <v>42426</v>
      </c>
      <c r="B280" s="48">
        <v>16000</v>
      </c>
      <c r="C280" s="48">
        <v>16000</v>
      </c>
      <c r="D280" s="48">
        <v>16000</v>
      </c>
      <c r="E280" s="48">
        <v>16000</v>
      </c>
      <c r="F280" s="50">
        <v>0</v>
      </c>
      <c r="G280" s="13">
        <f t="shared" si="15"/>
        <v>0</v>
      </c>
      <c r="H280" s="47">
        <v>0</v>
      </c>
      <c r="I280" s="48">
        <v>0</v>
      </c>
      <c r="J280" s="14">
        <f t="shared" si="14"/>
        <v>0</v>
      </c>
      <c r="K280" s="47">
        <v>0</v>
      </c>
      <c r="L280" s="47">
        <v>0</v>
      </c>
      <c r="M280" s="14">
        <f t="shared" si="13"/>
        <v>0</v>
      </c>
      <c r="N280" s="14">
        <f t="shared" si="13"/>
        <v>0</v>
      </c>
      <c r="O280" s="4">
        <f t="shared" si="13"/>
        <v>0</v>
      </c>
      <c r="P280" s="4"/>
    </row>
    <row r="281" spans="1:16" x14ac:dyDescent="0.4">
      <c r="A281" s="49">
        <v>42429</v>
      </c>
      <c r="B281" s="48">
        <v>16000</v>
      </c>
      <c r="C281" s="48">
        <v>16000</v>
      </c>
      <c r="D281" s="48">
        <v>16000</v>
      </c>
      <c r="E281" s="48">
        <v>16000</v>
      </c>
      <c r="F281" s="50">
        <v>0</v>
      </c>
      <c r="G281" s="13">
        <f t="shared" si="15"/>
        <v>0</v>
      </c>
      <c r="H281" s="47">
        <v>0</v>
      </c>
      <c r="I281" s="48">
        <v>0</v>
      </c>
      <c r="J281" s="14">
        <f t="shared" si="14"/>
        <v>0</v>
      </c>
      <c r="K281" s="47">
        <v>0</v>
      </c>
      <c r="L281" s="47">
        <v>0</v>
      </c>
      <c r="M281" s="14">
        <f t="shared" si="13"/>
        <v>0</v>
      </c>
      <c r="N281" s="14">
        <f t="shared" si="13"/>
        <v>0</v>
      </c>
      <c r="O281" s="4">
        <f t="shared" si="13"/>
        <v>0</v>
      </c>
      <c r="P281" s="4"/>
    </row>
    <row r="282" spans="1:16" x14ac:dyDescent="0.4">
      <c r="A282" s="49">
        <v>42431</v>
      </c>
      <c r="B282" s="48">
        <v>16000</v>
      </c>
      <c r="C282" s="48">
        <v>16000</v>
      </c>
      <c r="D282" s="48">
        <v>16000</v>
      </c>
      <c r="E282" s="48">
        <v>16000</v>
      </c>
      <c r="F282" s="50">
        <v>0</v>
      </c>
      <c r="G282" s="13">
        <f t="shared" si="15"/>
        <v>0</v>
      </c>
      <c r="H282" s="47">
        <v>0</v>
      </c>
      <c r="I282" s="48">
        <v>0</v>
      </c>
      <c r="J282" s="14">
        <f t="shared" si="14"/>
        <v>0</v>
      </c>
      <c r="K282" s="47">
        <v>0</v>
      </c>
      <c r="L282" s="47">
        <v>0</v>
      </c>
      <c r="M282" s="14">
        <f t="shared" si="13"/>
        <v>0</v>
      </c>
      <c r="N282" s="14">
        <f t="shared" si="13"/>
        <v>0</v>
      </c>
      <c r="O282" s="4">
        <f t="shared" si="13"/>
        <v>0</v>
      </c>
      <c r="P282" s="4"/>
    </row>
    <row r="283" spans="1:16" x14ac:dyDescent="0.4">
      <c r="A283" s="49">
        <v>42432</v>
      </c>
      <c r="B283" s="48">
        <v>16000</v>
      </c>
      <c r="C283" s="48">
        <v>16000</v>
      </c>
      <c r="D283" s="48">
        <v>16000</v>
      </c>
      <c r="E283" s="48">
        <v>16000</v>
      </c>
      <c r="F283" s="50">
        <v>0</v>
      </c>
      <c r="G283" s="13">
        <f t="shared" si="15"/>
        <v>0</v>
      </c>
      <c r="H283" s="47">
        <v>0</v>
      </c>
      <c r="I283" s="48">
        <v>0</v>
      </c>
      <c r="J283" s="14">
        <f t="shared" si="14"/>
        <v>0</v>
      </c>
      <c r="K283" s="47">
        <v>0</v>
      </c>
      <c r="L283" s="47">
        <v>0</v>
      </c>
      <c r="M283" s="14">
        <f t="shared" si="13"/>
        <v>0</v>
      </c>
      <c r="N283" s="14">
        <f t="shared" si="13"/>
        <v>0</v>
      </c>
      <c r="O283" s="4">
        <f t="shared" si="13"/>
        <v>0</v>
      </c>
      <c r="P283" s="4"/>
    </row>
    <row r="284" spans="1:16" x14ac:dyDescent="0.4">
      <c r="A284" s="49">
        <v>42433</v>
      </c>
      <c r="B284" s="48">
        <v>16000</v>
      </c>
      <c r="C284" s="48">
        <v>16000</v>
      </c>
      <c r="D284" s="48">
        <v>16000</v>
      </c>
      <c r="E284" s="48">
        <v>16000</v>
      </c>
      <c r="F284" s="50">
        <v>0</v>
      </c>
      <c r="G284" s="13">
        <f t="shared" si="15"/>
        <v>0</v>
      </c>
      <c r="H284" s="47">
        <v>0</v>
      </c>
      <c r="I284" s="48">
        <v>0</v>
      </c>
      <c r="J284" s="14">
        <f t="shared" si="14"/>
        <v>0</v>
      </c>
      <c r="K284" s="47">
        <v>0</v>
      </c>
      <c r="L284" s="47">
        <v>0</v>
      </c>
      <c r="M284" s="14">
        <f t="shared" si="13"/>
        <v>0</v>
      </c>
      <c r="N284" s="14">
        <f t="shared" si="13"/>
        <v>0</v>
      </c>
      <c r="O284" s="4">
        <f t="shared" si="13"/>
        <v>0</v>
      </c>
      <c r="P284" s="4"/>
    </row>
    <row r="285" spans="1:16" x14ac:dyDescent="0.4">
      <c r="A285" s="49">
        <v>42436</v>
      </c>
      <c r="B285" s="48">
        <v>16800</v>
      </c>
      <c r="C285" s="48">
        <v>16800</v>
      </c>
      <c r="D285" s="48">
        <v>16800</v>
      </c>
      <c r="E285" s="48">
        <v>16800</v>
      </c>
      <c r="F285" s="50">
        <v>5</v>
      </c>
      <c r="G285" s="13">
        <f t="shared" si="15"/>
        <v>0</v>
      </c>
      <c r="H285" s="47">
        <v>0</v>
      </c>
      <c r="I285" s="48">
        <v>0</v>
      </c>
      <c r="J285" s="14">
        <f t="shared" si="14"/>
        <v>0</v>
      </c>
      <c r="K285" s="47">
        <v>0</v>
      </c>
      <c r="L285" s="47">
        <v>0</v>
      </c>
      <c r="M285" s="14">
        <f t="shared" si="13"/>
        <v>0</v>
      </c>
      <c r="N285" s="14">
        <f t="shared" si="13"/>
        <v>0</v>
      </c>
      <c r="O285" s="4">
        <f t="shared" si="13"/>
        <v>0</v>
      </c>
      <c r="P285" s="4"/>
    </row>
    <row r="286" spans="1:16" x14ac:dyDescent="0.4">
      <c r="A286" s="49">
        <v>42437</v>
      </c>
      <c r="B286" s="48">
        <v>16800</v>
      </c>
      <c r="C286" s="48">
        <v>16800</v>
      </c>
      <c r="D286" s="48">
        <v>16800</v>
      </c>
      <c r="E286" s="48">
        <v>16800</v>
      </c>
      <c r="F286" s="50">
        <v>0</v>
      </c>
      <c r="G286" s="13">
        <f t="shared" si="15"/>
        <v>0</v>
      </c>
      <c r="H286" s="47">
        <v>0</v>
      </c>
      <c r="I286" s="48">
        <v>0</v>
      </c>
      <c r="J286" s="14">
        <f t="shared" si="14"/>
        <v>0</v>
      </c>
      <c r="K286" s="47">
        <v>0</v>
      </c>
      <c r="L286" s="47">
        <v>0</v>
      </c>
      <c r="M286" s="14">
        <f t="shared" si="13"/>
        <v>0</v>
      </c>
      <c r="N286" s="14">
        <f t="shared" si="13"/>
        <v>0</v>
      </c>
      <c r="O286" s="4">
        <f t="shared" si="13"/>
        <v>0</v>
      </c>
      <c r="P286" s="4"/>
    </row>
    <row r="287" spans="1:16" x14ac:dyDescent="0.4">
      <c r="A287" s="49">
        <v>42438</v>
      </c>
      <c r="B287" s="48">
        <v>16800</v>
      </c>
      <c r="C287" s="48">
        <v>16800</v>
      </c>
      <c r="D287" s="48">
        <v>16800</v>
      </c>
      <c r="E287" s="48">
        <v>16800</v>
      </c>
      <c r="F287" s="50">
        <v>0</v>
      </c>
      <c r="G287" s="13">
        <f t="shared" si="15"/>
        <v>0</v>
      </c>
      <c r="H287" s="47">
        <v>0</v>
      </c>
      <c r="I287" s="48">
        <v>0</v>
      </c>
      <c r="J287" s="14">
        <f t="shared" si="14"/>
        <v>0</v>
      </c>
      <c r="K287" s="47">
        <v>0</v>
      </c>
      <c r="L287" s="47">
        <v>0</v>
      </c>
      <c r="M287" s="14">
        <f t="shared" si="13"/>
        <v>0</v>
      </c>
      <c r="N287" s="14">
        <f t="shared" si="13"/>
        <v>0</v>
      </c>
      <c r="O287" s="4">
        <f t="shared" si="13"/>
        <v>0</v>
      </c>
      <c r="P287" s="4"/>
    </row>
    <row r="288" spans="1:16" x14ac:dyDescent="0.4">
      <c r="A288" s="49">
        <v>42439</v>
      </c>
      <c r="B288" s="48">
        <v>16800</v>
      </c>
      <c r="C288" s="48">
        <v>16800</v>
      </c>
      <c r="D288" s="48">
        <v>16800</v>
      </c>
      <c r="E288" s="48">
        <v>16800</v>
      </c>
      <c r="F288" s="50">
        <v>0</v>
      </c>
      <c r="G288" s="13">
        <f t="shared" si="15"/>
        <v>0</v>
      </c>
      <c r="H288" s="47">
        <v>0</v>
      </c>
      <c r="I288" s="48">
        <v>0</v>
      </c>
      <c r="J288" s="14">
        <f t="shared" si="14"/>
        <v>0</v>
      </c>
      <c r="K288" s="47">
        <v>0</v>
      </c>
      <c r="L288" s="47">
        <v>0</v>
      </c>
      <c r="M288" s="14">
        <f t="shared" si="13"/>
        <v>0</v>
      </c>
      <c r="N288" s="14">
        <f t="shared" si="13"/>
        <v>0</v>
      </c>
      <c r="O288" s="4">
        <f t="shared" si="13"/>
        <v>0</v>
      </c>
      <c r="P288" s="4"/>
    </row>
    <row r="289" spans="1:16" x14ac:dyDescent="0.4">
      <c r="A289" s="49">
        <v>42440</v>
      </c>
      <c r="B289" s="48">
        <v>16800</v>
      </c>
      <c r="C289" s="48">
        <v>16800</v>
      </c>
      <c r="D289" s="48">
        <v>16800</v>
      </c>
      <c r="E289" s="48">
        <v>16800</v>
      </c>
      <c r="F289" s="50">
        <v>0</v>
      </c>
      <c r="G289" s="13">
        <f t="shared" si="15"/>
        <v>0</v>
      </c>
      <c r="H289" s="47">
        <v>0</v>
      </c>
      <c r="I289" s="48">
        <v>0</v>
      </c>
      <c r="J289" s="14">
        <f t="shared" si="14"/>
        <v>0</v>
      </c>
      <c r="K289" s="47">
        <v>0</v>
      </c>
      <c r="L289" s="47">
        <v>0</v>
      </c>
      <c r="M289" s="14">
        <f t="shared" si="13"/>
        <v>0</v>
      </c>
      <c r="N289" s="14">
        <f t="shared" si="13"/>
        <v>0</v>
      </c>
      <c r="O289" s="4">
        <f t="shared" si="13"/>
        <v>0</v>
      </c>
      <c r="P289" s="4"/>
    </row>
    <row r="290" spans="1:16" x14ac:dyDescent="0.4">
      <c r="A290" s="49">
        <v>42443</v>
      </c>
      <c r="B290" s="48">
        <v>16800</v>
      </c>
      <c r="C290" s="48">
        <v>16800</v>
      </c>
      <c r="D290" s="48">
        <v>16800</v>
      </c>
      <c r="E290" s="48">
        <v>16800</v>
      </c>
      <c r="F290" s="50">
        <v>0</v>
      </c>
      <c r="G290" s="13">
        <f t="shared" si="15"/>
        <v>0</v>
      </c>
      <c r="H290" s="47">
        <v>0</v>
      </c>
      <c r="I290" s="48">
        <v>0</v>
      </c>
      <c r="J290" s="14">
        <f t="shared" si="14"/>
        <v>0</v>
      </c>
      <c r="K290" s="47">
        <v>0</v>
      </c>
      <c r="L290" s="47">
        <v>0</v>
      </c>
      <c r="M290" s="14">
        <f t="shared" si="13"/>
        <v>0</v>
      </c>
      <c r="N290" s="14">
        <f t="shared" si="13"/>
        <v>0</v>
      </c>
      <c r="O290" s="4">
        <f t="shared" si="13"/>
        <v>0</v>
      </c>
      <c r="P290" s="4"/>
    </row>
    <row r="291" spans="1:16" x14ac:dyDescent="0.4">
      <c r="A291" s="49">
        <v>42444</v>
      </c>
      <c r="B291" s="48">
        <v>18450</v>
      </c>
      <c r="C291" s="48">
        <v>18450</v>
      </c>
      <c r="D291" s="48">
        <v>18450</v>
      </c>
      <c r="E291" s="48">
        <v>18450</v>
      </c>
      <c r="F291" s="50">
        <v>9.82</v>
      </c>
      <c r="G291" s="13">
        <f t="shared" si="15"/>
        <v>500</v>
      </c>
      <c r="H291" s="47">
        <v>6500</v>
      </c>
      <c r="I291" s="48">
        <v>7000</v>
      </c>
      <c r="J291" s="14">
        <f>G291*M291</f>
        <v>9225000</v>
      </c>
      <c r="K291" s="13">
        <f>L291-J291</f>
        <v>113750000</v>
      </c>
      <c r="L291" s="47">
        <v>122975000</v>
      </c>
      <c r="M291" s="14">
        <v>18450</v>
      </c>
      <c r="N291" s="14">
        <f>K291/H291</f>
        <v>17500</v>
      </c>
      <c r="O291" s="4">
        <f>L291/I291</f>
        <v>17567.857142857141</v>
      </c>
      <c r="P291" s="4"/>
    </row>
    <row r="292" spans="1:16" x14ac:dyDescent="0.4">
      <c r="A292" s="49">
        <v>42445</v>
      </c>
      <c r="B292" s="48">
        <v>18450</v>
      </c>
      <c r="C292" s="48">
        <v>18450</v>
      </c>
      <c r="D292" s="48">
        <v>18450</v>
      </c>
      <c r="E292" s="48">
        <v>18450</v>
      </c>
      <c r="F292" s="50">
        <v>0</v>
      </c>
      <c r="G292" s="13">
        <f t="shared" si="15"/>
        <v>0</v>
      </c>
      <c r="H292" s="47">
        <v>0</v>
      </c>
      <c r="I292" s="48">
        <v>0</v>
      </c>
      <c r="J292" s="14">
        <f t="shared" si="14"/>
        <v>0</v>
      </c>
      <c r="K292" s="47">
        <v>0</v>
      </c>
      <c r="L292" s="47">
        <v>0</v>
      </c>
      <c r="M292" s="14">
        <f>IFERROR(J292/G292,0)</f>
        <v>0</v>
      </c>
      <c r="N292" s="14">
        <f>IFERROR(K292/H292,0)</f>
        <v>0</v>
      </c>
      <c r="O292" s="4">
        <f>IFERROR(L292/I292,0)</f>
        <v>0</v>
      </c>
      <c r="P292" s="4"/>
    </row>
    <row r="293" spans="1:16" x14ac:dyDescent="0.4">
      <c r="A293" s="49">
        <v>42446</v>
      </c>
      <c r="B293" s="48">
        <v>18450</v>
      </c>
      <c r="C293" s="48">
        <v>18450</v>
      </c>
      <c r="D293" s="48">
        <v>18450</v>
      </c>
      <c r="E293" s="48">
        <v>18450</v>
      </c>
      <c r="F293" s="50">
        <v>0</v>
      </c>
      <c r="G293" s="13">
        <f t="shared" si="15"/>
        <v>0</v>
      </c>
      <c r="H293" s="47">
        <v>0</v>
      </c>
      <c r="I293" s="48">
        <v>0</v>
      </c>
      <c r="J293" s="14">
        <f t="shared" si="14"/>
        <v>0</v>
      </c>
      <c r="K293" s="47">
        <v>0</v>
      </c>
      <c r="L293" s="47">
        <v>0</v>
      </c>
      <c r="M293" s="14">
        <f t="shared" ref="M293:O341" si="16">IFERROR(J293/G293,0)</f>
        <v>0</v>
      </c>
      <c r="N293" s="14">
        <f t="shared" si="16"/>
        <v>0</v>
      </c>
      <c r="O293" s="4">
        <f t="shared" si="16"/>
        <v>0</v>
      </c>
      <c r="P293" s="4"/>
    </row>
    <row r="294" spans="1:16" x14ac:dyDescent="0.4">
      <c r="A294" s="49">
        <v>42447</v>
      </c>
      <c r="B294" s="48">
        <v>18450</v>
      </c>
      <c r="C294" s="48">
        <v>18450</v>
      </c>
      <c r="D294" s="48">
        <v>18450</v>
      </c>
      <c r="E294" s="48">
        <v>18450</v>
      </c>
      <c r="F294" s="50">
        <v>0</v>
      </c>
      <c r="G294" s="13">
        <f t="shared" si="15"/>
        <v>0</v>
      </c>
      <c r="H294" s="47">
        <v>15500</v>
      </c>
      <c r="I294" s="48">
        <v>15500</v>
      </c>
      <c r="J294" s="14">
        <f t="shared" si="14"/>
        <v>0</v>
      </c>
      <c r="K294" s="13">
        <f>L294</f>
        <v>267375000</v>
      </c>
      <c r="L294" s="47">
        <v>267375000</v>
      </c>
      <c r="M294" s="14">
        <f t="shared" si="16"/>
        <v>0</v>
      </c>
      <c r="N294" s="14">
        <f t="shared" si="16"/>
        <v>17250</v>
      </c>
      <c r="O294" s="4">
        <f t="shared" si="16"/>
        <v>17250</v>
      </c>
      <c r="P294" s="4"/>
    </row>
    <row r="295" spans="1:16" x14ac:dyDescent="0.4">
      <c r="A295" s="49">
        <v>42450</v>
      </c>
      <c r="B295" s="48">
        <v>18450</v>
      </c>
      <c r="C295" s="48">
        <v>18450</v>
      </c>
      <c r="D295" s="48">
        <v>18450</v>
      </c>
      <c r="E295" s="48">
        <v>18450</v>
      </c>
      <c r="F295" s="50">
        <v>0</v>
      </c>
      <c r="G295" s="13">
        <f t="shared" si="15"/>
        <v>0</v>
      </c>
      <c r="H295" s="47">
        <v>0</v>
      </c>
      <c r="I295" s="48">
        <v>0</v>
      </c>
      <c r="J295" s="14">
        <f t="shared" si="14"/>
        <v>0</v>
      </c>
      <c r="K295" s="47">
        <v>0</v>
      </c>
      <c r="L295" s="47">
        <v>0</v>
      </c>
      <c r="M295" s="14">
        <f t="shared" si="16"/>
        <v>0</v>
      </c>
      <c r="N295" s="14">
        <f t="shared" si="16"/>
        <v>0</v>
      </c>
      <c r="O295" s="4">
        <f t="shared" si="16"/>
        <v>0</v>
      </c>
      <c r="P295" s="4"/>
    </row>
    <row r="296" spans="1:16" x14ac:dyDescent="0.4">
      <c r="A296" s="49">
        <v>42451</v>
      </c>
      <c r="B296" s="48">
        <v>18450</v>
      </c>
      <c r="C296" s="48">
        <v>18450</v>
      </c>
      <c r="D296" s="48">
        <v>18450</v>
      </c>
      <c r="E296" s="48">
        <v>18450</v>
      </c>
      <c r="F296" s="50">
        <v>0</v>
      </c>
      <c r="G296" s="13">
        <f t="shared" si="15"/>
        <v>0</v>
      </c>
      <c r="H296" s="47">
        <v>0</v>
      </c>
      <c r="I296" s="48">
        <v>0</v>
      </c>
      <c r="J296" s="14">
        <f t="shared" si="14"/>
        <v>0</v>
      </c>
      <c r="K296" s="47">
        <v>0</v>
      </c>
      <c r="L296" s="47">
        <v>0</v>
      </c>
      <c r="M296" s="14">
        <f t="shared" si="16"/>
        <v>0</v>
      </c>
      <c r="N296" s="14">
        <f t="shared" si="16"/>
        <v>0</v>
      </c>
      <c r="O296" s="4">
        <f t="shared" si="16"/>
        <v>0</v>
      </c>
      <c r="P296" s="4"/>
    </row>
    <row r="297" spans="1:16" x14ac:dyDescent="0.4">
      <c r="A297" s="49">
        <v>42452</v>
      </c>
      <c r="B297" s="48">
        <v>18450</v>
      </c>
      <c r="C297" s="48">
        <v>18450</v>
      </c>
      <c r="D297" s="48">
        <v>18450</v>
      </c>
      <c r="E297" s="48">
        <v>18450</v>
      </c>
      <c r="F297" s="50">
        <v>0</v>
      </c>
      <c r="G297" s="13">
        <f t="shared" si="15"/>
        <v>0</v>
      </c>
      <c r="H297" s="47">
        <v>0</v>
      </c>
      <c r="I297" s="48">
        <v>0</v>
      </c>
      <c r="J297" s="14">
        <f t="shared" si="14"/>
        <v>0</v>
      </c>
      <c r="K297" s="47">
        <v>0</v>
      </c>
      <c r="L297" s="47">
        <v>0</v>
      </c>
      <c r="M297" s="14">
        <f t="shared" si="16"/>
        <v>0</v>
      </c>
      <c r="N297" s="14">
        <f t="shared" si="16"/>
        <v>0</v>
      </c>
      <c r="O297" s="4">
        <f t="shared" si="16"/>
        <v>0</v>
      </c>
      <c r="P297" s="4"/>
    </row>
    <row r="298" spans="1:16" x14ac:dyDescent="0.4">
      <c r="A298" s="49">
        <v>42453</v>
      </c>
      <c r="B298" s="48">
        <v>18450</v>
      </c>
      <c r="C298" s="48">
        <v>18450</v>
      </c>
      <c r="D298" s="48">
        <v>18450</v>
      </c>
      <c r="E298" s="48">
        <v>18450</v>
      </c>
      <c r="F298" s="50">
        <v>0</v>
      </c>
      <c r="G298" s="13">
        <f t="shared" si="15"/>
        <v>0</v>
      </c>
      <c r="H298" s="47">
        <v>0</v>
      </c>
      <c r="I298" s="48">
        <v>0</v>
      </c>
      <c r="J298" s="14">
        <f t="shared" si="14"/>
        <v>0</v>
      </c>
      <c r="K298" s="47">
        <v>0</v>
      </c>
      <c r="L298" s="47">
        <v>0</v>
      </c>
      <c r="M298" s="14">
        <f t="shared" si="16"/>
        <v>0</v>
      </c>
      <c r="N298" s="14">
        <f t="shared" si="16"/>
        <v>0</v>
      </c>
      <c r="O298" s="4">
        <f t="shared" si="16"/>
        <v>0</v>
      </c>
      <c r="P298" s="4"/>
    </row>
    <row r="299" spans="1:16" x14ac:dyDescent="0.4">
      <c r="A299" s="49">
        <v>42454</v>
      </c>
      <c r="B299" s="48">
        <v>18450</v>
      </c>
      <c r="C299" s="48">
        <v>18450</v>
      </c>
      <c r="D299" s="48">
        <v>18450</v>
      </c>
      <c r="E299" s="48">
        <v>18450</v>
      </c>
      <c r="F299" s="50">
        <v>0</v>
      </c>
      <c r="G299" s="13">
        <f t="shared" si="15"/>
        <v>0</v>
      </c>
      <c r="H299" s="47">
        <v>0</v>
      </c>
      <c r="I299" s="48">
        <v>0</v>
      </c>
      <c r="J299" s="14">
        <f t="shared" si="14"/>
        <v>0</v>
      </c>
      <c r="K299" s="47">
        <v>0</v>
      </c>
      <c r="L299" s="47">
        <v>0</v>
      </c>
      <c r="M299" s="14">
        <f t="shared" si="16"/>
        <v>0</v>
      </c>
      <c r="N299" s="14">
        <f t="shared" si="16"/>
        <v>0</v>
      </c>
      <c r="O299" s="4">
        <f t="shared" si="16"/>
        <v>0</v>
      </c>
      <c r="P299" s="4"/>
    </row>
    <row r="300" spans="1:16" x14ac:dyDescent="0.4">
      <c r="A300" s="49">
        <v>42457</v>
      </c>
      <c r="B300" s="48">
        <v>18450</v>
      </c>
      <c r="C300" s="48">
        <v>18450</v>
      </c>
      <c r="D300" s="48">
        <v>18450</v>
      </c>
      <c r="E300" s="48">
        <v>18450</v>
      </c>
      <c r="F300" s="50">
        <v>0</v>
      </c>
      <c r="G300" s="13">
        <f t="shared" si="15"/>
        <v>0</v>
      </c>
      <c r="H300" s="47">
        <v>0</v>
      </c>
      <c r="I300" s="48">
        <v>0</v>
      </c>
      <c r="J300" s="14">
        <f t="shared" si="14"/>
        <v>0</v>
      </c>
      <c r="K300" s="47">
        <v>0</v>
      </c>
      <c r="L300" s="47">
        <v>0</v>
      </c>
      <c r="M300" s="14">
        <f t="shared" si="16"/>
        <v>0</v>
      </c>
      <c r="N300" s="14">
        <f t="shared" si="16"/>
        <v>0</v>
      </c>
      <c r="O300" s="4">
        <f t="shared" si="16"/>
        <v>0</v>
      </c>
      <c r="P300" s="4"/>
    </row>
    <row r="301" spans="1:16" x14ac:dyDescent="0.4">
      <c r="A301" s="49">
        <v>42458</v>
      </c>
      <c r="B301" s="48">
        <v>18450</v>
      </c>
      <c r="C301" s="48">
        <v>18450</v>
      </c>
      <c r="D301" s="48">
        <v>18450</v>
      </c>
      <c r="E301" s="48">
        <v>18450</v>
      </c>
      <c r="F301" s="50">
        <v>0</v>
      </c>
      <c r="G301" s="13">
        <f t="shared" si="15"/>
        <v>0</v>
      </c>
      <c r="H301" s="47">
        <v>0</v>
      </c>
      <c r="I301" s="48">
        <v>0</v>
      </c>
      <c r="J301" s="14">
        <f t="shared" si="14"/>
        <v>0</v>
      </c>
      <c r="K301" s="47">
        <v>0</v>
      </c>
      <c r="L301" s="47">
        <v>0</v>
      </c>
      <c r="M301" s="14">
        <f t="shared" si="16"/>
        <v>0</v>
      </c>
      <c r="N301" s="14">
        <f t="shared" si="16"/>
        <v>0</v>
      </c>
      <c r="O301" s="4">
        <f t="shared" si="16"/>
        <v>0</v>
      </c>
      <c r="P301" s="4"/>
    </row>
    <row r="302" spans="1:16" x14ac:dyDescent="0.4">
      <c r="A302" s="49">
        <v>42459</v>
      </c>
      <c r="B302" s="48">
        <v>18450</v>
      </c>
      <c r="C302" s="48">
        <v>18450</v>
      </c>
      <c r="D302" s="48">
        <v>18450</v>
      </c>
      <c r="E302" s="48">
        <v>18450</v>
      </c>
      <c r="F302" s="50">
        <v>0</v>
      </c>
      <c r="G302" s="13">
        <f t="shared" si="15"/>
        <v>0</v>
      </c>
      <c r="H302" s="47">
        <v>0</v>
      </c>
      <c r="I302" s="48">
        <v>0</v>
      </c>
      <c r="J302" s="14">
        <f t="shared" si="14"/>
        <v>0</v>
      </c>
      <c r="K302" s="47">
        <v>0</v>
      </c>
      <c r="L302" s="47">
        <v>0</v>
      </c>
      <c r="M302" s="14">
        <f t="shared" si="16"/>
        <v>0</v>
      </c>
      <c r="N302" s="14">
        <f t="shared" si="16"/>
        <v>0</v>
      </c>
      <c r="O302" s="4">
        <f t="shared" si="16"/>
        <v>0</v>
      </c>
      <c r="P302" s="4"/>
    </row>
    <row r="303" spans="1:16" x14ac:dyDescent="0.4">
      <c r="A303" s="49">
        <v>42460</v>
      </c>
      <c r="B303" s="48">
        <v>18450</v>
      </c>
      <c r="C303" s="48">
        <v>18450</v>
      </c>
      <c r="D303" s="48">
        <v>18450</v>
      </c>
      <c r="E303" s="48">
        <v>18450</v>
      </c>
      <c r="F303" s="50">
        <v>0</v>
      </c>
      <c r="G303" s="13">
        <f t="shared" si="15"/>
        <v>0</v>
      </c>
      <c r="H303" s="47">
        <v>0</v>
      </c>
      <c r="I303" s="48">
        <v>0</v>
      </c>
      <c r="J303" s="14">
        <f t="shared" si="14"/>
        <v>0</v>
      </c>
      <c r="K303" s="47">
        <v>0</v>
      </c>
      <c r="L303" s="47">
        <v>0</v>
      </c>
      <c r="M303" s="14">
        <f t="shared" si="16"/>
        <v>0</v>
      </c>
      <c r="N303" s="14">
        <f t="shared" si="16"/>
        <v>0</v>
      </c>
      <c r="O303" s="4">
        <f t="shared" si="16"/>
        <v>0</v>
      </c>
      <c r="P303" s="4"/>
    </row>
    <row r="304" spans="1:16" x14ac:dyDescent="0.4">
      <c r="A304" s="49">
        <v>42461</v>
      </c>
      <c r="B304" s="48">
        <v>18450</v>
      </c>
      <c r="C304" s="48">
        <v>18450</v>
      </c>
      <c r="D304" s="48">
        <v>18450</v>
      </c>
      <c r="E304" s="48">
        <v>18450</v>
      </c>
      <c r="F304" s="50">
        <v>0</v>
      </c>
      <c r="G304" s="13">
        <f t="shared" si="15"/>
        <v>0</v>
      </c>
      <c r="H304" s="47">
        <v>0</v>
      </c>
      <c r="I304" s="48">
        <v>0</v>
      </c>
      <c r="J304" s="14">
        <f t="shared" si="14"/>
        <v>0</v>
      </c>
      <c r="K304" s="47">
        <v>0</v>
      </c>
      <c r="L304" s="47">
        <v>0</v>
      </c>
      <c r="M304" s="14">
        <f t="shared" si="16"/>
        <v>0</v>
      </c>
      <c r="N304" s="14">
        <f t="shared" si="16"/>
        <v>0</v>
      </c>
      <c r="O304" s="4">
        <f t="shared" si="16"/>
        <v>0</v>
      </c>
      <c r="P304" s="4"/>
    </row>
    <row r="305" spans="1:16" x14ac:dyDescent="0.4">
      <c r="A305" s="49">
        <v>42464</v>
      </c>
      <c r="B305" s="48">
        <v>18450</v>
      </c>
      <c r="C305" s="48">
        <v>18450</v>
      </c>
      <c r="D305" s="48">
        <v>18450</v>
      </c>
      <c r="E305" s="48">
        <v>18450</v>
      </c>
      <c r="F305" s="50">
        <v>0</v>
      </c>
      <c r="G305" s="13">
        <f t="shared" si="15"/>
        <v>0</v>
      </c>
      <c r="H305" s="47">
        <v>0</v>
      </c>
      <c r="I305" s="48">
        <v>0</v>
      </c>
      <c r="J305" s="14">
        <f t="shared" si="14"/>
        <v>0</v>
      </c>
      <c r="K305" s="47">
        <v>0</v>
      </c>
      <c r="L305" s="47">
        <v>0</v>
      </c>
      <c r="M305" s="14">
        <f t="shared" si="16"/>
        <v>0</v>
      </c>
      <c r="N305" s="14">
        <f t="shared" si="16"/>
        <v>0</v>
      </c>
      <c r="O305" s="4">
        <f t="shared" si="16"/>
        <v>0</v>
      </c>
      <c r="P305" s="4"/>
    </row>
    <row r="306" spans="1:16" x14ac:dyDescent="0.4">
      <c r="A306" s="49">
        <v>42465</v>
      </c>
      <c r="B306" s="48">
        <v>18450</v>
      </c>
      <c r="C306" s="48">
        <v>18450</v>
      </c>
      <c r="D306" s="48">
        <v>18450</v>
      </c>
      <c r="E306" s="48">
        <v>18450</v>
      </c>
      <c r="F306" s="50">
        <v>0</v>
      </c>
      <c r="G306" s="13">
        <f t="shared" si="15"/>
        <v>0</v>
      </c>
      <c r="H306" s="47">
        <v>0</v>
      </c>
      <c r="I306" s="48">
        <v>0</v>
      </c>
      <c r="J306" s="14">
        <f t="shared" si="14"/>
        <v>0</v>
      </c>
      <c r="K306" s="47">
        <v>0</v>
      </c>
      <c r="L306" s="47">
        <v>0</v>
      </c>
      <c r="M306" s="14">
        <f t="shared" si="16"/>
        <v>0</v>
      </c>
      <c r="N306" s="14">
        <f t="shared" si="16"/>
        <v>0</v>
      </c>
      <c r="O306" s="4">
        <f t="shared" si="16"/>
        <v>0</v>
      </c>
      <c r="P306" s="4"/>
    </row>
    <row r="307" spans="1:16" x14ac:dyDescent="0.4">
      <c r="A307" s="49">
        <v>42466</v>
      </c>
      <c r="B307" s="48">
        <v>18450</v>
      </c>
      <c r="C307" s="48">
        <v>18450</v>
      </c>
      <c r="D307" s="48">
        <v>18450</v>
      </c>
      <c r="E307" s="48">
        <v>18450</v>
      </c>
      <c r="F307" s="50">
        <v>0</v>
      </c>
      <c r="G307" s="13">
        <f t="shared" si="15"/>
        <v>0</v>
      </c>
      <c r="H307" s="47">
        <v>0</v>
      </c>
      <c r="I307" s="48">
        <v>0</v>
      </c>
      <c r="J307" s="14">
        <f t="shared" si="14"/>
        <v>0</v>
      </c>
      <c r="K307" s="47">
        <v>0</v>
      </c>
      <c r="L307" s="47">
        <v>0</v>
      </c>
      <c r="M307" s="14">
        <f t="shared" si="16"/>
        <v>0</v>
      </c>
      <c r="N307" s="14">
        <f t="shared" si="16"/>
        <v>0</v>
      </c>
      <c r="O307" s="4">
        <f t="shared" si="16"/>
        <v>0</v>
      </c>
      <c r="P307" s="4"/>
    </row>
    <row r="308" spans="1:16" x14ac:dyDescent="0.4">
      <c r="A308" s="49">
        <v>42467</v>
      </c>
      <c r="B308" s="48">
        <v>18450</v>
      </c>
      <c r="C308" s="48">
        <v>18450</v>
      </c>
      <c r="D308" s="48">
        <v>18450</v>
      </c>
      <c r="E308" s="48">
        <v>18450</v>
      </c>
      <c r="F308" s="50">
        <v>0</v>
      </c>
      <c r="G308" s="13">
        <f t="shared" si="15"/>
        <v>0</v>
      </c>
      <c r="H308" s="47">
        <v>0</v>
      </c>
      <c r="I308" s="48">
        <v>0</v>
      </c>
      <c r="J308" s="14">
        <f t="shared" si="14"/>
        <v>0</v>
      </c>
      <c r="K308" s="47">
        <v>0</v>
      </c>
      <c r="L308" s="47">
        <v>0</v>
      </c>
      <c r="M308" s="14">
        <f t="shared" si="16"/>
        <v>0</v>
      </c>
      <c r="N308" s="14">
        <f t="shared" si="16"/>
        <v>0</v>
      </c>
      <c r="O308" s="4">
        <f t="shared" si="16"/>
        <v>0</v>
      </c>
      <c r="P308" s="4"/>
    </row>
    <row r="309" spans="1:16" x14ac:dyDescent="0.4">
      <c r="A309" s="49">
        <v>42468</v>
      </c>
      <c r="B309" s="48">
        <v>18450</v>
      </c>
      <c r="C309" s="48">
        <v>18450</v>
      </c>
      <c r="D309" s="48">
        <v>18450</v>
      </c>
      <c r="E309" s="48">
        <v>18450</v>
      </c>
      <c r="F309" s="50">
        <v>0</v>
      </c>
      <c r="G309" s="13">
        <f t="shared" si="15"/>
        <v>0</v>
      </c>
      <c r="H309" s="47">
        <v>0</v>
      </c>
      <c r="I309" s="48">
        <v>0</v>
      </c>
      <c r="J309" s="14">
        <f t="shared" si="14"/>
        <v>0</v>
      </c>
      <c r="K309" s="47">
        <v>0</v>
      </c>
      <c r="L309" s="47">
        <v>0</v>
      </c>
      <c r="M309" s="14">
        <f t="shared" si="16"/>
        <v>0</v>
      </c>
      <c r="N309" s="14">
        <f t="shared" si="16"/>
        <v>0</v>
      </c>
      <c r="O309" s="4">
        <f t="shared" si="16"/>
        <v>0</v>
      </c>
      <c r="P309" s="4"/>
    </row>
    <row r="310" spans="1:16" x14ac:dyDescent="0.4">
      <c r="A310" s="49">
        <v>42471</v>
      </c>
      <c r="B310" s="48">
        <v>18450</v>
      </c>
      <c r="C310" s="48">
        <v>18450</v>
      </c>
      <c r="D310" s="48">
        <v>18450</v>
      </c>
      <c r="E310" s="48">
        <v>18450</v>
      </c>
      <c r="F310" s="50">
        <v>0</v>
      </c>
      <c r="G310" s="13">
        <f t="shared" si="15"/>
        <v>0</v>
      </c>
      <c r="H310" s="47">
        <v>10000</v>
      </c>
      <c r="I310" s="48">
        <v>10000</v>
      </c>
      <c r="J310" s="14">
        <f t="shared" si="14"/>
        <v>0</v>
      </c>
      <c r="K310" s="13">
        <f>L310</f>
        <v>185000000</v>
      </c>
      <c r="L310" s="47">
        <v>185000000</v>
      </c>
      <c r="M310" s="14">
        <f t="shared" si="16"/>
        <v>0</v>
      </c>
      <c r="N310" s="14">
        <f t="shared" si="16"/>
        <v>18500</v>
      </c>
      <c r="O310" s="4">
        <f t="shared" si="16"/>
        <v>18500</v>
      </c>
      <c r="P310" s="4"/>
    </row>
    <row r="311" spans="1:16" x14ac:dyDescent="0.4">
      <c r="A311" s="49">
        <v>42472</v>
      </c>
      <c r="B311" s="48">
        <v>18450</v>
      </c>
      <c r="C311" s="48">
        <v>18450</v>
      </c>
      <c r="D311" s="48">
        <v>18450</v>
      </c>
      <c r="E311" s="48">
        <v>18450</v>
      </c>
      <c r="F311" s="50">
        <v>0</v>
      </c>
      <c r="G311" s="13">
        <f t="shared" si="15"/>
        <v>0</v>
      </c>
      <c r="H311" s="47">
        <v>0</v>
      </c>
      <c r="I311" s="48">
        <v>0</v>
      </c>
      <c r="J311" s="14">
        <f t="shared" si="14"/>
        <v>0</v>
      </c>
      <c r="K311" s="47">
        <v>0</v>
      </c>
      <c r="L311" s="47">
        <v>0</v>
      </c>
      <c r="M311" s="14">
        <f t="shared" si="16"/>
        <v>0</v>
      </c>
      <c r="N311" s="14">
        <f t="shared" si="16"/>
        <v>0</v>
      </c>
      <c r="O311" s="4">
        <f t="shared" si="16"/>
        <v>0</v>
      </c>
      <c r="P311" s="4"/>
    </row>
    <row r="312" spans="1:16" x14ac:dyDescent="0.4">
      <c r="A312" s="49">
        <v>42474</v>
      </c>
      <c r="B312" s="48">
        <v>18450</v>
      </c>
      <c r="C312" s="48">
        <v>18450</v>
      </c>
      <c r="D312" s="48">
        <v>18450</v>
      </c>
      <c r="E312" s="48">
        <v>18450</v>
      </c>
      <c r="F312" s="50">
        <v>0</v>
      </c>
      <c r="G312" s="13">
        <f t="shared" si="15"/>
        <v>0</v>
      </c>
      <c r="H312" s="47">
        <v>0</v>
      </c>
      <c r="I312" s="48">
        <v>0</v>
      </c>
      <c r="J312" s="14">
        <f t="shared" si="14"/>
        <v>0</v>
      </c>
      <c r="K312" s="47">
        <v>0</v>
      </c>
      <c r="L312" s="47">
        <v>0</v>
      </c>
      <c r="M312" s="14">
        <f t="shared" si="16"/>
        <v>0</v>
      </c>
      <c r="N312" s="14">
        <f t="shared" si="16"/>
        <v>0</v>
      </c>
      <c r="O312" s="4">
        <f t="shared" si="16"/>
        <v>0</v>
      </c>
      <c r="P312" s="4"/>
    </row>
    <row r="313" spans="1:16" x14ac:dyDescent="0.4">
      <c r="A313" s="49">
        <v>42475</v>
      </c>
      <c r="B313" s="48">
        <v>18450</v>
      </c>
      <c r="C313" s="48">
        <v>18450</v>
      </c>
      <c r="D313" s="48">
        <v>18450</v>
      </c>
      <c r="E313" s="48">
        <v>18450</v>
      </c>
      <c r="F313" s="50">
        <v>0</v>
      </c>
      <c r="G313" s="13">
        <f t="shared" si="15"/>
        <v>25500</v>
      </c>
      <c r="H313" s="47">
        <v>0</v>
      </c>
      <c r="I313" s="48">
        <v>25500</v>
      </c>
      <c r="J313" s="14">
        <f t="shared" si="14"/>
        <v>470475000</v>
      </c>
      <c r="K313" s="47">
        <v>0</v>
      </c>
      <c r="L313" s="47">
        <v>470475000</v>
      </c>
      <c r="M313" s="14">
        <f t="shared" si="16"/>
        <v>18450</v>
      </c>
      <c r="N313" s="14">
        <f t="shared" si="16"/>
        <v>0</v>
      </c>
      <c r="O313" s="4">
        <f t="shared" si="16"/>
        <v>18450</v>
      </c>
      <c r="P313" s="4"/>
    </row>
    <row r="314" spans="1:16" x14ac:dyDescent="0.4">
      <c r="A314" s="49">
        <v>42478</v>
      </c>
      <c r="B314" s="48">
        <v>18450</v>
      </c>
      <c r="C314" s="48">
        <v>18450</v>
      </c>
      <c r="D314" s="48">
        <v>18450</v>
      </c>
      <c r="E314" s="48">
        <v>18450</v>
      </c>
      <c r="F314" s="50">
        <v>0</v>
      </c>
      <c r="G314" s="13">
        <f t="shared" si="15"/>
        <v>52300</v>
      </c>
      <c r="H314" s="47">
        <v>0</v>
      </c>
      <c r="I314" s="48">
        <v>52300</v>
      </c>
      <c r="J314" s="14">
        <f t="shared" si="14"/>
        <v>964935000</v>
      </c>
      <c r="K314" s="47">
        <v>0</v>
      </c>
      <c r="L314" s="47">
        <v>964935000</v>
      </c>
      <c r="M314" s="14">
        <f t="shared" si="16"/>
        <v>18450</v>
      </c>
      <c r="N314" s="14">
        <f t="shared" si="16"/>
        <v>0</v>
      </c>
      <c r="O314" s="4">
        <f t="shared" si="16"/>
        <v>18450</v>
      </c>
      <c r="P314" s="4"/>
    </row>
    <row r="315" spans="1:16" x14ac:dyDescent="0.4">
      <c r="A315" s="49">
        <v>42479</v>
      </c>
      <c r="B315" s="48">
        <v>18450</v>
      </c>
      <c r="C315" s="48">
        <v>18450</v>
      </c>
      <c r="D315" s="48">
        <v>18450</v>
      </c>
      <c r="E315" s="48">
        <v>18450</v>
      </c>
      <c r="F315" s="50">
        <v>0</v>
      </c>
      <c r="G315" s="13">
        <f t="shared" si="15"/>
        <v>0</v>
      </c>
      <c r="H315" s="47">
        <v>0</v>
      </c>
      <c r="I315" s="48">
        <v>0</v>
      </c>
      <c r="J315" s="14">
        <f t="shared" si="14"/>
        <v>0</v>
      </c>
      <c r="K315" s="47">
        <v>0</v>
      </c>
      <c r="L315" s="47">
        <v>0</v>
      </c>
      <c r="M315" s="14">
        <f t="shared" si="16"/>
        <v>0</v>
      </c>
      <c r="N315" s="14">
        <f t="shared" si="16"/>
        <v>0</v>
      </c>
      <c r="O315" s="4">
        <f t="shared" si="16"/>
        <v>0</v>
      </c>
      <c r="P315" s="4"/>
    </row>
    <row r="316" spans="1:16" x14ac:dyDescent="0.4">
      <c r="A316" s="49">
        <v>42480</v>
      </c>
      <c r="B316" s="48">
        <v>18450</v>
      </c>
      <c r="C316" s="48">
        <v>18450</v>
      </c>
      <c r="D316" s="48">
        <v>18450</v>
      </c>
      <c r="E316" s="48">
        <v>18450</v>
      </c>
      <c r="F316" s="50">
        <v>0</v>
      </c>
      <c r="G316" s="13">
        <f t="shared" si="15"/>
        <v>0</v>
      </c>
      <c r="H316" s="47">
        <v>0</v>
      </c>
      <c r="I316" s="48">
        <v>0</v>
      </c>
      <c r="J316" s="14">
        <f t="shared" si="14"/>
        <v>0</v>
      </c>
      <c r="K316" s="47">
        <v>0</v>
      </c>
      <c r="L316" s="47">
        <v>0</v>
      </c>
      <c r="M316" s="14">
        <f t="shared" si="16"/>
        <v>0</v>
      </c>
      <c r="N316" s="14">
        <f t="shared" si="16"/>
        <v>0</v>
      </c>
      <c r="O316" s="4">
        <f t="shared" si="16"/>
        <v>0</v>
      </c>
      <c r="P316" s="4"/>
    </row>
    <row r="317" spans="1:16" x14ac:dyDescent="0.4">
      <c r="A317" s="49">
        <v>42481</v>
      </c>
      <c r="B317" s="48">
        <v>18450</v>
      </c>
      <c r="C317" s="48">
        <v>18450</v>
      </c>
      <c r="D317" s="48">
        <v>18450</v>
      </c>
      <c r="E317" s="48">
        <v>18450</v>
      </c>
      <c r="F317" s="50">
        <v>0</v>
      </c>
      <c r="G317" s="13">
        <f t="shared" si="15"/>
        <v>0</v>
      </c>
      <c r="H317" s="47">
        <v>0</v>
      </c>
      <c r="I317" s="48">
        <v>0</v>
      </c>
      <c r="J317" s="14">
        <f t="shared" si="14"/>
        <v>0</v>
      </c>
      <c r="K317" s="47">
        <v>0</v>
      </c>
      <c r="L317" s="47">
        <v>0</v>
      </c>
      <c r="M317" s="14">
        <f t="shared" si="16"/>
        <v>0</v>
      </c>
      <c r="N317" s="14">
        <f t="shared" si="16"/>
        <v>0</v>
      </c>
      <c r="O317" s="4">
        <f t="shared" si="16"/>
        <v>0</v>
      </c>
      <c r="P317" s="4"/>
    </row>
    <row r="318" spans="1:16" x14ac:dyDescent="0.4">
      <c r="A318" s="49">
        <v>42482</v>
      </c>
      <c r="B318" s="48">
        <v>18450</v>
      </c>
      <c r="C318" s="48">
        <v>18450</v>
      </c>
      <c r="D318" s="48">
        <v>18450</v>
      </c>
      <c r="E318" s="48">
        <v>18450</v>
      </c>
      <c r="F318" s="50">
        <v>0</v>
      </c>
      <c r="G318" s="13">
        <f t="shared" si="15"/>
        <v>0</v>
      </c>
      <c r="H318" s="47">
        <v>0</v>
      </c>
      <c r="I318" s="48">
        <v>0</v>
      </c>
      <c r="J318" s="14">
        <f t="shared" si="14"/>
        <v>0</v>
      </c>
      <c r="K318" s="47">
        <v>0</v>
      </c>
      <c r="L318" s="47">
        <v>0</v>
      </c>
      <c r="M318" s="14">
        <f t="shared" si="16"/>
        <v>0</v>
      </c>
      <c r="N318" s="14">
        <f t="shared" si="16"/>
        <v>0</v>
      </c>
      <c r="O318" s="4">
        <f t="shared" si="16"/>
        <v>0</v>
      </c>
      <c r="P318" s="4"/>
    </row>
    <row r="319" spans="1:16" x14ac:dyDescent="0.4">
      <c r="A319" s="49">
        <v>42485</v>
      </c>
      <c r="B319" s="48">
        <v>18450</v>
      </c>
      <c r="C319" s="48">
        <v>18450</v>
      </c>
      <c r="D319" s="48">
        <v>18450</v>
      </c>
      <c r="E319" s="48">
        <v>18450</v>
      </c>
      <c r="F319" s="50">
        <v>0</v>
      </c>
      <c r="G319" s="13">
        <f t="shared" si="15"/>
        <v>0</v>
      </c>
      <c r="H319" s="47">
        <v>0</v>
      </c>
      <c r="I319" s="48">
        <v>0</v>
      </c>
      <c r="J319" s="14">
        <f t="shared" si="14"/>
        <v>0</v>
      </c>
      <c r="K319" s="47">
        <v>0</v>
      </c>
      <c r="L319" s="47">
        <v>0</v>
      </c>
      <c r="M319" s="14">
        <f t="shared" si="16"/>
        <v>0</v>
      </c>
      <c r="N319" s="14">
        <f t="shared" si="16"/>
        <v>0</v>
      </c>
      <c r="O319" s="4">
        <f t="shared" si="16"/>
        <v>0</v>
      </c>
      <c r="P319" s="4"/>
    </row>
    <row r="320" spans="1:16" x14ac:dyDescent="0.4">
      <c r="A320" s="49">
        <v>42486</v>
      </c>
      <c r="B320" s="48">
        <v>18450</v>
      </c>
      <c r="C320" s="48">
        <v>18450</v>
      </c>
      <c r="D320" s="48">
        <v>18450</v>
      </c>
      <c r="E320" s="48">
        <v>18450</v>
      </c>
      <c r="F320" s="50">
        <v>0</v>
      </c>
      <c r="G320" s="13">
        <f t="shared" si="15"/>
        <v>0</v>
      </c>
      <c r="H320" s="47">
        <v>0</v>
      </c>
      <c r="I320" s="48">
        <v>0</v>
      </c>
      <c r="J320" s="14">
        <f t="shared" ref="J320:J344" si="17">L320-K320</f>
        <v>0</v>
      </c>
      <c r="K320" s="47">
        <v>0</v>
      </c>
      <c r="L320" s="47">
        <v>0</v>
      </c>
      <c r="M320" s="14">
        <f t="shared" si="16"/>
        <v>0</v>
      </c>
      <c r="N320" s="14">
        <f t="shared" si="16"/>
        <v>0</v>
      </c>
      <c r="O320" s="4">
        <f t="shared" si="16"/>
        <v>0</v>
      </c>
      <c r="P320" s="4"/>
    </row>
    <row r="321" spans="1:16" x14ac:dyDescent="0.4">
      <c r="A321" s="49">
        <v>42487</v>
      </c>
      <c r="B321" s="48">
        <v>18450</v>
      </c>
      <c r="C321" s="48">
        <v>18450</v>
      </c>
      <c r="D321" s="48">
        <v>18450</v>
      </c>
      <c r="E321" s="48">
        <v>18450</v>
      </c>
      <c r="F321" s="50">
        <v>0</v>
      </c>
      <c r="G321" s="13">
        <f t="shared" si="15"/>
        <v>0</v>
      </c>
      <c r="H321" s="47">
        <v>0</v>
      </c>
      <c r="I321" s="48">
        <v>0</v>
      </c>
      <c r="J321" s="14">
        <f t="shared" si="17"/>
        <v>0</v>
      </c>
      <c r="K321" s="47">
        <v>0</v>
      </c>
      <c r="L321" s="47">
        <v>0</v>
      </c>
      <c r="M321" s="14">
        <f t="shared" si="16"/>
        <v>0</v>
      </c>
      <c r="N321" s="14">
        <f t="shared" si="16"/>
        <v>0</v>
      </c>
      <c r="O321" s="4">
        <f t="shared" si="16"/>
        <v>0</v>
      </c>
      <c r="P321" s="4"/>
    </row>
    <row r="322" spans="1:16" x14ac:dyDescent="0.4">
      <c r="A322" s="49">
        <v>42488</v>
      </c>
      <c r="B322" s="48">
        <v>19000</v>
      </c>
      <c r="C322" s="48">
        <v>19000</v>
      </c>
      <c r="D322" s="48">
        <v>19000</v>
      </c>
      <c r="E322" s="48">
        <v>19000</v>
      </c>
      <c r="F322" s="50">
        <v>2.98</v>
      </c>
      <c r="G322" s="13">
        <f t="shared" si="15"/>
        <v>0</v>
      </c>
      <c r="H322" s="47">
        <v>0</v>
      </c>
      <c r="I322" s="48">
        <v>0</v>
      </c>
      <c r="J322" s="14">
        <f t="shared" si="17"/>
        <v>0</v>
      </c>
      <c r="K322" s="47">
        <v>0</v>
      </c>
      <c r="L322" s="47">
        <v>0</v>
      </c>
      <c r="M322" s="14">
        <f t="shared" si="16"/>
        <v>0</v>
      </c>
      <c r="N322" s="14">
        <f t="shared" si="16"/>
        <v>0</v>
      </c>
      <c r="O322" s="4">
        <f t="shared" si="16"/>
        <v>0</v>
      </c>
      <c r="P322" s="4"/>
    </row>
    <row r="323" spans="1:16" x14ac:dyDescent="0.4">
      <c r="A323" s="49">
        <v>42489</v>
      </c>
      <c r="B323" s="48">
        <v>19000</v>
      </c>
      <c r="C323" s="48">
        <v>19000</v>
      </c>
      <c r="D323" s="48">
        <v>19000</v>
      </c>
      <c r="E323" s="48">
        <v>19000</v>
      </c>
      <c r="F323" s="50">
        <v>0</v>
      </c>
      <c r="G323" s="13">
        <f t="shared" ref="G323:G364" si="18">I323-H323</f>
        <v>0</v>
      </c>
      <c r="H323" s="47">
        <v>0</v>
      </c>
      <c r="I323" s="48">
        <v>0</v>
      </c>
      <c r="J323" s="14">
        <f t="shared" si="17"/>
        <v>0</v>
      </c>
      <c r="K323" s="47">
        <v>0</v>
      </c>
      <c r="L323" s="47">
        <v>0</v>
      </c>
      <c r="M323" s="14">
        <f t="shared" si="16"/>
        <v>0</v>
      </c>
      <c r="N323" s="14">
        <f t="shared" si="16"/>
        <v>0</v>
      </c>
      <c r="O323" s="4">
        <f t="shared" si="16"/>
        <v>0</v>
      </c>
      <c r="P323" s="4"/>
    </row>
    <row r="324" spans="1:16" x14ac:dyDescent="0.4">
      <c r="A324" s="49">
        <v>42492</v>
      </c>
      <c r="B324" s="48">
        <v>19100</v>
      </c>
      <c r="C324" s="48">
        <v>19100</v>
      </c>
      <c r="D324" s="48">
        <v>19100</v>
      </c>
      <c r="E324" s="48">
        <v>19100</v>
      </c>
      <c r="F324" s="50">
        <v>0.53</v>
      </c>
      <c r="G324" s="13">
        <f t="shared" si="18"/>
        <v>0</v>
      </c>
      <c r="H324" s="47">
        <v>0</v>
      </c>
      <c r="I324" s="48">
        <v>0</v>
      </c>
      <c r="J324" s="14">
        <f t="shared" si="17"/>
        <v>0</v>
      </c>
      <c r="K324" s="47">
        <v>0</v>
      </c>
      <c r="L324" s="47">
        <v>0</v>
      </c>
      <c r="M324" s="14">
        <f t="shared" si="16"/>
        <v>0</v>
      </c>
      <c r="N324" s="14">
        <f t="shared" si="16"/>
        <v>0</v>
      </c>
      <c r="O324" s="4">
        <f t="shared" si="16"/>
        <v>0</v>
      </c>
      <c r="P324" s="4"/>
    </row>
    <row r="325" spans="1:16" x14ac:dyDescent="0.4">
      <c r="A325" s="49">
        <v>42493</v>
      </c>
      <c r="B325" s="48">
        <v>19200</v>
      </c>
      <c r="C325" s="48">
        <v>19200</v>
      </c>
      <c r="D325" s="48">
        <v>19200</v>
      </c>
      <c r="E325" s="48">
        <v>19200</v>
      </c>
      <c r="F325" s="50">
        <v>0.52</v>
      </c>
      <c r="G325" s="13">
        <f t="shared" si="18"/>
        <v>0</v>
      </c>
      <c r="H325" s="47">
        <v>0</v>
      </c>
      <c r="I325" s="48">
        <v>0</v>
      </c>
      <c r="J325" s="14">
        <f t="shared" si="17"/>
        <v>0</v>
      </c>
      <c r="K325" s="47">
        <v>0</v>
      </c>
      <c r="L325" s="47">
        <v>0</v>
      </c>
      <c r="M325" s="14">
        <f t="shared" si="16"/>
        <v>0</v>
      </c>
      <c r="N325" s="14">
        <f t="shared" si="16"/>
        <v>0</v>
      </c>
      <c r="O325" s="4">
        <f t="shared" si="16"/>
        <v>0</v>
      </c>
      <c r="P325" s="4"/>
    </row>
    <row r="326" spans="1:16" x14ac:dyDescent="0.4">
      <c r="A326" s="49">
        <v>42494</v>
      </c>
      <c r="B326" s="48">
        <v>19200</v>
      </c>
      <c r="C326" s="48">
        <v>19200</v>
      </c>
      <c r="D326" s="48">
        <v>19200</v>
      </c>
      <c r="E326" s="48">
        <v>19200</v>
      </c>
      <c r="F326" s="50">
        <v>0</v>
      </c>
      <c r="G326" s="13">
        <f t="shared" si="18"/>
        <v>0</v>
      </c>
      <c r="H326" s="47">
        <v>0</v>
      </c>
      <c r="I326" s="48">
        <v>0</v>
      </c>
      <c r="J326" s="14">
        <f t="shared" si="17"/>
        <v>0</v>
      </c>
      <c r="K326" s="47">
        <v>0</v>
      </c>
      <c r="L326" s="47">
        <v>0</v>
      </c>
      <c r="M326" s="14">
        <f t="shared" si="16"/>
        <v>0</v>
      </c>
      <c r="N326" s="14">
        <f t="shared" si="16"/>
        <v>0</v>
      </c>
      <c r="O326" s="4">
        <f t="shared" si="16"/>
        <v>0</v>
      </c>
      <c r="P326" s="4"/>
    </row>
    <row r="327" spans="1:16" x14ac:dyDescent="0.4">
      <c r="A327" s="49">
        <v>42499</v>
      </c>
      <c r="B327" s="48">
        <v>19200</v>
      </c>
      <c r="C327" s="48">
        <v>19200</v>
      </c>
      <c r="D327" s="48">
        <v>19200</v>
      </c>
      <c r="E327" s="48">
        <v>19200</v>
      </c>
      <c r="F327" s="50">
        <v>0</v>
      </c>
      <c r="G327" s="13">
        <f t="shared" si="18"/>
        <v>0</v>
      </c>
      <c r="H327" s="47">
        <v>0</v>
      </c>
      <c r="I327" s="48">
        <v>0</v>
      </c>
      <c r="J327" s="14">
        <f t="shared" si="17"/>
        <v>0</v>
      </c>
      <c r="K327" s="47">
        <v>0</v>
      </c>
      <c r="L327" s="47">
        <v>0</v>
      </c>
      <c r="M327" s="14">
        <f t="shared" si="16"/>
        <v>0</v>
      </c>
      <c r="N327" s="14">
        <f t="shared" si="16"/>
        <v>0</v>
      </c>
      <c r="O327" s="4">
        <f t="shared" si="16"/>
        <v>0</v>
      </c>
      <c r="P327" s="4"/>
    </row>
    <row r="328" spans="1:16" x14ac:dyDescent="0.4">
      <c r="A328" s="49">
        <v>42500</v>
      </c>
      <c r="B328" s="48">
        <v>19200</v>
      </c>
      <c r="C328" s="48">
        <v>19200</v>
      </c>
      <c r="D328" s="48">
        <v>19200</v>
      </c>
      <c r="E328" s="48">
        <v>19200</v>
      </c>
      <c r="F328" s="50">
        <v>0</v>
      </c>
      <c r="G328" s="13">
        <f t="shared" si="18"/>
        <v>0</v>
      </c>
      <c r="H328" s="47">
        <v>0</v>
      </c>
      <c r="I328" s="48">
        <v>0</v>
      </c>
      <c r="J328" s="14">
        <f t="shared" si="17"/>
        <v>0</v>
      </c>
      <c r="K328" s="47">
        <v>0</v>
      </c>
      <c r="L328" s="47">
        <v>0</v>
      </c>
      <c r="M328" s="14">
        <f t="shared" si="16"/>
        <v>0</v>
      </c>
      <c r="N328" s="14">
        <f t="shared" si="16"/>
        <v>0</v>
      </c>
      <c r="O328" s="4">
        <f t="shared" si="16"/>
        <v>0</v>
      </c>
      <c r="P328" s="4"/>
    </row>
    <row r="329" spans="1:16" x14ac:dyDescent="0.4">
      <c r="A329" s="49">
        <v>42501</v>
      </c>
      <c r="B329" s="48">
        <v>19300</v>
      </c>
      <c r="C329" s="48">
        <v>19300</v>
      </c>
      <c r="D329" s="48">
        <v>19300</v>
      </c>
      <c r="E329" s="48">
        <v>19300</v>
      </c>
      <c r="F329" s="50">
        <v>0.52</v>
      </c>
      <c r="G329" s="13">
        <f t="shared" si="18"/>
        <v>0</v>
      </c>
      <c r="H329" s="47">
        <v>0</v>
      </c>
      <c r="I329" s="48">
        <v>0</v>
      </c>
      <c r="J329" s="14">
        <f t="shared" si="17"/>
        <v>0</v>
      </c>
      <c r="K329" s="47">
        <v>0</v>
      </c>
      <c r="L329" s="47">
        <v>0</v>
      </c>
      <c r="M329" s="14">
        <f t="shared" si="16"/>
        <v>0</v>
      </c>
      <c r="N329" s="14">
        <f t="shared" si="16"/>
        <v>0</v>
      </c>
      <c r="O329" s="4">
        <f t="shared" si="16"/>
        <v>0</v>
      </c>
      <c r="P329" s="4"/>
    </row>
    <row r="330" spans="1:16" x14ac:dyDescent="0.4">
      <c r="A330" s="49">
        <v>42502</v>
      </c>
      <c r="B330" s="48">
        <v>19300</v>
      </c>
      <c r="C330" s="48">
        <v>19300</v>
      </c>
      <c r="D330" s="48">
        <v>19300</v>
      </c>
      <c r="E330" s="48">
        <v>19300</v>
      </c>
      <c r="F330" s="50">
        <v>0</v>
      </c>
      <c r="G330" s="13">
        <f t="shared" si="18"/>
        <v>0</v>
      </c>
      <c r="H330" s="47">
        <v>0</v>
      </c>
      <c r="I330" s="48">
        <v>0</v>
      </c>
      <c r="J330" s="14">
        <f t="shared" si="17"/>
        <v>0</v>
      </c>
      <c r="K330" s="47">
        <v>0</v>
      </c>
      <c r="L330" s="47">
        <v>0</v>
      </c>
      <c r="M330" s="14">
        <f t="shared" si="16"/>
        <v>0</v>
      </c>
      <c r="N330" s="14">
        <f t="shared" si="16"/>
        <v>0</v>
      </c>
      <c r="O330" s="4">
        <f t="shared" si="16"/>
        <v>0</v>
      </c>
      <c r="P330" s="4"/>
    </row>
    <row r="331" spans="1:16" x14ac:dyDescent="0.4">
      <c r="A331" s="49">
        <v>42503</v>
      </c>
      <c r="B331" s="48">
        <v>19300</v>
      </c>
      <c r="C331" s="48">
        <v>19300</v>
      </c>
      <c r="D331" s="48">
        <v>19300</v>
      </c>
      <c r="E331" s="48">
        <v>19300</v>
      </c>
      <c r="F331" s="50">
        <v>0</v>
      </c>
      <c r="G331" s="13">
        <f t="shared" si="18"/>
        <v>0</v>
      </c>
      <c r="H331" s="47">
        <v>0</v>
      </c>
      <c r="I331" s="48">
        <v>0</v>
      </c>
      <c r="J331" s="14">
        <f t="shared" si="17"/>
        <v>0</v>
      </c>
      <c r="K331" s="47">
        <v>0</v>
      </c>
      <c r="L331" s="47">
        <v>0</v>
      </c>
      <c r="M331" s="14">
        <f t="shared" si="16"/>
        <v>0</v>
      </c>
      <c r="N331" s="14">
        <f t="shared" si="16"/>
        <v>0</v>
      </c>
      <c r="O331" s="4">
        <f t="shared" si="16"/>
        <v>0</v>
      </c>
      <c r="P331" s="4"/>
    </row>
    <row r="332" spans="1:16" x14ac:dyDescent="0.4">
      <c r="A332" s="49">
        <v>42506</v>
      </c>
      <c r="B332" s="48">
        <v>19300</v>
      </c>
      <c r="C332" s="48">
        <v>19300</v>
      </c>
      <c r="D332" s="48">
        <v>19300</v>
      </c>
      <c r="E332" s="48">
        <v>19300</v>
      </c>
      <c r="F332" s="50">
        <v>0</v>
      </c>
      <c r="G332" s="13">
        <f t="shared" si="18"/>
        <v>0</v>
      </c>
      <c r="H332" s="47">
        <v>0</v>
      </c>
      <c r="I332" s="48">
        <v>0</v>
      </c>
      <c r="J332" s="14">
        <f t="shared" si="17"/>
        <v>0</v>
      </c>
      <c r="K332" s="47">
        <v>0</v>
      </c>
      <c r="L332" s="47">
        <v>0</v>
      </c>
      <c r="M332" s="14">
        <f t="shared" si="16"/>
        <v>0</v>
      </c>
      <c r="N332" s="14">
        <f t="shared" si="16"/>
        <v>0</v>
      </c>
      <c r="O332" s="4">
        <f t="shared" si="16"/>
        <v>0</v>
      </c>
      <c r="P332" s="4"/>
    </row>
    <row r="333" spans="1:16" x14ac:dyDescent="0.4">
      <c r="A333" s="49">
        <v>42507</v>
      </c>
      <c r="B333" s="48">
        <v>19300</v>
      </c>
      <c r="C333" s="48">
        <v>19300</v>
      </c>
      <c r="D333" s="48">
        <v>19300</v>
      </c>
      <c r="E333" s="48">
        <v>19300</v>
      </c>
      <c r="F333" s="50">
        <v>0</v>
      </c>
      <c r="G333" s="13">
        <f t="shared" si="18"/>
        <v>0</v>
      </c>
      <c r="H333" s="47">
        <v>0</v>
      </c>
      <c r="I333" s="48">
        <v>0</v>
      </c>
      <c r="J333" s="14">
        <f t="shared" si="17"/>
        <v>0</v>
      </c>
      <c r="K333" s="47">
        <v>0</v>
      </c>
      <c r="L333" s="47">
        <v>0</v>
      </c>
      <c r="M333" s="14">
        <f t="shared" si="16"/>
        <v>0</v>
      </c>
      <c r="N333" s="14">
        <f t="shared" si="16"/>
        <v>0</v>
      </c>
      <c r="O333" s="4">
        <f t="shared" si="16"/>
        <v>0</v>
      </c>
      <c r="P333" s="4"/>
    </row>
    <row r="334" spans="1:16" x14ac:dyDescent="0.4">
      <c r="A334" s="49">
        <v>42508</v>
      </c>
      <c r="B334" s="48">
        <v>19400</v>
      </c>
      <c r="C334" s="48">
        <v>19400</v>
      </c>
      <c r="D334" s="48">
        <v>19400</v>
      </c>
      <c r="E334" s="48">
        <v>19400</v>
      </c>
      <c r="F334" s="50">
        <v>0.52</v>
      </c>
      <c r="G334" s="13">
        <f t="shared" si="18"/>
        <v>0</v>
      </c>
      <c r="H334" s="47">
        <v>0</v>
      </c>
      <c r="I334" s="48">
        <v>0</v>
      </c>
      <c r="J334" s="14">
        <f t="shared" si="17"/>
        <v>0</v>
      </c>
      <c r="K334" s="47">
        <v>0</v>
      </c>
      <c r="L334" s="47">
        <v>0</v>
      </c>
      <c r="M334" s="14">
        <f t="shared" si="16"/>
        <v>0</v>
      </c>
      <c r="N334" s="14">
        <f t="shared" si="16"/>
        <v>0</v>
      </c>
      <c r="O334" s="4">
        <f t="shared" si="16"/>
        <v>0</v>
      </c>
      <c r="P334" s="4"/>
    </row>
    <row r="335" spans="1:16" x14ac:dyDescent="0.4">
      <c r="A335" s="49">
        <v>42509</v>
      </c>
      <c r="B335" s="48">
        <v>21000</v>
      </c>
      <c r="C335" s="48">
        <v>21000</v>
      </c>
      <c r="D335" s="48">
        <v>21000</v>
      </c>
      <c r="E335" s="48">
        <v>21000</v>
      </c>
      <c r="F335" s="50">
        <v>8.25</v>
      </c>
      <c r="G335" s="13">
        <f t="shared" si="18"/>
        <v>2000</v>
      </c>
      <c r="H335" s="47">
        <v>0</v>
      </c>
      <c r="I335" s="48">
        <v>2000</v>
      </c>
      <c r="J335" s="14">
        <f t="shared" si="17"/>
        <v>42000000</v>
      </c>
      <c r="K335" s="47">
        <v>0</v>
      </c>
      <c r="L335" s="47">
        <v>42000000</v>
      </c>
      <c r="M335" s="14">
        <f t="shared" si="16"/>
        <v>21000</v>
      </c>
      <c r="N335" s="14">
        <f t="shared" si="16"/>
        <v>0</v>
      </c>
      <c r="O335" s="4">
        <f t="shared" si="16"/>
        <v>21000</v>
      </c>
      <c r="P335" s="4"/>
    </row>
    <row r="336" spans="1:16" x14ac:dyDescent="0.4">
      <c r="A336" s="49">
        <v>42510</v>
      </c>
      <c r="B336" s="48">
        <v>21000</v>
      </c>
      <c r="C336" s="48">
        <v>21000</v>
      </c>
      <c r="D336" s="48">
        <v>21000</v>
      </c>
      <c r="E336" s="48">
        <v>21000</v>
      </c>
      <c r="F336" s="50">
        <v>0</v>
      </c>
      <c r="G336" s="13">
        <f t="shared" si="18"/>
        <v>600</v>
      </c>
      <c r="H336" s="47">
        <v>0</v>
      </c>
      <c r="I336" s="48">
        <v>600</v>
      </c>
      <c r="J336" s="14">
        <f t="shared" si="17"/>
        <v>12600000</v>
      </c>
      <c r="K336" s="47">
        <v>0</v>
      </c>
      <c r="L336" s="47">
        <v>12600000</v>
      </c>
      <c r="M336" s="14">
        <f t="shared" si="16"/>
        <v>21000</v>
      </c>
      <c r="N336" s="14">
        <f t="shared" si="16"/>
        <v>0</v>
      </c>
      <c r="O336" s="4">
        <f t="shared" si="16"/>
        <v>21000</v>
      </c>
      <c r="P336" s="4"/>
    </row>
    <row r="337" spans="1:16" x14ac:dyDescent="0.4">
      <c r="A337" s="49">
        <v>42513</v>
      </c>
      <c r="B337" s="48">
        <v>21000</v>
      </c>
      <c r="C337" s="48">
        <v>21000</v>
      </c>
      <c r="D337" s="48">
        <v>21000</v>
      </c>
      <c r="E337" s="48">
        <v>21000</v>
      </c>
      <c r="F337" s="50">
        <v>0</v>
      </c>
      <c r="G337" s="13">
        <f t="shared" si="18"/>
        <v>5000</v>
      </c>
      <c r="H337" s="47">
        <v>0</v>
      </c>
      <c r="I337" s="48">
        <v>5000</v>
      </c>
      <c r="J337" s="14">
        <f t="shared" si="17"/>
        <v>105000000</v>
      </c>
      <c r="K337" s="47">
        <v>0</v>
      </c>
      <c r="L337" s="47">
        <v>105000000</v>
      </c>
      <c r="M337" s="14">
        <f t="shared" si="16"/>
        <v>21000</v>
      </c>
      <c r="N337" s="14">
        <f t="shared" si="16"/>
        <v>0</v>
      </c>
      <c r="O337" s="4">
        <f t="shared" si="16"/>
        <v>21000</v>
      </c>
      <c r="P337" s="4"/>
    </row>
    <row r="338" spans="1:16" x14ac:dyDescent="0.4">
      <c r="A338" s="49">
        <v>42514</v>
      </c>
      <c r="B338" s="48">
        <v>21000</v>
      </c>
      <c r="C338" s="48">
        <v>21000</v>
      </c>
      <c r="D338" s="48">
        <v>21000</v>
      </c>
      <c r="E338" s="48">
        <v>21000</v>
      </c>
      <c r="F338" s="50">
        <v>0</v>
      </c>
      <c r="G338" s="13">
        <f t="shared" si="18"/>
        <v>0</v>
      </c>
      <c r="H338" s="47">
        <v>0</v>
      </c>
      <c r="I338" s="48">
        <v>0</v>
      </c>
      <c r="J338" s="14">
        <f t="shared" si="17"/>
        <v>0</v>
      </c>
      <c r="K338" s="47">
        <v>0</v>
      </c>
      <c r="L338" s="47">
        <v>0</v>
      </c>
      <c r="M338" s="14">
        <f t="shared" si="16"/>
        <v>0</v>
      </c>
      <c r="N338" s="14">
        <f t="shared" si="16"/>
        <v>0</v>
      </c>
      <c r="O338" s="4">
        <f t="shared" si="16"/>
        <v>0</v>
      </c>
      <c r="P338" s="4"/>
    </row>
    <row r="339" spans="1:16" x14ac:dyDescent="0.4">
      <c r="A339" s="49">
        <v>42515</v>
      </c>
      <c r="B339" s="48">
        <v>21000</v>
      </c>
      <c r="C339" s="48">
        <v>21000</v>
      </c>
      <c r="D339" s="48">
        <v>21000</v>
      </c>
      <c r="E339" s="48">
        <v>21000</v>
      </c>
      <c r="F339" s="50">
        <v>0</v>
      </c>
      <c r="G339" s="13">
        <f t="shared" si="18"/>
        <v>0</v>
      </c>
      <c r="H339" s="47">
        <v>0</v>
      </c>
      <c r="I339" s="48">
        <v>0</v>
      </c>
      <c r="J339" s="14">
        <f t="shared" si="17"/>
        <v>0</v>
      </c>
      <c r="K339" s="47">
        <v>0</v>
      </c>
      <c r="L339" s="47">
        <v>0</v>
      </c>
      <c r="M339" s="14">
        <f t="shared" si="16"/>
        <v>0</v>
      </c>
      <c r="N339" s="14">
        <f t="shared" si="16"/>
        <v>0</v>
      </c>
      <c r="O339" s="4">
        <f t="shared" si="16"/>
        <v>0</v>
      </c>
      <c r="P339" s="4"/>
    </row>
    <row r="340" spans="1:16" x14ac:dyDescent="0.4">
      <c r="A340" s="49">
        <v>42516</v>
      </c>
      <c r="B340" s="48">
        <v>21000</v>
      </c>
      <c r="C340" s="48">
        <v>21000</v>
      </c>
      <c r="D340" s="48">
        <v>21000</v>
      </c>
      <c r="E340" s="48">
        <v>21000</v>
      </c>
      <c r="F340" s="50">
        <v>0</v>
      </c>
      <c r="G340" s="13">
        <f t="shared" si="18"/>
        <v>0</v>
      </c>
      <c r="H340" s="47">
        <v>0</v>
      </c>
      <c r="I340" s="48">
        <v>0</v>
      </c>
      <c r="J340" s="14">
        <f t="shared" si="17"/>
        <v>0</v>
      </c>
      <c r="K340" s="47">
        <v>0</v>
      </c>
      <c r="L340" s="47">
        <v>0</v>
      </c>
      <c r="M340" s="14">
        <f t="shared" si="16"/>
        <v>0</v>
      </c>
      <c r="N340" s="14">
        <f t="shared" si="16"/>
        <v>0</v>
      </c>
      <c r="O340" s="4">
        <f t="shared" si="16"/>
        <v>0</v>
      </c>
      <c r="P340" s="4"/>
    </row>
    <row r="341" spans="1:16" x14ac:dyDescent="0.4">
      <c r="A341" s="49">
        <v>42517</v>
      </c>
      <c r="B341" s="48">
        <v>19500</v>
      </c>
      <c r="C341" s="48">
        <v>19500</v>
      </c>
      <c r="D341" s="48">
        <v>18950</v>
      </c>
      <c r="E341" s="48">
        <v>18950</v>
      </c>
      <c r="F341" s="50">
        <v>-9.76</v>
      </c>
      <c r="G341" s="13">
        <f t="shared" si="18"/>
        <v>15838</v>
      </c>
      <c r="H341" s="47">
        <v>0</v>
      </c>
      <c r="I341" s="48">
        <v>15838</v>
      </c>
      <c r="J341" s="14">
        <f t="shared" si="17"/>
        <v>300747000</v>
      </c>
      <c r="K341" s="47">
        <v>0</v>
      </c>
      <c r="L341" s="47">
        <v>300747000</v>
      </c>
      <c r="M341" s="14">
        <f t="shared" si="16"/>
        <v>18988.950625078924</v>
      </c>
      <c r="N341" s="14">
        <f t="shared" si="16"/>
        <v>0</v>
      </c>
      <c r="O341" s="4">
        <f t="shared" si="16"/>
        <v>18988.950625078924</v>
      </c>
      <c r="P341" s="4"/>
    </row>
    <row r="342" spans="1:16" x14ac:dyDescent="0.4">
      <c r="A342" s="49">
        <v>42520</v>
      </c>
      <c r="B342" s="48">
        <v>19000</v>
      </c>
      <c r="C342" s="48">
        <v>19000</v>
      </c>
      <c r="D342" s="48">
        <v>18500</v>
      </c>
      <c r="E342" s="48">
        <v>18500</v>
      </c>
      <c r="F342" s="50">
        <v>-2.37</v>
      </c>
      <c r="G342" s="13">
        <f t="shared" si="18"/>
        <v>7000</v>
      </c>
      <c r="H342" s="47">
        <v>8000</v>
      </c>
      <c r="I342" s="48">
        <v>15000</v>
      </c>
      <c r="J342" s="14">
        <f>L342-K342</f>
        <v>130500000</v>
      </c>
      <c r="K342" s="13">
        <f>H342*N342</f>
        <v>152000000</v>
      </c>
      <c r="L342" s="47">
        <v>282500000</v>
      </c>
      <c r="M342" s="14">
        <f>J342/G342</f>
        <v>18642.857142857141</v>
      </c>
      <c r="N342" s="14">
        <v>19000</v>
      </c>
      <c r="O342" s="4">
        <f>L342/I342</f>
        <v>18833.333333333332</v>
      </c>
      <c r="P342" s="4"/>
    </row>
    <row r="343" spans="1:16" x14ac:dyDescent="0.15">
      <c r="A343" s="49">
        <v>42521</v>
      </c>
      <c r="B343" s="48">
        <v>18500</v>
      </c>
      <c r="C343" s="48">
        <v>18500</v>
      </c>
      <c r="D343" s="48">
        <v>18500</v>
      </c>
      <c r="E343" s="48">
        <v>18500</v>
      </c>
      <c r="F343" s="50">
        <v>0</v>
      </c>
      <c r="G343" s="13">
        <f t="shared" si="18"/>
        <v>0</v>
      </c>
      <c r="H343" s="54">
        <v>0</v>
      </c>
      <c r="I343" s="48">
        <v>0</v>
      </c>
      <c r="J343" s="14">
        <f t="shared" si="17"/>
        <v>0</v>
      </c>
      <c r="K343" s="47">
        <v>0</v>
      </c>
      <c r="L343" s="47">
        <v>0</v>
      </c>
      <c r="M343" s="14">
        <f t="shared" ref="M343:O344" si="19">IFERROR(J343/G343,0)</f>
        <v>0</v>
      </c>
      <c r="N343" s="14">
        <f t="shared" si="19"/>
        <v>0</v>
      </c>
      <c r="O343" s="4">
        <f t="shared" si="19"/>
        <v>0</v>
      </c>
      <c r="P343" s="4"/>
    </row>
    <row r="344" spans="1:16" x14ac:dyDescent="0.15">
      <c r="A344" s="49">
        <v>42522</v>
      </c>
      <c r="B344" s="48">
        <v>18500</v>
      </c>
      <c r="C344" s="48">
        <v>18500</v>
      </c>
      <c r="D344" s="48">
        <v>18500</v>
      </c>
      <c r="E344" s="48">
        <v>18500</v>
      </c>
      <c r="F344" s="50">
        <v>0</v>
      </c>
      <c r="G344" s="13">
        <f t="shared" si="18"/>
        <v>0</v>
      </c>
      <c r="H344" s="54">
        <v>137155</v>
      </c>
      <c r="I344" s="48">
        <v>137155</v>
      </c>
      <c r="J344" s="14">
        <f t="shared" si="17"/>
        <v>0</v>
      </c>
      <c r="K344" s="13">
        <f>L344</f>
        <v>2221911000</v>
      </c>
      <c r="L344" s="47">
        <v>2221911000</v>
      </c>
      <c r="M344" s="14">
        <f t="shared" si="19"/>
        <v>0</v>
      </c>
      <c r="N344" s="14">
        <f t="shared" si="19"/>
        <v>16200</v>
      </c>
      <c r="O344" s="4">
        <f t="shared" si="19"/>
        <v>16200</v>
      </c>
      <c r="P344" s="4"/>
    </row>
    <row r="345" spans="1:16" x14ac:dyDescent="0.4">
      <c r="A345" s="49">
        <v>42523</v>
      </c>
      <c r="B345" s="48">
        <v>18800</v>
      </c>
      <c r="C345" s="48">
        <v>18800</v>
      </c>
      <c r="D345" s="48">
        <v>18400</v>
      </c>
      <c r="E345" s="48">
        <v>18400</v>
      </c>
      <c r="F345" s="50">
        <v>-0.54</v>
      </c>
      <c r="G345" s="13">
        <f t="shared" si="18"/>
        <v>12929</v>
      </c>
      <c r="H345" s="47">
        <v>108453</v>
      </c>
      <c r="I345" s="48">
        <v>121382</v>
      </c>
      <c r="J345" s="14">
        <f>18800*429+18500*2500+18400*5000+18400*5000</f>
        <v>238315200</v>
      </c>
      <c r="K345" s="13">
        <f>L345-J345</f>
        <v>1756938600</v>
      </c>
      <c r="L345" s="47">
        <v>1995253800</v>
      </c>
      <c r="M345" s="14">
        <f t="shared" ref="M345:O350" si="20">J345/G345</f>
        <v>18432.608863794569</v>
      </c>
      <c r="N345" s="14">
        <f t="shared" si="20"/>
        <v>16200</v>
      </c>
      <c r="O345" s="4">
        <f t="shared" si="20"/>
        <v>16437.806264520274</v>
      </c>
      <c r="P345" s="4"/>
    </row>
    <row r="346" spans="1:16" x14ac:dyDescent="0.4">
      <c r="A346" s="49">
        <v>42524</v>
      </c>
      <c r="B346" s="48">
        <v>18250</v>
      </c>
      <c r="C346" s="48">
        <v>18700</v>
      </c>
      <c r="D346" s="48">
        <v>18200</v>
      </c>
      <c r="E346" s="48">
        <v>18400</v>
      </c>
      <c r="F346" s="50">
        <v>0</v>
      </c>
      <c r="G346" s="13">
        <f t="shared" si="18"/>
        <v>21711</v>
      </c>
      <c r="H346" s="47">
        <v>43510</v>
      </c>
      <c r="I346" s="48">
        <v>65221</v>
      </c>
      <c r="J346" s="14">
        <f>18250*1000+18200*1887+18700*3237+18500*4587+18500*2000+18450*6000+18450*500+18450*58+18400*2442</f>
        <v>400912700</v>
      </c>
      <c r="K346" s="13">
        <f>L346-J346</f>
        <v>737860000</v>
      </c>
      <c r="L346" s="47">
        <v>1138772700</v>
      </c>
      <c r="M346" s="14">
        <f t="shared" si="20"/>
        <v>18465.879047487448</v>
      </c>
      <c r="N346" s="14">
        <f t="shared" si="20"/>
        <v>16958.400367731556</v>
      </c>
      <c r="O346" s="55">
        <f t="shared" si="20"/>
        <v>17460.215268088497</v>
      </c>
      <c r="P346" s="4"/>
    </row>
    <row r="347" spans="1:16" x14ac:dyDescent="0.4">
      <c r="A347" s="49">
        <v>42528</v>
      </c>
      <c r="B347" s="48">
        <v>18400</v>
      </c>
      <c r="C347" s="48">
        <v>18400</v>
      </c>
      <c r="D347" s="48">
        <v>17900</v>
      </c>
      <c r="E347" s="48">
        <v>17900</v>
      </c>
      <c r="F347" s="50">
        <v>-2.72</v>
      </c>
      <c r="G347" s="13">
        <f t="shared" si="18"/>
        <v>18663</v>
      </c>
      <c r="H347" s="47">
        <v>300000</v>
      </c>
      <c r="I347" s="48">
        <v>318663</v>
      </c>
      <c r="J347" s="14">
        <f>18400*15146+18400*17+18200*1500+18000*1000+17900*1000</f>
        <v>342199200</v>
      </c>
      <c r="K347" s="13">
        <f>L347-J347</f>
        <v>5400000000</v>
      </c>
      <c r="L347" s="47">
        <v>5742199200</v>
      </c>
      <c r="M347" s="14">
        <f t="shared" si="20"/>
        <v>18335.701655682366</v>
      </c>
      <c r="N347" s="14">
        <f t="shared" si="20"/>
        <v>18000</v>
      </c>
      <c r="O347" s="4">
        <f t="shared" si="20"/>
        <v>18019.660895679761</v>
      </c>
      <c r="P347" s="4"/>
    </row>
    <row r="348" spans="1:16" x14ac:dyDescent="0.4">
      <c r="A348" s="49">
        <v>42529</v>
      </c>
      <c r="B348" s="48">
        <v>17900</v>
      </c>
      <c r="C348" s="48">
        <v>17900</v>
      </c>
      <c r="D348" s="48">
        <v>17500</v>
      </c>
      <c r="E348" s="48">
        <v>17600</v>
      </c>
      <c r="F348" s="50">
        <v>-1.68</v>
      </c>
      <c r="G348" s="13">
        <f t="shared" si="18"/>
        <v>47481</v>
      </c>
      <c r="H348" s="47">
        <v>34105</v>
      </c>
      <c r="I348" s="48">
        <v>81586</v>
      </c>
      <c r="J348" s="14">
        <f>L348-K348</f>
        <v>838838500</v>
      </c>
      <c r="K348" s="13">
        <v>610480000</v>
      </c>
      <c r="L348" s="47">
        <v>1449318500</v>
      </c>
      <c r="M348" s="14">
        <f t="shared" si="20"/>
        <v>17666.824624586676</v>
      </c>
      <c r="N348" s="14">
        <f t="shared" si="20"/>
        <v>17900.01466060695</v>
      </c>
      <c r="O348" s="4">
        <f t="shared" si="20"/>
        <v>17764.303924692962</v>
      </c>
      <c r="P348" s="4"/>
    </row>
    <row r="349" spans="1:16" x14ac:dyDescent="0.4">
      <c r="A349" s="49">
        <v>42530</v>
      </c>
      <c r="B349" s="48">
        <v>17400</v>
      </c>
      <c r="C349" s="48">
        <v>17400</v>
      </c>
      <c r="D349" s="48">
        <v>16700</v>
      </c>
      <c r="E349" s="48">
        <v>16700</v>
      </c>
      <c r="F349" s="50">
        <v>-5.1100000000000003</v>
      </c>
      <c r="G349" s="13">
        <f t="shared" si="18"/>
        <v>50592</v>
      </c>
      <c r="H349" s="47">
        <v>208149</v>
      </c>
      <c r="I349" s="48">
        <v>258741</v>
      </c>
      <c r="J349" s="14">
        <f>L349-K349</f>
        <v>853749600</v>
      </c>
      <c r="K349" s="13">
        <v>3600978000</v>
      </c>
      <c r="L349" s="47">
        <v>4454727600</v>
      </c>
      <c r="M349" s="14">
        <f t="shared" si="20"/>
        <v>16875.189753320683</v>
      </c>
      <c r="N349" s="14">
        <f t="shared" si="20"/>
        <v>17300.001441275239</v>
      </c>
      <c r="O349" s="4">
        <f t="shared" si="20"/>
        <v>17216.937400721185</v>
      </c>
      <c r="P349" s="4"/>
    </row>
    <row r="350" spans="1:16" x14ac:dyDescent="0.4">
      <c r="A350" s="49">
        <v>42531</v>
      </c>
      <c r="B350" s="48">
        <v>16700</v>
      </c>
      <c r="C350" s="48">
        <v>16800</v>
      </c>
      <c r="D350" s="48">
        <v>16600</v>
      </c>
      <c r="E350" s="48">
        <v>16600</v>
      </c>
      <c r="F350" s="50">
        <v>-0.6</v>
      </c>
      <c r="G350" s="13">
        <f t="shared" si="18"/>
        <v>31000</v>
      </c>
      <c r="H350" s="47">
        <v>100000</v>
      </c>
      <c r="I350" s="48">
        <v>131000</v>
      </c>
      <c r="J350" s="14">
        <f>L350-K350</f>
        <v>517242700</v>
      </c>
      <c r="K350" s="13">
        <v>1670000000</v>
      </c>
      <c r="L350" s="47">
        <v>2187242700</v>
      </c>
      <c r="M350" s="14">
        <f t="shared" si="20"/>
        <v>16685.248387096774</v>
      </c>
      <c r="N350" s="14">
        <f t="shared" si="20"/>
        <v>16700</v>
      </c>
      <c r="O350" s="4">
        <f t="shared" si="20"/>
        <v>16696.509160305344</v>
      </c>
      <c r="P350" s="4"/>
    </row>
    <row r="351" spans="1:16" x14ac:dyDescent="0.4">
      <c r="A351" s="49">
        <v>42534</v>
      </c>
      <c r="B351" s="48">
        <v>16600</v>
      </c>
      <c r="C351" s="48">
        <v>16600</v>
      </c>
      <c r="D351" s="48">
        <v>16600</v>
      </c>
      <c r="E351" s="48">
        <v>16600</v>
      </c>
      <c r="F351" s="56">
        <v>0</v>
      </c>
      <c r="G351" s="13">
        <f t="shared" si="18"/>
        <v>6193</v>
      </c>
      <c r="H351" s="48">
        <v>0</v>
      </c>
      <c r="I351" s="48">
        <v>6193</v>
      </c>
      <c r="J351" s="14">
        <f t="shared" ref="J351:J364" si="21">L351-K351</f>
        <v>102803800</v>
      </c>
      <c r="K351" s="47">
        <v>0</v>
      </c>
      <c r="L351" s="48">
        <v>102803800</v>
      </c>
      <c r="M351" s="14">
        <f>IFERROR(J351/G351,0)</f>
        <v>16600</v>
      </c>
      <c r="N351" s="14">
        <f>IFERROR(K351/H351,0)</f>
        <v>0</v>
      </c>
      <c r="O351" s="4">
        <f>IFERROR(L351/I351,0)</f>
        <v>16600</v>
      </c>
      <c r="P351" s="4"/>
    </row>
    <row r="352" spans="1:16" x14ac:dyDescent="0.4">
      <c r="A352" s="49">
        <v>42535</v>
      </c>
      <c r="B352" s="48">
        <v>17000</v>
      </c>
      <c r="C352" s="48">
        <v>17000</v>
      </c>
      <c r="D352" s="48">
        <v>17000</v>
      </c>
      <c r="E352" s="48">
        <v>17000</v>
      </c>
      <c r="F352" s="56">
        <v>2.41</v>
      </c>
      <c r="G352" s="13">
        <f t="shared" si="18"/>
        <v>0</v>
      </c>
      <c r="H352" s="48">
        <v>0</v>
      </c>
      <c r="I352" s="48">
        <v>0</v>
      </c>
      <c r="J352" s="14">
        <f t="shared" si="21"/>
        <v>0</v>
      </c>
      <c r="K352" s="47">
        <v>0</v>
      </c>
      <c r="L352" s="48">
        <v>0</v>
      </c>
      <c r="M352" s="14">
        <f t="shared" ref="M352:O364" si="22">IFERROR(J352/G352,0)</f>
        <v>0</v>
      </c>
      <c r="N352" s="14">
        <f t="shared" si="22"/>
        <v>0</v>
      </c>
      <c r="O352" s="4">
        <f t="shared" si="22"/>
        <v>0</v>
      </c>
      <c r="P352" s="4"/>
    </row>
    <row r="353" spans="1:16" x14ac:dyDescent="0.4">
      <c r="A353" s="49">
        <v>42536</v>
      </c>
      <c r="B353" s="48">
        <v>17000</v>
      </c>
      <c r="C353" s="48">
        <v>17000</v>
      </c>
      <c r="D353" s="48">
        <v>17000</v>
      </c>
      <c r="E353" s="48">
        <v>17000</v>
      </c>
      <c r="F353" s="56">
        <v>0</v>
      </c>
      <c r="G353" s="13">
        <f t="shared" si="18"/>
        <v>0</v>
      </c>
      <c r="H353" s="48">
        <v>0</v>
      </c>
      <c r="I353" s="48">
        <v>0</v>
      </c>
      <c r="J353" s="14">
        <f t="shared" si="21"/>
        <v>0</v>
      </c>
      <c r="K353" s="47">
        <v>0</v>
      </c>
      <c r="L353" s="48">
        <v>0</v>
      </c>
      <c r="M353" s="14">
        <f t="shared" si="22"/>
        <v>0</v>
      </c>
      <c r="N353" s="14">
        <f t="shared" si="22"/>
        <v>0</v>
      </c>
      <c r="O353" s="4">
        <f t="shared" si="22"/>
        <v>0</v>
      </c>
      <c r="P353" s="4"/>
    </row>
    <row r="354" spans="1:16" x14ac:dyDescent="0.4">
      <c r="A354" s="49">
        <v>42537</v>
      </c>
      <c r="B354" s="48">
        <v>17000</v>
      </c>
      <c r="C354" s="48">
        <v>17000</v>
      </c>
      <c r="D354" s="48">
        <v>17000</v>
      </c>
      <c r="E354" s="48">
        <v>17000</v>
      </c>
      <c r="F354" s="56">
        <v>0</v>
      </c>
      <c r="G354" s="13">
        <f t="shared" si="18"/>
        <v>5367</v>
      </c>
      <c r="H354" s="48">
        <v>0</v>
      </c>
      <c r="I354" s="48">
        <v>5367</v>
      </c>
      <c r="J354" s="14">
        <f t="shared" si="21"/>
        <v>91239000</v>
      </c>
      <c r="K354" s="47">
        <v>0</v>
      </c>
      <c r="L354" s="48">
        <v>91239000</v>
      </c>
      <c r="M354" s="14">
        <f t="shared" si="22"/>
        <v>17000</v>
      </c>
      <c r="N354" s="14">
        <f t="shared" si="22"/>
        <v>0</v>
      </c>
      <c r="O354" s="4">
        <f t="shared" si="22"/>
        <v>17000</v>
      </c>
      <c r="P354" s="4"/>
    </row>
    <row r="355" spans="1:16" x14ac:dyDescent="0.4">
      <c r="A355" s="49">
        <v>42538</v>
      </c>
      <c r="B355" s="48">
        <v>17050</v>
      </c>
      <c r="C355" s="48">
        <v>17050</v>
      </c>
      <c r="D355" s="48">
        <v>17050</v>
      </c>
      <c r="E355" s="48">
        <v>17050</v>
      </c>
      <c r="F355" s="56">
        <v>0.28999999999999998</v>
      </c>
      <c r="G355" s="13">
        <f>I355-H355</f>
        <v>0</v>
      </c>
      <c r="H355" s="48">
        <v>0</v>
      </c>
      <c r="I355" s="48">
        <v>0</v>
      </c>
      <c r="J355" s="14">
        <f>L355-K355</f>
        <v>0</v>
      </c>
      <c r="K355" s="47">
        <v>0</v>
      </c>
      <c r="L355" s="48">
        <v>0</v>
      </c>
      <c r="M355" s="14">
        <f t="shared" si="22"/>
        <v>0</v>
      </c>
      <c r="N355" s="14">
        <f t="shared" si="22"/>
        <v>0</v>
      </c>
      <c r="O355" s="4">
        <f t="shared" si="22"/>
        <v>0</v>
      </c>
      <c r="P355" s="4"/>
    </row>
    <row r="356" spans="1:16" x14ac:dyDescent="0.4">
      <c r="A356" s="49">
        <v>42541</v>
      </c>
      <c r="B356" s="48">
        <v>18000</v>
      </c>
      <c r="C356" s="48">
        <v>18000</v>
      </c>
      <c r="D356" s="48">
        <v>17000</v>
      </c>
      <c r="E356" s="48">
        <v>17000</v>
      </c>
      <c r="F356" s="56">
        <v>-0.28999999999999998</v>
      </c>
      <c r="G356" s="13">
        <f t="shared" si="18"/>
        <v>7976</v>
      </c>
      <c r="H356" s="48">
        <v>0</v>
      </c>
      <c r="I356" s="48">
        <v>7976</v>
      </c>
      <c r="J356" s="14">
        <f t="shared" si="21"/>
        <v>138568000</v>
      </c>
      <c r="K356" s="47">
        <v>0</v>
      </c>
      <c r="L356" s="48">
        <v>138568000</v>
      </c>
      <c r="M356" s="14">
        <f t="shared" si="22"/>
        <v>17373.119358074222</v>
      </c>
      <c r="N356" s="14">
        <f t="shared" si="22"/>
        <v>0</v>
      </c>
      <c r="O356" s="4">
        <f t="shared" si="22"/>
        <v>17373.119358074222</v>
      </c>
      <c r="P356" s="4"/>
    </row>
    <row r="357" spans="1:16" x14ac:dyDescent="0.4">
      <c r="A357" s="49">
        <v>42542</v>
      </c>
      <c r="B357" s="48">
        <v>17000</v>
      </c>
      <c r="C357" s="48">
        <v>17000</v>
      </c>
      <c r="D357" s="48">
        <v>17000</v>
      </c>
      <c r="E357" s="48">
        <v>17000</v>
      </c>
      <c r="F357" s="56">
        <v>0</v>
      </c>
      <c r="G357" s="13">
        <f t="shared" si="18"/>
        <v>0</v>
      </c>
      <c r="H357" s="48">
        <v>4650</v>
      </c>
      <c r="I357" s="48">
        <v>4650</v>
      </c>
      <c r="J357" s="14">
        <f t="shared" si="21"/>
        <v>0</v>
      </c>
      <c r="K357" s="13">
        <f>L357</f>
        <v>79050000</v>
      </c>
      <c r="L357" s="48">
        <v>79050000</v>
      </c>
      <c r="M357" s="14">
        <f t="shared" si="22"/>
        <v>0</v>
      </c>
      <c r="N357" s="14">
        <f t="shared" si="22"/>
        <v>17000</v>
      </c>
      <c r="O357" s="4">
        <f t="shared" si="22"/>
        <v>17000</v>
      </c>
      <c r="P357" s="4"/>
    </row>
    <row r="358" spans="1:16" x14ac:dyDescent="0.4">
      <c r="A358" s="49">
        <v>42543</v>
      </c>
      <c r="B358" s="48">
        <v>16800</v>
      </c>
      <c r="C358" s="48">
        <v>16800</v>
      </c>
      <c r="D358" s="48">
        <v>16800</v>
      </c>
      <c r="E358" s="48">
        <v>16800</v>
      </c>
      <c r="F358" s="56">
        <v>-1.18</v>
      </c>
      <c r="G358" s="13">
        <f t="shared" si="18"/>
        <v>0</v>
      </c>
      <c r="H358" s="48">
        <v>0</v>
      </c>
      <c r="I358" s="48">
        <v>0</v>
      </c>
      <c r="J358" s="14">
        <f t="shared" si="21"/>
        <v>0</v>
      </c>
      <c r="K358" s="47">
        <v>0</v>
      </c>
      <c r="L358" s="48">
        <v>0</v>
      </c>
      <c r="M358" s="14">
        <f t="shared" si="22"/>
        <v>0</v>
      </c>
      <c r="N358" s="14">
        <f t="shared" si="22"/>
        <v>0</v>
      </c>
      <c r="O358" s="4">
        <f t="shared" si="22"/>
        <v>0</v>
      </c>
      <c r="P358" s="4"/>
    </row>
    <row r="359" spans="1:16" x14ac:dyDescent="0.4">
      <c r="A359" s="49">
        <v>42544</v>
      </c>
      <c r="B359" s="48">
        <v>17000</v>
      </c>
      <c r="C359" s="48">
        <v>17000</v>
      </c>
      <c r="D359" s="48">
        <v>17000</v>
      </c>
      <c r="E359" s="48">
        <v>17000</v>
      </c>
      <c r="F359" s="56">
        <v>1.19</v>
      </c>
      <c r="G359" s="13">
        <f t="shared" si="18"/>
        <v>11072</v>
      </c>
      <c r="H359" s="48">
        <v>0</v>
      </c>
      <c r="I359" s="48">
        <v>11072</v>
      </c>
      <c r="J359" s="14">
        <f t="shared" si="21"/>
        <v>188224000</v>
      </c>
      <c r="K359" s="47">
        <v>0</v>
      </c>
      <c r="L359" s="48">
        <v>188224000</v>
      </c>
      <c r="M359" s="14">
        <f t="shared" si="22"/>
        <v>17000</v>
      </c>
      <c r="N359" s="14">
        <f t="shared" si="22"/>
        <v>0</v>
      </c>
      <c r="O359" s="4">
        <f t="shared" si="22"/>
        <v>17000</v>
      </c>
      <c r="P359" s="4"/>
    </row>
    <row r="360" spans="1:16" x14ac:dyDescent="0.4">
      <c r="A360" s="49">
        <v>42545</v>
      </c>
      <c r="B360" s="48">
        <v>17000</v>
      </c>
      <c r="C360" s="48">
        <v>17000</v>
      </c>
      <c r="D360" s="48">
        <v>17000</v>
      </c>
      <c r="E360" s="48">
        <v>17000</v>
      </c>
      <c r="F360" s="56">
        <v>0</v>
      </c>
      <c r="G360" s="13">
        <f t="shared" si="18"/>
        <v>0</v>
      </c>
      <c r="H360" s="48">
        <v>0</v>
      </c>
      <c r="I360" s="48">
        <v>0</v>
      </c>
      <c r="J360" s="14">
        <f t="shared" si="21"/>
        <v>0</v>
      </c>
      <c r="K360" s="47">
        <v>0</v>
      </c>
      <c r="L360" s="48">
        <v>0</v>
      </c>
      <c r="M360" s="14">
        <f t="shared" si="22"/>
        <v>0</v>
      </c>
      <c r="N360" s="14">
        <f t="shared" si="22"/>
        <v>0</v>
      </c>
      <c r="O360" s="4">
        <f t="shared" si="22"/>
        <v>0</v>
      </c>
      <c r="P360" s="4"/>
    </row>
    <row r="361" spans="1:16" x14ac:dyDescent="0.4">
      <c r="A361" s="49">
        <v>42548</v>
      </c>
      <c r="B361" s="48">
        <v>17000</v>
      </c>
      <c r="C361" s="48">
        <v>17000</v>
      </c>
      <c r="D361" s="48">
        <v>17000</v>
      </c>
      <c r="E361" s="48">
        <v>17000</v>
      </c>
      <c r="F361" s="56">
        <v>0</v>
      </c>
      <c r="G361" s="13">
        <f t="shared" si="18"/>
        <v>0</v>
      </c>
      <c r="H361" s="48">
        <v>0</v>
      </c>
      <c r="I361" s="48">
        <v>0</v>
      </c>
      <c r="J361" s="14">
        <f t="shared" si="21"/>
        <v>0</v>
      </c>
      <c r="K361" s="47">
        <v>0</v>
      </c>
      <c r="L361" s="48">
        <v>0</v>
      </c>
      <c r="M361" s="14">
        <f t="shared" si="22"/>
        <v>0</v>
      </c>
      <c r="N361" s="14">
        <f t="shared" si="22"/>
        <v>0</v>
      </c>
      <c r="O361" s="4">
        <f t="shared" si="22"/>
        <v>0</v>
      </c>
      <c r="P361" s="4"/>
    </row>
    <row r="362" spans="1:16" x14ac:dyDescent="0.4">
      <c r="A362" s="49">
        <v>42549</v>
      </c>
      <c r="B362" s="48">
        <v>17000</v>
      </c>
      <c r="C362" s="48">
        <v>17000</v>
      </c>
      <c r="D362" s="48">
        <v>17000</v>
      </c>
      <c r="E362" s="48">
        <v>17000</v>
      </c>
      <c r="F362" s="56">
        <v>0</v>
      </c>
      <c r="G362" s="13">
        <f t="shared" si="18"/>
        <v>0</v>
      </c>
      <c r="H362" s="48">
        <v>0</v>
      </c>
      <c r="I362" s="48">
        <v>0</v>
      </c>
      <c r="J362" s="14">
        <f t="shared" si="21"/>
        <v>0</v>
      </c>
      <c r="K362" s="47">
        <v>0</v>
      </c>
      <c r="L362" s="48">
        <v>0</v>
      </c>
      <c r="M362" s="14">
        <f t="shared" si="22"/>
        <v>0</v>
      </c>
      <c r="N362" s="14">
        <f t="shared" si="22"/>
        <v>0</v>
      </c>
      <c r="O362" s="4">
        <f t="shared" si="22"/>
        <v>0</v>
      </c>
      <c r="P362" s="4"/>
    </row>
    <row r="363" spans="1:16" x14ac:dyDescent="0.4">
      <c r="A363" s="49">
        <v>42550</v>
      </c>
      <c r="B363" s="48">
        <v>17000</v>
      </c>
      <c r="C363" s="48">
        <v>17000</v>
      </c>
      <c r="D363" s="48">
        <v>17000</v>
      </c>
      <c r="E363" s="48">
        <v>17000</v>
      </c>
      <c r="F363" s="56">
        <v>0</v>
      </c>
      <c r="G363" s="13">
        <f t="shared" si="18"/>
        <v>0</v>
      </c>
      <c r="H363" s="48">
        <v>0</v>
      </c>
      <c r="I363" s="48">
        <v>0</v>
      </c>
      <c r="J363" s="14">
        <f t="shared" si="21"/>
        <v>0</v>
      </c>
      <c r="K363" s="47">
        <v>0</v>
      </c>
      <c r="L363" s="48">
        <v>0</v>
      </c>
      <c r="M363" s="14">
        <f t="shared" si="22"/>
        <v>0</v>
      </c>
      <c r="N363" s="14">
        <f t="shared" si="22"/>
        <v>0</v>
      </c>
      <c r="O363" s="4">
        <f t="shared" si="22"/>
        <v>0</v>
      </c>
      <c r="P363" s="4"/>
    </row>
    <row r="364" spans="1:16" x14ac:dyDescent="0.4">
      <c r="A364" s="49">
        <v>42551</v>
      </c>
      <c r="B364" s="48">
        <v>17000</v>
      </c>
      <c r="C364" s="48">
        <v>17000</v>
      </c>
      <c r="D364" s="48">
        <v>17000</v>
      </c>
      <c r="E364" s="48">
        <v>17000</v>
      </c>
      <c r="F364" s="56">
        <v>0</v>
      </c>
      <c r="G364" s="13">
        <f t="shared" si="18"/>
        <v>0</v>
      </c>
      <c r="H364" s="48">
        <v>0</v>
      </c>
      <c r="I364" s="48">
        <v>0</v>
      </c>
      <c r="J364" s="14">
        <f t="shared" si="21"/>
        <v>0</v>
      </c>
      <c r="K364" s="47">
        <v>0</v>
      </c>
      <c r="L364" s="48">
        <v>0</v>
      </c>
      <c r="M364" s="14">
        <f t="shared" si="22"/>
        <v>0</v>
      </c>
      <c r="N364" s="14">
        <f t="shared" si="22"/>
        <v>0</v>
      </c>
      <c r="O364" s="4">
        <f t="shared" si="22"/>
        <v>0</v>
      </c>
      <c r="P364" s="4"/>
    </row>
    <row r="365" spans="1:16" x14ac:dyDescent="0.4">
      <c r="A365" s="26" t="s">
        <v>63</v>
      </c>
      <c r="B365" s="11">
        <v>17000</v>
      </c>
      <c r="C365" s="11">
        <v>17000</v>
      </c>
      <c r="D365" s="11">
        <v>17000</v>
      </c>
      <c r="E365" s="11">
        <v>17000</v>
      </c>
      <c r="F365" s="12">
        <v>2.41</v>
      </c>
      <c r="G365" s="13">
        <f t="shared" ref="G365:G371" si="23">I365-H365</f>
        <v>0</v>
      </c>
      <c r="H365" s="13">
        <v>0</v>
      </c>
      <c r="I365" s="13">
        <v>0</v>
      </c>
      <c r="J365" s="14">
        <f t="shared" ref="J365:J371" si="24">L365-K365</f>
        <v>0</v>
      </c>
      <c r="K365" s="13">
        <v>0</v>
      </c>
      <c r="L365" s="13">
        <v>0</v>
      </c>
      <c r="M365" s="14">
        <f t="shared" ref="M365:O371" si="25">IFERROR(J365/G365,0)</f>
        <v>0</v>
      </c>
      <c r="N365" s="14">
        <f t="shared" si="25"/>
        <v>0</v>
      </c>
      <c r="O365" s="4">
        <f t="shared" si="25"/>
        <v>0</v>
      </c>
      <c r="P365" s="4"/>
    </row>
    <row r="366" spans="1:16" x14ac:dyDescent="0.4">
      <c r="A366" s="26" t="s">
        <v>64</v>
      </c>
      <c r="B366" s="11">
        <v>17000</v>
      </c>
      <c r="C366" s="11">
        <v>17000</v>
      </c>
      <c r="D366" s="11">
        <v>17000</v>
      </c>
      <c r="E366" s="11">
        <v>17000</v>
      </c>
      <c r="F366" s="12">
        <v>0</v>
      </c>
      <c r="G366" s="13">
        <f t="shared" si="23"/>
        <v>0</v>
      </c>
      <c r="H366" s="13">
        <v>80000</v>
      </c>
      <c r="I366" s="13">
        <v>80000</v>
      </c>
      <c r="J366" s="14">
        <f t="shared" si="24"/>
        <v>0</v>
      </c>
      <c r="K366" s="13">
        <v>1264000000</v>
      </c>
      <c r="L366" s="13">
        <v>1264000000</v>
      </c>
      <c r="M366" s="14">
        <f t="shared" si="25"/>
        <v>0</v>
      </c>
      <c r="N366" s="14">
        <f t="shared" si="25"/>
        <v>15800</v>
      </c>
      <c r="O366" s="4">
        <f t="shared" si="25"/>
        <v>15800</v>
      </c>
      <c r="P366" s="4"/>
    </row>
    <row r="367" spans="1:16" x14ac:dyDescent="0.4">
      <c r="A367" s="26" t="s">
        <v>65</v>
      </c>
      <c r="B367" s="11">
        <v>17000</v>
      </c>
      <c r="C367" s="11">
        <v>17000</v>
      </c>
      <c r="D367" s="11">
        <v>17000</v>
      </c>
      <c r="E367" s="11">
        <v>17000</v>
      </c>
      <c r="F367" s="12">
        <v>0</v>
      </c>
      <c r="G367" s="13">
        <f t="shared" si="23"/>
        <v>0</v>
      </c>
      <c r="H367" s="13">
        <v>0</v>
      </c>
      <c r="I367" s="13">
        <v>0</v>
      </c>
      <c r="J367" s="14">
        <f t="shared" si="24"/>
        <v>0</v>
      </c>
      <c r="K367" s="13">
        <v>0</v>
      </c>
      <c r="L367" s="13">
        <v>0</v>
      </c>
      <c r="M367" s="14">
        <f t="shared" si="25"/>
        <v>0</v>
      </c>
      <c r="N367" s="14">
        <f t="shared" si="25"/>
        <v>0</v>
      </c>
      <c r="O367" s="4">
        <f t="shared" si="25"/>
        <v>0</v>
      </c>
      <c r="P367" s="4"/>
    </row>
    <row r="368" spans="1:16" x14ac:dyDescent="0.4">
      <c r="A368" s="26" t="s">
        <v>66</v>
      </c>
      <c r="B368" s="11">
        <v>17000</v>
      </c>
      <c r="C368" s="11">
        <v>17000</v>
      </c>
      <c r="D368" s="11">
        <v>17000</v>
      </c>
      <c r="E368" s="11">
        <v>17000</v>
      </c>
      <c r="F368" s="12">
        <v>0</v>
      </c>
      <c r="G368" s="13">
        <f t="shared" si="23"/>
        <v>0</v>
      </c>
      <c r="H368" s="13">
        <v>0</v>
      </c>
      <c r="I368" s="13">
        <v>0</v>
      </c>
      <c r="J368" s="14">
        <f t="shared" si="24"/>
        <v>0</v>
      </c>
      <c r="K368" s="13">
        <v>0</v>
      </c>
      <c r="L368" s="13">
        <v>0</v>
      </c>
      <c r="M368" s="14">
        <f t="shared" si="25"/>
        <v>0</v>
      </c>
      <c r="N368" s="14">
        <f t="shared" si="25"/>
        <v>0</v>
      </c>
      <c r="O368" s="4">
        <f t="shared" si="25"/>
        <v>0</v>
      </c>
      <c r="P368" s="4"/>
    </row>
    <row r="369" spans="1:16" x14ac:dyDescent="0.4">
      <c r="A369" s="26" t="s">
        <v>67</v>
      </c>
      <c r="B369" s="11">
        <v>17000</v>
      </c>
      <c r="C369" s="11">
        <v>17000</v>
      </c>
      <c r="D369" s="11">
        <v>17000</v>
      </c>
      <c r="E369" s="11">
        <v>17000</v>
      </c>
      <c r="F369" s="12">
        <v>0</v>
      </c>
      <c r="G369" s="13">
        <f t="shared" si="23"/>
        <v>0</v>
      </c>
      <c r="H369" s="13">
        <v>0</v>
      </c>
      <c r="I369" s="13">
        <v>0</v>
      </c>
      <c r="J369" s="14">
        <f t="shared" si="24"/>
        <v>0</v>
      </c>
      <c r="K369" s="13">
        <v>0</v>
      </c>
      <c r="L369" s="13">
        <v>0</v>
      </c>
      <c r="M369" s="14">
        <f t="shared" si="25"/>
        <v>0</v>
      </c>
      <c r="N369" s="14">
        <f t="shared" si="25"/>
        <v>0</v>
      </c>
      <c r="O369" s="4">
        <f t="shared" si="25"/>
        <v>0</v>
      </c>
      <c r="P369" s="4"/>
    </row>
    <row r="370" spans="1:16" x14ac:dyDescent="0.4">
      <c r="A370" s="26" t="s">
        <v>68</v>
      </c>
      <c r="B370" s="11">
        <v>17000</v>
      </c>
      <c r="C370" s="11">
        <v>17000</v>
      </c>
      <c r="D370" s="11">
        <v>17000</v>
      </c>
      <c r="E370" s="11">
        <v>17000</v>
      </c>
      <c r="F370" s="12">
        <v>0</v>
      </c>
      <c r="G370" s="13">
        <f t="shared" si="23"/>
        <v>0</v>
      </c>
      <c r="H370" s="13">
        <v>66000</v>
      </c>
      <c r="I370" s="13">
        <v>66000</v>
      </c>
      <c r="J370" s="14">
        <f t="shared" si="24"/>
        <v>0</v>
      </c>
      <c r="K370" s="13">
        <v>1072500000</v>
      </c>
      <c r="L370" s="13">
        <v>1072500000</v>
      </c>
      <c r="M370" s="14">
        <f t="shared" si="25"/>
        <v>0</v>
      </c>
      <c r="N370" s="14">
        <f t="shared" si="25"/>
        <v>16250</v>
      </c>
      <c r="O370" s="4">
        <f t="shared" si="25"/>
        <v>16250</v>
      </c>
      <c r="P370" s="4">
        <f>IFERROR(SUM(L366:L370)/SUM(I366:I370),"")</f>
        <v>16003.424657534246</v>
      </c>
    </row>
    <row r="371" spans="1:16" x14ac:dyDescent="0.4">
      <c r="A371" s="26" t="s">
        <v>69</v>
      </c>
      <c r="B371" s="11">
        <v>17000</v>
      </c>
      <c r="C371" s="11">
        <v>17000</v>
      </c>
      <c r="D371" s="11">
        <v>17000</v>
      </c>
      <c r="E371" s="11">
        <v>17000</v>
      </c>
      <c r="F371" s="12">
        <v>0</v>
      </c>
      <c r="G371" s="13">
        <f t="shared" si="23"/>
        <v>0</v>
      </c>
      <c r="H371" s="13">
        <v>0</v>
      </c>
      <c r="I371" s="13">
        <v>0</v>
      </c>
      <c r="J371" s="14">
        <f t="shared" si="24"/>
        <v>0</v>
      </c>
      <c r="K371" s="13">
        <v>0</v>
      </c>
      <c r="L371" s="13">
        <v>0</v>
      </c>
      <c r="M371" s="14">
        <f t="shared" si="25"/>
        <v>0</v>
      </c>
      <c r="N371" s="14">
        <f t="shared" si="25"/>
        <v>0</v>
      </c>
      <c r="O371" s="4">
        <f t="shared" si="25"/>
        <v>0</v>
      </c>
      <c r="P371" s="4"/>
    </row>
    <row r="372" spans="1:16" x14ac:dyDescent="0.4">
      <c r="A372" s="26" t="s">
        <v>70</v>
      </c>
      <c r="B372" s="11">
        <v>17000</v>
      </c>
      <c r="C372" s="11">
        <v>17000</v>
      </c>
      <c r="D372" s="11">
        <v>17000</v>
      </c>
      <c r="E372" s="11">
        <v>17000</v>
      </c>
      <c r="F372" s="12">
        <v>0</v>
      </c>
      <c r="G372" s="13">
        <f t="shared" ref="G372:G433" si="26">I372-H372</f>
        <v>0</v>
      </c>
      <c r="H372" s="13">
        <v>0</v>
      </c>
      <c r="I372" s="13">
        <v>0</v>
      </c>
      <c r="J372" s="14">
        <f t="shared" ref="J372:J433" si="27">L372-K372</f>
        <v>0</v>
      </c>
      <c r="K372" s="13">
        <v>0</v>
      </c>
      <c r="L372" s="13">
        <v>0</v>
      </c>
      <c r="M372" s="14">
        <f t="shared" ref="M372:O403" si="28">IFERROR(J372/G372,0)</f>
        <v>0</v>
      </c>
      <c r="N372" s="14">
        <f t="shared" si="28"/>
        <v>0</v>
      </c>
      <c r="O372" s="4">
        <f t="shared" si="28"/>
        <v>0</v>
      </c>
      <c r="P372" s="4"/>
    </row>
    <row r="373" spans="1:16" x14ac:dyDescent="0.4">
      <c r="A373" s="26" t="s">
        <v>71</v>
      </c>
      <c r="B373" s="11">
        <v>17000</v>
      </c>
      <c r="C373" s="11">
        <v>17000</v>
      </c>
      <c r="D373" s="11">
        <v>17000</v>
      </c>
      <c r="E373" s="11">
        <v>17000</v>
      </c>
      <c r="F373" s="12">
        <v>0</v>
      </c>
      <c r="G373" s="13">
        <f t="shared" si="26"/>
        <v>0</v>
      </c>
      <c r="H373" s="13">
        <v>0</v>
      </c>
      <c r="I373" s="13">
        <v>0</v>
      </c>
      <c r="J373" s="14">
        <f t="shared" si="27"/>
        <v>0</v>
      </c>
      <c r="K373" s="13">
        <v>0</v>
      </c>
      <c r="L373" s="13">
        <v>0</v>
      </c>
      <c r="M373" s="14">
        <f t="shared" si="28"/>
        <v>0</v>
      </c>
      <c r="N373" s="14">
        <f t="shared" si="28"/>
        <v>0</v>
      </c>
      <c r="O373" s="4">
        <f t="shared" si="28"/>
        <v>0</v>
      </c>
      <c r="P373" s="4"/>
    </row>
    <row r="374" spans="1:16" x14ac:dyDescent="0.4">
      <c r="A374" s="26" t="s">
        <v>72</v>
      </c>
      <c r="B374" s="11">
        <v>17000</v>
      </c>
      <c r="C374" s="11">
        <v>17000</v>
      </c>
      <c r="D374" s="11">
        <v>17000</v>
      </c>
      <c r="E374" s="11">
        <v>17000</v>
      </c>
      <c r="F374" s="12">
        <v>0</v>
      </c>
      <c r="G374" s="13">
        <f t="shared" si="26"/>
        <v>0</v>
      </c>
      <c r="H374" s="13">
        <v>0</v>
      </c>
      <c r="I374" s="13">
        <v>0</v>
      </c>
      <c r="J374" s="14">
        <f t="shared" si="27"/>
        <v>0</v>
      </c>
      <c r="K374" s="13">
        <v>0</v>
      </c>
      <c r="L374" s="13">
        <v>0</v>
      </c>
      <c r="M374" s="14">
        <f t="shared" si="28"/>
        <v>0</v>
      </c>
      <c r="N374" s="14">
        <f t="shared" si="28"/>
        <v>0</v>
      </c>
      <c r="O374" s="4">
        <f t="shared" si="28"/>
        <v>0</v>
      </c>
      <c r="P374" s="4"/>
    </row>
    <row r="375" spans="1:16" x14ac:dyDescent="0.4">
      <c r="A375" s="26" t="s">
        <v>73</v>
      </c>
      <c r="B375" s="11">
        <v>17000</v>
      </c>
      <c r="C375" s="11">
        <v>17000</v>
      </c>
      <c r="D375" s="11">
        <v>17000</v>
      </c>
      <c r="E375" s="11">
        <v>17000</v>
      </c>
      <c r="F375" s="12">
        <v>0</v>
      </c>
      <c r="G375" s="13">
        <f t="shared" si="26"/>
        <v>0</v>
      </c>
      <c r="H375" s="13">
        <v>0</v>
      </c>
      <c r="I375" s="13">
        <v>0</v>
      </c>
      <c r="J375" s="14">
        <f t="shared" si="27"/>
        <v>0</v>
      </c>
      <c r="K375" s="13">
        <v>0</v>
      </c>
      <c r="L375" s="13">
        <v>0</v>
      </c>
      <c r="M375" s="14">
        <f t="shared" si="28"/>
        <v>0</v>
      </c>
      <c r="N375" s="14">
        <f t="shared" si="28"/>
        <v>0</v>
      </c>
      <c r="O375" s="4">
        <f t="shared" si="28"/>
        <v>0</v>
      </c>
      <c r="P375" s="4">
        <v>0</v>
      </c>
    </row>
    <row r="376" spans="1:16" x14ac:dyDescent="0.4">
      <c r="A376" s="26" t="s">
        <v>74</v>
      </c>
      <c r="B376" s="11">
        <v>17000</v>
      </c>
      <c r="C376" s="11">
        <v>17000</v>
      </c>
      <c r="D376" s="11">
        <v>17000</v>
      </c>
      <c r="E376" s="11">
        <v>17000</v>
      </c>
      <c r="F376" s="12">
        <v>0</v>
      </c>
      <c r="G376" s="13">
        <f t="shared" si="26"/>
        <v>0</v>
      </c>
      <c r="H376" s="13">
        <v>0</v>
      </c>
      <c r="I376" s="13">
        <v>0</v>
      </c>
      <c r="J376" s="14">
        <f t="shared" si="27"/>
        <v>0</v>
      </c>
      <c r="K376" s="13">
        <v>0</v>
      </c>
      <c r="L376" s="13">
        <v>0</v>
      </c>
      <c r="M376" s="14">
        <f t="shared" si="28"/>
        <v>0</v>
      </c>
      <c r="N376" s="14">
        <f t="shared" si="28"/>
        <v>0</v>
      </c>
      <c r="O376" s="4">
        <f t="shared" si="28"/>
        <v>0</v>
      </c>
      <c r="P376" s="4"/>
    </row>
    <row r="377" spans="1:16" x14ac:dyDescent="0.4">
      <c r="A377" s="26" t="s">
        <v>75</v>
      </c>
      <c r="B377" s="11">
        <v>17000</v>
      </c>
      <c r="C377" s="11">
        <v>17000</v>
      </c>
      <c r="D377" s="11">
        <v>17000</v>
      </c>
      <c r="E377" s="11">
        <v>17000</v>
      </c>
      <c r="F377" s="12">
        <v>0</v>
      </c>
      <c r="G377" s="13">
        <f t="shared" si="26"/>
        <v>0</v>
      </c>
      <c r="H377" s="13">
        <v>0</v>
      </c>
      <c r="I377" s="13">
        <v>0</v>
      </c>
      <c r="J377" s="14">
        <f t="shared" si="27"/>
        <v>0</v>
      </c>
      <c r="K377" s="13">
        <v>0</v>
      </c>
      <c r="L377" s="13">
        <v>0</v>
      </c>
      <c r="M377" s="14">
        <f t="shared" si="28"/>
        <v>0</v>
      </c>
      <c r="N377" s="14">
        <f t="shared" si="28"/>
        <v>0</v>
      </c>
      <c r="O377" s="4">
        <f t="shared" si="28"/>
        <v>0</v>
      </c>
      <c r="P377" s="4"/>
    </row>
    <row r="378" spans="1:16" x14ac:dyDescent="0.4">
      <c r="A378" s="26" t="s">
        <v>76</v>
      </c>
      <c r="B378" s="11">
        <v>17000</v>
      </c>
      <c r="C378" s="11">
        <v>17000</v>
      </c>
      <c r="D378" s="11">
        <v>17000</v>
      </c>
      <c r="E378" s="11">
        <v>17000</v>
      </c>
      <c r="F378" s="12">
        <v>0</v>
      </c>
      <c r="G378" s="13">
        <f t="shared" si="26"/>
        <v>0</v>
      </c>
      <c r="H378" s="13">
        <v>0</v>
      </c>
      <c r="I378" s="13">
        <v>0</v>
      </c>
      <c r="J378" s="14">
        <f t="shared" si="27"/>
        <v>0</v>
      </c>
      <c r="K378" s="13">
        <v>0</v>
      </c>
      <c r="L378" s="13">
        <v>0</v>
      </c>
      <c r="M378" s="14">
        <f t="shared" si="28"/>
        <v>0</v>
      </c>
      <c r="N378" s="14">
        <f t="shared" si="28"/>
        <v>0</v>
      </c>
      <c r="O378" s="4">
        <f t="shared" si="28"/>
        <v>0</v>
      </c>
      <c r="P378" s="4"/>
    </row>
    <row r="379" spans="1:16" x14ac:dyDescent="0.4">
      <c r="A379" s="26" t="s">
        <v>77</v>
      </c>
      <c r="B379" s="11">
        <v>17000</v>
      </c>
      <c r="C379" s="11">
        <v>17000</v>
      </c>
      <c r="D379" s="11">
        <v>17000</v>
      </c>
      <c r="E379" s="11">
        <v>17000</v>
      </c>
      <c r="F379" s="12">
        <v>0</v>
      </c>
      <c r="G379" s="13">
        <f t="shared" si="26"/>
        <v>0</v>
      </c>
      <c r="H379" s="13">
        <v>0</v>
      </c>
      <c r="I379" s="13">
        <v>0</v>
      </c>
      <c r="J379" s="14">
        <f t="shared" si="27"/>
        <v>0</v>
      </c>
      <c r="K379" s="13">
        <v>0</v>
      </c>
      <c r="L379" s="13">
        <v>0</v>
      </c>
      <c r="M379" s="14">
        <f t="shared" si="28"/>
        <v>0</v>
      </c>
      <c r="N379" s="14">
        <f t="shared" si="28"/>
        <v>0</v>
      </c>
      <c r="O379" s="4">
        <f t="shared" si="28"/>
        <v>0</v>
      </c>
      <c r="P379" s="4"/>
    </row>
    <row r="380" spans="1:16" x14ac:dyDescent="0.4">
      <c r="A380" s="26" t="s">
        <v>78</v>
      </c>
      <c r="B380" s="11">
        <v>17000</v>
      </c>
      <c r="C380" s="11">
        <v>17000</v>
      </c>
      <c r="D380" s="11">
        <v>17000</v>
      </c>
      <c r="E380" s="11">
        <v>17000</v>
      </c>
      <c r="F380" s="12">
        <v>0</v>
      </c>
      <c r="G380" s="13">
        <f t="shared" si="26"/>
        <v>50000</v>
      </c>
      <c r="H380" s="13">
        <v>0</v>
      </c>
      <c r="I380" s="13">
        <v>50000</v>
      </c>
      <c r="J380" s="14">
        <f t="shared" si="27"/>
        <v>850000000</v>
      </c>
      <c r="K380" s="13">
        <v>0</v>
      </c>
      <c r="L380" s="13">
        <v>850000000</v>
      </c>
      <c r="M380" s="14">
        <f t="shared" si="28"/>
        <v>17000</v>
      </c>
      <c r="N380" s="14">
        <f t="shared" si="28"/>
        <v>0</v>
      </c>
      <c r="O380" s="4">
        <f t="shared" si="28"/>
        <v>17000</v>
      </c>
      <c r="P380" s="4">
        <f>IFERROR(SUM(L376:L380)/SUM(I376:I380),"")</f>
        <v>17000</v>
      </c>
    </row>
    <row r="381" spans="1:16" x14ac:dyDescent="0.4">
      <c r="A381" s="26" t="s">
        <v>79</v>
      </c>
      <c r="B381" s="11">
        <v>17000</v>
      </c>
      <c r="C381" s="11">
        <v>17000</v>
      </c>
      <c r="D381" s="11">
        <v>17000</v>
      </c>
      <c r="E381" s="11">
        <v>17000</v>
      </c>
      <c r="F381" s="12">
        <v>0</v>
      </c>
      <c r="G381" s="13">
        <f t="shared" si="26"/>
        <v>0</v>
      </c>
      <c r="H381" s="13">
        <v>0</v>
      </c>
      <c r="I381" s="13">
        <v>0</v>
      </c>
      <c r="J381" s="14">
        <f t="shared" si="27"/>
        <v>0</v>
      </c>
      <c r="K381" s="13">
        <v>0</v>
      </c>
      <c r="L381" s="13">
        <v>0</v>
      </c>
      <c r="M381" s="14">
        <f t="shared" si="28"/>
        <v>0</v>
      </c>
      <c r="N381" s="14">
        <f t="shared" si="28"/>
        <v>0</v>
      </c>
      <c r="O381" s="4">
        <f t="shared" si="28"/>
        <v>0</v>
      </c>
      <c r="P381" s="4"/>
    </row>
    <row r="382" spans="1:16" x14ac:dyDescent="0.4">
      <c r="A382" s="26" t="s">
        <v>80</v>
      </c>
      <c r="B382" s="11">
        <v>17000</v>
      </c>
      <c r="C382" s="11">
        <v>17000</v>
      </c>
      <c r="D382" s="11">
        <v>17000</v>
      </c>
      <c r="E382" s="11">
        <v>17000</v>
      </c>
      <c r="F382" s="12">
        <v>0</v>
      </c>
      <c r="G382" s="13">
        <f t="shared" si="26"/>
        <v>0</v>
      </c>
      <c r="H382" s="13">
        <v>0</v>
      </c>
      <c r="I382" s="13">
        <v>0</v>
      </c>
      <c r="J382" s="14">
        <f t="shared" si="27"/>
        <v>0</v>
      </c>
      <c r="K382" s="13">
        <v>0</v>
      </c>
      <c r="L382" s="13">
        <v>0</v>
      </c>
      <c r="M382" s="14">
        <f t="shared" si="28"/>
        <v>0</v>
      </c>
      <c r="N382" s="14">
        <f t="shared" si="28"/>
        <v>0</v>
      </c>
      <c r="O382" s="4">
        <f t="shared" si="28"/>
        <v>0</v>
      </c>
      <c r="P382" s="4"/>
    </row>
    <row r="383" spans="1:16" x14ac:dyDescent="0.4">
      <c r="A383" s="26" t="s">
        <v>81</v>
      </c>
      <c r="B383" s="11">
        <v>17000</v>
      </c>
      <c r="C383" s="11">
        <v>17000</v>
      </c>
      <c r="D383" s="11">
        <v>17000</v>
      </c>
      <c r="E383" s="11">
        <v>17000</v>
      </c>
      <c r="F383" s="12">
        <v>0</v>
      </c>
      <c r="G383" s="13">
        <f t="shared" si="26"/>
        <v>0</v>
      </c>
      <c r="H383" s="13">
        <v>0</v>
      </c>
      <c r="I383" s="13">
        <v>0</v>
      </c>
      <c r="J383" s="14">
        <f t="shared" si="27"/>
        <v>0</v>
      </c>
      <c r="K383" s="13">
        <v>0</v>
      </c>
      <c r="L383" s="13">
        <v>0</v>
      </c>
      <c r="M383" s="14">
        <f t="shared" si="28"/>
        <v>0</v>
      </c>
      <c r="N383" s="14">
        <f t="shared" si="28"/>
        <v>0</v>
      </c>
      <c r="O383" s="4">
        <f t="shared" si="28"/>
        <v>0</v>
      </c>
      <c r="P383" s="4"/>
    </row>
    <row r="384" spans="1:16" x14ac:dyDescent="0.4">
      <c r="A384" s="26" t="s">
        <v>82</v>
      </c>
      <c r="B384" s="11">
        <v>17000</v>
      </c>
      <c r="C384" s="11">
        <v>17000</v>
      </c>
      <c r="D384" s="11">
        <v>17000</v>
      </c>
      <c r="E384" s="11">
        <v>17000</v>
      </c>
      <c r="F384" s="12">
        <v>0</v>
      </c>
      <c r="G384" s="13">
        <f t="shared" si="26"/>
        <v>0</v>
      </c>
      <c r="H384" s="13">
        <v>0</v>
      </c>
      <c r="I384" s="13">
        <v>0</v>
      </c>
      <c r="J384" s="14">
        <f t="shared" si="27"/>
        <v>0</v>
      </c>
      <c r="K384" s="13">
        <v>0</v>
      </c>
      <c r="L384" s="13">
        <v>0</v>
      </c>
      <c r="M384" s="14">
        <f t="shared" si="28"/>
        <v>0</v>
      </c>
      <c r="N384" s="14">
        <f t="shared" si="28"/>
        <v>0</v>
      </c>
      <c r="O384" s="4">
        <f t="shared" si="28"/>
        <v>0</v>
      </c>
      <c r="P384" s="4"/>
    </row>
    <row r="385" spans="1:16" x14ac:dyDescent="0.4">
      <c r="A385" s="26" t="s">
        <v>83</v>
      </c>
      <c r="B385" s="11">
        <v>17000</v>
      </c>
      <c r="C385" s="11">
        <v>17000</v>
      </c>
      <c r="D385" s="11">
        <v>17000</v>
      </c>
      <c r="E385" s="11">
        <v>17000</v>
      </c>
      <c r="F385" s="12">
        <v>0</v>
      </c>
      <c r="G385" s="13">
        <f t="shared" si="26"/>
        <v>0</v>
      </c>
      <c r="H385" s="13">
        <v>0</v>
      </c>
      <c r="I385" s="13">
        <v>0</v>
      </c>
      <c r="J385" s="14">
        <f t="shared" si="27"/>
        <v>0</v>
      </c>
      <c r="K385" s="13">
        <v>0</v>
      </c>
      <c r="L385" s="13">
        <v>0</v>
      </c>
      <c r="M385" s="14">
        <f t="shared" si="28"/>
        <v>0</v>
      </c>
      <c r="N385" s="14">
        <f t="shared" si="28"/>
        <v>0</v>
      </c>
      <c r="O385" s="4">
        <f t="shared" si="28"/>
        <v>0</v>
      </c>
      <c r="P385" s="4">
        <v>0</v>
      </c>
    </row>
    <row r="386" spans="1:16" x14ac:dyDescent="0.4">
      <c r="A386" s="26" t="s">
        <v>84</v>
      </c>
      <c r="B386" s="11">
        <v>17000</v>
      </c>
      <c r="C386" s="11">
        <v>17000</v>
      </c>
      <c r="D386" s="11">
        <v>17000</v>
      </c>
      <c r="E386" s="11">
        <v>17000</v>
      </c>
      <c r="F386" s="12">
        <v>0</v>
      </c>
      <c r="G386" s="13">
        <f t="shared" si="26"/>
        <v>0</v>
      </c>
      <c r="H386" s="13">
        <v>0</v>
      </c>
      <c r="I386" s="13">
        <v>0</v>
      </c>
      <c r="J386" s="14">
        <f t="shared" si="27"/>
        <v>0</v>
      </c>
      <c r="K386" s="13">
        <v>0</v>
      </c>
      <c r="L386" s="13">
        <v>0</v>
      </c>
      <c r="M386" s="14">
        <f t="shared" si="28"/>
        <v>0</v>
      </c>
      <c r="N386" s="14">
        <f t="shared" si="28"/>
        <v>0</v>
      </c>
      <c r="O386" s="4">
        <f t="shared" si="28"/>
        <v>0</v>
      </c>
      <c r="P386" s="4"/>
    </row>
    <row r="387" spans="1:16" x14ac:dyDescent="0.4">
      <c r="A387" s="26" t="s">
        <v>85</v>
      </c>
      <c r="B387" s="11">
        <v>17000</v>
      </c>
      <c r="C387" s="11">
        <v>17000</v>
      </c>
      <c r="D387" s="11">
        <v>17000</v>
      </c>
      <c r="E387" s="11">
        <v>17000</v>
      </c>
      <c r="F387" s="12">
        <v>0</v>
      </c>
      <c r="G387" s="13">
        <f t="shared" si="26"/>
        <v>0</v>
      </c>
      <c r="H387" s="13">
        <v>0</v>
      </c>
      <c r="I387" s="13">
        <v>0</v>
      </c>
      <c r="J387" s="14">
        <f t="shared" si="27"/>
        <v>0</v>
      </c>
      <c r="K387" s="13">
        <v>0</v>
      </c>
      <c r="L387" s="13">
        <v>0</v>
      </c>
      <c r="M387" s="14">
        <f t="shared" si="28"/>
        <v>0</v>
      </c>
      <c r="N387" s="14">
        <f t="shared" si="28"/>
        <v>0</v>
      </c>
      <c r="O387" s="4">
        <f t="shared" si="28"/>
        <v>0</v>
      </c>
      <c r="P387" s="4"/>
    </row>
    <row r="388" spans="1:16" x14ac:dyDescent="0.4">
      <c r="A388" s="26" t="s">
        <v>86</v>
      </c>
      <c r="B388" s="11">
        <v>17000</v>
      </c>
      <c r="C388" s="11">
        <v>17000</v>
      </c>
      <c r="D388" s="11">
        <v>17000</v>
      </c>
      <c r="E388" s="11">
        <v>17000</v>
      </c>
      <c r="F388" s="12">
        <v>0</v>
      </c>
      <c r="G388" s="13">
        <f t="shared" si="26"/>
        <v>0</v>
      </c>
      <c r="H388" s="13">
        <v>0</v>
      </c>
      <c r="I388" s="13">
        <v>0</v>
      </c>
      <c r="J388" s="14">
        <f t="shared" si="27"/>
        <v>0</v>
      </c>
      <c r="K388" s="13">
        <v>0</v>
      </c>
      <c r="L388" s="13">
        <v>0</v>
      </c>
      <c r="M388" s="14">
        <f t="shared" si="28"/>
        <v>0</v>
      </c>
      <c r="N388" s="14">
        <f t="shared" si="28"/>
        <v>0</v>
      </c>
      <c r="O388" s="4">
        <f t="shared" si="28"/>
        <v>0</v>
      </c>
      <c r="P388" s="4"/>
    </row>
    <row r="389" spans="1:16" x14ac:dyDescent="0.4">
      <c r="A389" s="26" t="s">
        <v>87</v>
      </c>
      <c r="B389" s="11">
        <v>17000</v>
      </c>
      <c r="C389" s="23">
        <v>17000</v>
      </c>
      <c r="D389" s="11">
        <v>17000</v>
      </c>
      <c r="E389" s="11">
        <v>17000</v>
      </c>
      <c r="F389" s="12">
        <v>0</v>
      </c>
      <c r="G389" s="13">
        <f t="shared" si="26"/>
        <v>15000</v>
      </c>
      <c r="H389" s="13">
        <v>0</v>
      </c>
      <c r="I389" s="13">
        <v>15000</v>
      </c>
      <c r="J389" s="14">
        <f t="shared" si="27"/>
        <v>255000000</v>
      </c>
      <c r="K389" s="13">
        <v>0</v>
      </c>
      <c r="L389" s="13">
        <v>255000000</v>
      </c>
      <c r="M389" s="14">
        <f t="shared" si="28"/>
        <v>17000</v>
      </c>
      <c r="N389" s="14">
        <f t="shared" si="28"/>
        <v>0</v>
      </c>
      <c r="O389" s="4">
        <f t="shared" si="28"/>
        <v>17000</v>
      </c>
      <c r="P389" s="4"/>
    </row>
    <row r="390" spans="1:16" x14ac:dyDescent="0.4">
      <c r="A390" s="26" t="s">
        <v>88</v>
      </c>
      <c r="B390" s="11">
        <v>17000</v>
      </c>
      <c r="C390" s="11">
        <v>17000</v>
      </c>
      <c r="D390" s="11">
        <v>17000</v>
      </c>
      <c r="E390" s="11">
        <v>17000</v>
      </c>
      <c r="F390" s="12">
        <v>0</v>
      </c>
      <c r="G390" s="13">
        <f t="shared" si="26"/>
        <v>0</v>
      </c>
      <c r="H390" s="13">
        <v>0</v>
      </c>
      <c r="I390" s="13">
        <v>0</v>
      </c>
      <c r="J390" s="14">
        <f t="shared" si="27"/>
        <v>0</v>
      </c>
      <c r="K390" s="13">
        <v>0</v>
      </c>
      <c r="L390" s="13">
        <v>0</v>
      </c>
      <c r="M390" s="14">
        <f t="shared" si="28"/>
        <v>0</v>
      </c>
      <c r="N390" s="14">
        <f t="shared" si="28"/>
        <v>0</v>
      </c>
      <c r="O390" s="4">
        <f t="shared" si="28"/>
        <v>0</v>
      </c>
      <c r="P390" s="4">
        <f>IFERROR(SUM(L386:L390)/SUM(I386:I390),"")</f>
        <v>17000</v>
      </c>
    </row>
    <row r="391" spans="1:16" x14ac:dyDescent="0.4">
      <c r="A391" s="26" t="s">
        <v>89</v>
      </c>
      <c r="B391" s="11">
        <v>17000</v>
      </c>
      <c r="C391" s="11">
        <v>17000</v>
      </c>
      <c r="D391" s="11">
        <v>17000</v>
      </c>
      <c r="E391" s="11">
        <v>17000</v>
      </c>
      <c r="F391" s="12">
        <v>0</v>
      </c>
      <c r="G391" s="13">
        <f t="shared" si="26"/>
        <v>670</v>
      </c>
      <c r="H391" s="13">
        <v>0</v>
      </c>
      <c r="I391" s="13">
        <v>670</v>
      </c>
      <c r="J391" s="14">
        <f t="shared" si="27"/>
        <v>11390000</v>
      </c>
      <c r="K391" s="13">
        <v>0</v>
      </c>
      <c r="L391" s="13">
        <v>11390000</v>
      </c>
      <c r="M391" s="14">
        <f t="shared" si="28"/>
        <v>17000</v>
      </c>
      <c r="N391" s="14">
        <f t="shared" si="28"/>
        <v>0</v>
      </c>
      <c r="O391" s="4">
        <f t="shared" si="28"/>
        <v>17000</v>
      </c>
      <c r="P391" s="4"/>
    </row>
    <row r="392" spans="1:16" x14ac:dyDescent="0.4">
      <c r="A392" s="26" t="s">
        <v>90</v>
      </c>
      <c r="B392" s="11">
        <v>17000</v>
      </c>
      <c r="C392" s="11">
        <v>17000</v>
      </c>
      <c r="D392" s="11">
        <v>17000</v>
      </c>
      <c r="E392" s="11">
        <v>17000</v>
      </c>
      <c r="F392" s="12">
        <v>0</v>
      </c>
      <c r="G392" s="13">
        <f t="shared" si="26"/>
        <v>0</v>
      </c>
      <c r="H392" s="13">
        <v>0</v>
      </c>
      <c r="I392" s="13">
        <v>0</v>
      </c>
      <c r="J392" s="14">
        <f t="shared" si="27"/>
        <v>0</v>
      </c>
      <c r="K392" s="13">
        <v>0</v>
      </c>
      <c r="L392" s="13">
        <v>0</v>
      </c>
      <c r="M392" s="14">
        <f t="shared" si="28"/>
        <v>0</v>
      </c>
      <c r="N392" s="14">
        <f t="shared" si="28"/>
        <v>0</v>
      </c>
      <c r="O392" s="4">
        <f t="shared" si="28"/>
        <v>0</v>
      </c>
      <c r="P392" s="4"/>
    </row>
    <row r="393" spans="1:16" x14ac:dyDescent="0.4">
      <c r="A393" s="26" t="s">
        <v>91</v>
      </c>
      <c r="B393" s="11">
        <v>17000</v>
      </c>
      <c r="C393" s="11">
        <v>17000</v>
      </c>
      <c r="D393" s="11">
        <v>17000</v>
      </c>
      <c r="E393" s="11">
        <v>17000</v>
      </c>
      <c r="F393" s="12">
        <v>0</v>
      </c>
      <c r="G393" s="13">
        <f t="shared" si="26"/>
        <v>0</v>
      </c>
      <c r="H393" s="13">
        <v>0</v>
      </c>
      <c r="I393" s="13">
        <v>0</v>
      </c>
      <c r="J393" s="14">
        <f t="shared" si="27"/>
        <v>0</v>
      </c>
      <c r="K393" s="13">
        <v>0</v>
      </c>
      <c r="L393" s="13">
        <v>0</v>
      </c>
      <c r="M393" s="14">
        <f t="shared" si="28"/>
        <v>0</v>
      </c>
      <c r="N393" s="14">
        <f t="shared" si="28"/>
        <v>0</v>
      </c>
      <c r="O393" s="4">
        <f t="shared" si="28"/>
        <v>0</v>
      </c>
      <c r="P393" s="4"/>
    </row>
    <row r="394" spans="1:16" x14ac:dyDescent="0.4">
      <c r="A394" s="26" t="s">
        <v>92</v>
      </c>
      <c r="B394" s="11">
        <v>16700</v>
      </c>
      <c r="C394" s="23">
        <v>16700</v>
      </c>
      <c r="D394" s="11">
        <v>16500</v>
      </c>
      <c r="E394" s="11">
        <v>16500</v>
      </c>
      <c r="F394" s="12">
        <v>-2.94</v>
      </c>
      <c r="G394" s="13">
        <f t="shared" si="26"/>
        <v>15000</v>
      </c>
      <c r="H394" s="13">
        <v>0</v>
      </c>
      <c r="I394" s="13">
        <v>15000</v>
      </c>
      <c r="J394" s="14">
        <f t="shared" si="27"/>
        <v>248500000</v>
      </c>
      <c r="K394" s="13">
        <v>0</v>
      </c>
      <c r="L394" s="13">
        <v>248500000</v>
      </c>
      <c r="M394" s="14">
        <f t="shared" si="28"/>
        <v>16566.666666666668</v>
      </c>
      <c r="N394" s="14">
        <f t="shared" si="28"/>
        <v>0</v>
      </c>
      <c r="O394" s="4">
        <f t="shared" si="28"/>
        <v>16566.666666666668</v>
      </c>
      <c r="P394" s="4"/>
    </row>
    <row r="395" spans="1:16" x14ac:dyDescent="0.4">
      <c r="A395" s="26" t="s">
        <v>93</v>
      </c>
      <c r="B395" s="11">
        <v>16500</v>
      </c>
      <c r="C395" s="11">
        <v>16500</v>
      </c>
      <c r="D395" s="11">
        <v>16500</v>
      </c>
      <c r="E395" s="11">
        <v>16500</v>
      </c>
      <c r="F395" s="12">
        <v>0</v>
      </c>
      <c r="G395" s="13">
        <f t="shared" si="26"/>
        <v>0</v>
      </c>
      <c r="H395" s="13">
        <v>0</v>
      </c>
      <c r="I395" s="13">
        <v>0</v>
      </c>
      <c r="J395" s="14">
        <f t="shared" si="27"/>
        <v>0</v>
      </c>
      <c r="K395" s="13">
        <v>0</v>
      </c>
      <c r="L395" s="13">
        <v>0</v>
      </c>
      <c r="M395" s="14">
        <f t="shared" si="28"/>
        <v>0</v>
      </c>
      <c r="N395" s="14">
        <f t="shared" si="28"/>
        <v>0</v>
      </c>
      <c r="O395" s="4">
        <f t="shared" si="28"/>
        <v>0</v>
      </c>
      <c r="P395" s="4">
        <f>IFERROR(SUM(L391:L395)/SUM(I391:I395),"")</f>
        <v>16585.194639438418</v>
      </c>
    </row>
    <row r="396" spans="1:16" x14ac:dyDescent="0.4">
      <c r="A396" s="26" t="s">
        <v>94</v>
      </c>
      <c r="B396" s="11">
        <v>16500</v>
      </c>
      <c r="C396" s="11">
        <v>16500</v>
      </c>
      <c r="D396" s="11">
        <v>16500</v>
      </c>
      <c r="E396" s="11">
        <v>16500</v>
      </c>
      <c r="F396" s="12">
        <v>0</v>
      </c>
      <c r="G396" s="13">
        <f t="shared" si="26"/>
        <v>0</v>
      </c>
      <c r="H396" s="13">
        <v>0</v>
      </c>
      <c r="I396" s="13">
        <v>0</v>
      </c>
      <c r="J396" s="14">
        <f t="shared" si="27"/>
        <v>0</v>
      </c>
      <c r="K396" s="13">
        <v>0</v>
      </c>
      <c r="L396" s="13">
        <v>0</v>
      </c>
      <c r="M396" s="14">
        <f t="shared" si="28"/>
        <v>0</v>
      </c>
      <c r="N396" s="14">
        <f t="shared" si="28"/>
        <v>0</v>
      </c>
      <c r="O396" s="4">
        <f t="shared" si="28"/>
        <v>0</v>
      </c>
      <c r="P396" s="4"/>
    </row>
    <row r="397" spans="1:16" x14ac:dyDescent="0.4">
      <c r="A397" s="26" t="s">
        <v>95</v>
      </c>
      <c r="B397" s="11">
        <v>16500</v>
      </c>
      <c r="C397" s="11">
        <v>16500</v>
      </c>
      <c r="D397" s="11">
        <v>16500</v>
      </c>
      <c r="E397" s="11">
        <v>16500</v>
      </c>
      <c r="F397" s="12">
        <v>0</v>
      </c>
      <c r="G397" s="13">
        <f t="shared" si="26"/>
        <v>0</v>
      </c>
      <c r="H397" s="13">
        <v>0</v>
      </c>
      <c r="I397" s="13">
        <v>0</v>
      </c>
      <c r="J397" s="14">
        <f t="shared" si="27"/>
        <v>0</v>
      </c>
      <c r="K397" s="13">
        <v>0</v>
      </c>
      <c r="L397" s="13">
        <v>0</v>
      </c>
      <c r="M397" s="14">
        <f t="shared" si="28"/>
        <v>0</v>
      </c>
      <c r="N397" s="14">
        <f t="shared" si="28"/>
        <v>0</v>
      </c>
      <c r="O397" s="4">
        <f t="shared" si="28"/>
        <v>0</v>
      </c>
      <c r="P397" s="4"/>
    </row>
    <row r="398" spans="1:16" x14ac:dyDescent="0.4">
      <c r="A398" s="26" t="s">
        <v>96</v>
      </c>
      <c r="B398" s="11">
        <v>16500</v>
      </c>
      <c r="C398" s="11">
        <v>16500</v>
      </c>
      <c r="D398" s="11">
        <v>16500</v>
      </c>
      <c r="E398" s="11">
        <v>16500</v>
      </c>
      <c r="F398" s="12">
        <v>0</v>
      </c>
      <c r="G398" s="13">
        <f t="shared" si="26"/>
        <v>0</v>
      </c>
      <c r="H398" s="13">
        <v>0</v>
      </c>
      <c r="I398" s="13">
        <v>0</v>
      </c>
      <c r="J398" s="14">
        <f t="shared" si="27"/>
        <v>0</v>
      </c>
      <c r="K398" s="13">
        <v>0</v>
      </c>
      <c r="L398" s="13">
        <v>0</v>
      </c>
      <c r="M398" s="14">
        <f t="shared" si="28"/>
        <v>0</v>
      </c>
      <c r="N398" s="14">
        <f t="shared" si="28"/>
        <v>0</v>
      </c>
      <c r="O398" s="4">
        <f t="shared" si="28"/>
        <v>0</v>
      </c>
      <c r="P398" s="4"/>
    </row>
    <row r="399" spans="1:16" x14ac:dyDescent="0.4">
      <c r="A399" s="26" t="s">
        <v>97</v>
      </c>
      <c r="B399" s="11">
        <v>16500</v>
      </c>
      <c r="C399" s="11">
        <v>16500</v>
      </c>
      <c r="D399" s="11">
        <v>16500</v>
      </c>
      <c r="E399" s="11">
        <v>16500</v>
      </c>
      <c r="F399" s="12">
        <v>0</v>
      </c>
      <c r="G399" s="13">
        <f t="shared" si="26"/>
        <v>0</v>
      </c>
      <c r="H399" s="13">
        <v>0</v>
      </c>
      <c r="I399" s="13">
        <v>0</v>
      </c>
      <c r="J399" s="14">
        <f t="shared" si="27"/>
        <v>0</v>
      </c>
      <c r="K399" s="13">
        <v>0</v>
      </c>
      <c r="L399" s="13">
        <v>0</v>
      </c>
      <c r="M399" s="14">
        <f t="shared" si="28"/>
        <v>0</v>
      </c>
      <c r="N399" s="14">
        <f t="shared" si="28"/>
        <v>0</v>
      </c>
      <c r="O399" s="4">
        <f t="shared" si="28"/>
        <v>0</v>
      </c>
      <c r="P399" s="4">
        <v>0</v>
      </c>
    </row>
    <row r="400" spans="1:16" x14ac:dyDescent="0.4">
      <c r="A400" s="26" t="s">
        <v>98</v>
      </c>
      <c r="B400" s="11">
        <v>17000</v>
      </c>
      <c r="C400" s="23">
        <v>17000</v>
      </c>
      <c r="D400" s="11">
        <v>17000</v>
      </c>
      <c r="E400" s="11">
        <v>17000</v>
      </c>
      <c r="F400" s="12">
        <v>3.03</v>
      </c>
      <c r="G400" s="13">
        <f t="shared" si="26"/>
        <v>10000</v>
      </c>
      <c r="H400" s="13">
        <v>0</v>
      </c>
      <c r="I400" s="13">
        <v>10000</v>
      </c>
      <c r="J400" s="14">
        <f t="shared" si="27"/>
        <v>170000000</v>
      </c>
      <c r="K400" s="13">
        <v>0</v>
      </c>
      <c r="L400" s="13">
        <v>170000000</v>
      </c>
      <c r="M400" s="14">
        <f t="shared" si="28"/>
        <v>17000</v>
      </c>
      <c r="N400" s="14">
        <f t="shared" si="28"/>
        <v>0</v>
      </c>
      <c r="O400" s="4">
        <f t="shared" si="28"/>
        <v>17000</v>
      </c>
      <c r="P400" s="4"/>
    </row>
    <row r="401" spans="1:16" x14ac:dyDescent="0.4">
      <c r="A401" s="26" t="s">
        <v>99</v>
      </c>
      <c r="B401" s="11">
        <v>17000</v>
      </c>
      <c r="C401" s="23">
        <v>17000</v>
      </c>
      <c r="D401" s="11">
        <v>17000</v>
      </c>
      <c r="E401" s="11">
        <v>17000</v>
      </c>
      <c r="F401" s="12">
        <v>0</v>
      </c>
      <c r="G401" s="13">
        <f t="shared" si="26"/>
        <v>30000</v>
      </c>
      <c r="H401" s="13">
        <v>0</v>
      </c>
      <c r="I401" s="13">
        <v>30000</v>
      </c>
      <c r="J401" s="14">
        <f t="shared" si="27"/>
        <v>510000000</v>
      </c>
      <c r="K401" s="13">
        <v>0</v>
      </c>
      <c r="L401" s="13">
        <v>510000000</v>
      </c>
      <c r="M401" s="14">
        <f t="shared" si="28"/>
        <v>17000</v>
      </c>
      <c r="N401" s="14">
        <f t="shared" si="28"/>
        <v>0</v>
      </c>
      <c r="O401" s="4">
        <f t="shared" si="28"/>
        <v>17000</v>
      </c>
      <c r="P401" s="4"/>
    </row>
    <row r="402" spans="1:16" x14ac:dyDescent="0.4">
      <c r="A402" s="26" t="s">
        <v>100</v>
      </c>
      <c r="B402" s="11">
        <v>17000</v>
      </c>
      <c r="C402" s="11">
        <v>17000</v>
      </c>
      <c r="D402" s="11">
        <v>17000</v>
      </c>
      <c r="E402" s="11">
        <v>17000</v>
      </c>
      <c r="F402" s="12">
        <v>0</v>
      </c>
      <c r="G402" s="13">
        <f t="shared" si="26"/>
        <v>0</v>
      </c>
      <c r="H402" s="13">
        <v>120000</v>
      </c>
      <c r="I402" s="13">
        <v>120000</v>
      </c>
      <c r="J402" s="14">
        <f t="shared" si="27"/>
        <v>0</v>
      </c>
      <c r="K402" s="13">
        <v>2040000000</v>
      </c>
      <c r="L402" s="13">
        <v>2040000000</v>
      </c>
      <c r="M402" s="14">
        <f t="shared" si="28"/>
        <v>0</v>
      </c>
      <c r="N402" s="14">
        <f t="shared" si="28"/>
        <v>17000</v>
      </c>
      <c r="O402" s="4">
        <f t="shared" si="28"/>
        <v>17000</v>
      </c>
      <c r="P402" s="4"/>
    </row>
    <row r="403" spans="1:16" x14ac:dyDescent="0.4">
      <c r="A403" s="26" t="s">
        <v>101</v>
      </c>
      <c r="B403" s="11">
        <v>17000</v>
      </c>
      <c r="C403" s="11">
        <v>17000</v>
      </c>
      <c r="D403" s="11">
        <v>17000</v>
      </c>
      <c r="E403" s="11">
        <v>17000</v>
      </c>
      <c r="F403" s="12">
        <v>0</v>
      </c>
      <c r="G403" s="13">
        <f t="shared" si="26"/>
        <v>10000</v>
      </c>
      <c r="H403" s="13">
        <v>0</v>
      </c>
      <c r="I403" s="13">
        <v>10000</v>
      </c>
      <c r="J403" s="14">
        <f t="shared" si="27"/>
        <v>170000000</v>
      </c>
      <c r="K403" s="13">
        <v>0</v>
      </c>
      <c r="L403" s="13">
        <v>170000000</v>
      </c>
      <c r="M403" s="14">
        <f t="shared" si="28"/>
        <v>17000</v>
      </c>
      <c r="N403" s="14">
        <f t="shared" si="28"/>
        <v>0</v>
      </c>
      <c r="O403" s="4">
        <f t="shared" si="28"/>
        <v>17000</v>
      </c>
      <c r="P403" s="4"/>
    </row>
    <row r="404" spans="1:16" x14ac:dyDescent="0.4">
      <c r="A404" s="26" t="s">
        <v>102</v>
      </c>
      <c r="B404" s="11">
        <v>17000</v>
      </c>
      <c r="C404" s="11">
        <v>17000</v>
      </c>
      <c r="D404" s="11">
        <v>17000</v>
      </c>
      <c r="E404" s="11">
        <v>17000</v>
      </c>
      <c r="F404" s="12">
        <v>0</v>
      </c>
      <c r="G404" s="13">
        <f t="shared" si="26"/>
        <v>30000</v>
      </c>
      <c r="H404" s="13">
        <v>0</v>
      </c>
      <c r="I404" s="13">
        <v>30000</v>
      </c>
      <c r="J404" s="14">
        <f t="shared" si="27"/>
        <v>510000000</v>
      </c>
      <c r="K404" s="13">
        <v>0</v>
      </c>
      <c r="L404" s="13">
        <v>510000000</v>
      </c>
      <c r="M404" s="14">
        <f t="shared" ref="M404:O435" si="29">IFERROR(J404/G404,0)</f>
        <v>17000</v>
      </c>
      <c r="N404" s="14">
        <f t="shared" si="29"/>
        <v>0</v>
      </c>
      <c r="O404" s="4">
        <f t="shared" si="29"/>
        <v>17000</v>
      </c>
      <c r="P404" s="4">
        <f>IFERROR(SUM(L400:L404)/SUM(I400:I404),"")</f>
        <v>17000</v>
      </c>
    </row>
    <row r="405" spans="1:16" x14ac:dyDescent="0.4">
      <c r="A405" s="26" t="s">
        <v>103</v>
      </c>
      <c r="B405" s="11">
        <v>17000</v>
      </c>
      <c r="C405" s="11">
        <v>17000</v>
      </c>
      <c r="D405" s="11">
        <v>17000</v>
      </c>
      <c r="E405" s="11">
        <v>17000</v>
      </c>
      <c r="F405" s="12">
        <v>0</v>
      </c>
      <c r="G405" s="13">
        <f t="shared" si="26"/>
        <v>50000</v>
      </c>
      <c r="H405" s="13">
        <v>0</v>
      </c>
      <c r="I405" s="13">
        <v>50000</v>
      </c>
      <c r="J405" s="14">
        <f t="shared" si="27"/>
        <v>850000000</v>
      </c>
      <c r="K405" s="13">
        <v>0</v>
      </c>
      <c r="L405" s="13">
        <v>850000000</v>
      </c>
      <c r="M405" s="14">
        <f t="shared" si="29"/>
        <v>17000</v>
      </c>
      <c r="N405" s="14">
        <f t="shared" si="29"/>
        <v>0</v>
      </c>
      <c r="O405" s="4">
        <f t="shared" si="29"/>
        <v>17000</v>
      </c>
      <c r="P405" s="4"/>
    </row>
    <row r="406" spans="1:16" x14ac:dyDescent="0.4">
      <c r="A406" s="26" t="s">
        <v>104</v>
      </c>
      <c r="B406" s="11">
        <v>17000</v>
      </c>
      <c r="C406" s="11">
        <v>17000</v>
      </c>
      <c r="D406" s="11">
        <v>17000</v>
      </c>
      <c r="E406" s="11">
        <v>17000</v>
      </c>
      <c r="F406" s="12">
        <v>0</v>
      </c>
      <c r="G406" s="13">
        <f t="shared" si="26"/>
        <v>99660</v>
      </c>
      <c r="H406" s="13">
        <v>0</v>
      </c>
      <c r="I406" s="13">
        <v>99660</v>
      </c>
      <c r="J406" s="14">
        <f t="shared" si="27"/>
        <v>1694220000</v>
      </c>
      <c r="K406" s="13">
        <v>0</v>
      </c>
      <c r="L406" s="13">
        <v>1694220000</v>
      </c>
      <c r="M406" s="14">
        <f t="shared" si="29"/>
        <v>17000</v>
      </c>
      <c r="N406" s="14">
        <f t="shared" si="29"/>
        <v>0</v>
      </c>
      <c r="O406" s="4">
        <f t="shared" si="29"/>
        <v>17000</v>
      </c>
      <c r="P406" s="4"/>
    </row>
    <row r="407" spans="1:16" x14ac:dyDescent="0.4">
      <c r="A407" s="26" t="s">
        <v>105</v>
      </c>
      <c r="B407" s="11">
        <v>17000</v>
      </c>
      <c r="C407" s="11">
        <v>17000</v>
      </c>
      <c r="D407" s="11">
        <v>17000</v>
      </c>
      <c r="E407" s="11">
        <v>17000</v>
      </c>
      <c r="F407" s="12">
        <v>0</v>
      </c>
      <c r="G407" s="13">
        <f t="shared" si="26"/>
        <v>0</v>
      </c>
      <c r="H407" s="13">
        <v>61894</v>
      </c>
      <c r="I407" s="13">
        <v>61894</v>
      </c>
      <c r="J407" s="14">
        <f t="shared" si="27"/>
        <v>0</v>
      </c>
      <c r="K407" s="13">
        <v>1052198000</v>
      </c>
      <c r="L407" s="13">
        <v>1052198000</v>
      </c>
      <c r="M407" s="14">
        <f t="shared" si="29"/>
        <v>0</v>
      </c>
      <c r="N407" s="14">
        <f t="shared" si="29"/>
        <v>17000</v>
      </c>
      <c r="O407" s="4">
        <f t="shared" si="29"/>
        <v>17000</v>
      </c>
      <c r="P407" s="4"/>
    </row>
    <row r="408" spans="1:16" x14ac:dyDescent="0.4">
      <c r="A408" s="41" t="s">
        <v>106</v>
      </c>
      <c r="B408" s="11">
        <v>17000</v>
      </c>
      <c r="C408" s="11">
        <v>17000</v>
      </c>
      <c r="D408" s="11">
        <v>17000</v>
      </c>
      <c r="E408" s="13">
        <v>17000</v>
      </c>
      <c r="F408" s="19">
        <v>0</v>
      </c>
      <c r="G408" s="13">
        <f t="shared" si="26"/>
        <v>0</v>
      </c>
      <c r="H408" s="13">
        <v>0</v>
      </c>
      <c r="I408" s="13">
        <v>0</v>
      </c>
      <c r="J408" s="14">
        <f t="shared" si="27"/>
        <v>0</v>
      </c>
      <c r="K408" s="13">
        <v>0</v>
      </c>
      <c r="L408" s="13">
        <v>0</v>
      </c>
      <c r="M408" s="14">
        <f t="shared" si="29"/>
        <v>0</v>
      </c>
      <c r="N408" s="14">
        <f t="shared" si="29"/>
        <v>0</v>
      </c>
      <c r="O408" s="4">
        <f t="shared" si="29"/>
        <v>0</v>
      </c>
      <c r="P408" s="4"/>
    </row>
    <row r="409" spans="1:16" x14ac:dyDescent="0.4">
      <c r="A409" s="41" t="s">
        <v>107</v>
      </c>
      <c r="B409" s="11">
        <v>17000</v>
      </c>
      <c r="C409" s="11">
        <v>17000</v>
      </c>
      <c r="D409" s="11">
        <v>17000</v>
      </c>
      <c r="E409" s="13">
        <v>17000</v>
      </c>
      <c r="F409" s="19">
        <v>0</v>
      </c>
      <c r="G409" s="13">
        <f t="shared" si="26"/>
        <v>0</v>
      </c>
      <c r="H409" s="13">
        <v>0</v>
      </c>
      <c r="I409" s="13">
        <v>0</v>
      </c>
      <c r="J409" s="14">
        <f t="shared" si="27"/>
        <v>0</v>
      </c>
      <c r="K409" s="13">
        <v>0</v>
      </c>
      <c r="L409" s="13">
        <v>0</v>
      </c>
      <c r="M409" s="14">
        <f t="shared" si="29"/>
        <v>0</v>
      </c>
      <c r="N409" s="14">
        <f t="shared" si="29"/>
        <v>0</v>
      </c>
      <c r="O409" s="4">
        <f t="shared" si="29"/>
        <v>0</v>
      </c>
      <c r="P409" s="4">
        <f>IFERROR(SUM(L405:L409)/SUM(I405:I409),"")</f>
        <v>17000</v>
      </c>
    </row>
    <row r="410" spans="1:16" x14ac:dyDescent="0.4">
      <c r="A410" s="41" t="s">
        <v>108</v>
      </c>
      <c r="B410" s="11">
        <v>17000</v>
      </c>
      <c r="C410" s="11">
        <v>17000</v>
      </c>
      <c r="D410" s="11">
        <v>17000</v>
      </c>
      <c r="E410" s="13">
        <v>17000</v>
      </c>
      <c r="F410" s="19">
        <v>0</v>
      </c>
      <c r="G410" s="13">
        <f t="shared" si="26"/>
        <v>0</v>
      </c>
      <c r="H410" s="13">
        <v>0</v>
      </c>
      <c r="I410" s="13">
        <v>0</v>
      </c>
      <c r="J410" s="14">
        <f t="shared" si="27"/>
        <v>0</v>
      </c>
      <c r="K410" s="13">
        <v>0</v>
      </c>
      <c r="L410" s="13">
        <v>0</v>
      </c>
      <c r="M410" s="14">
        <f t="shared" si="29"/>
        <v>0</v>
      </c>
      <c r="N410" s="14">
        <f t="shared" si="29"/>
        <v>0</v>
      </c>
      <c r="O410" s="4">
        <f t="shared" si="29"/>
        <v>0</v>
      </c>
      <c r="P410" s="4"/>
    </row>
    <row r="411" spans="1:16" x14ac:dyDescent="0.4">
      <c r="A411" s="41" t="s">
        <v>109</v>
      </c>
      <c r="B411" s="11">
        <v>17000</v>
      </c>
      <c r="C411" s="11">
        <v>17000</v>
      </c>
      <c r="D411" s="11">
        <v>17000</v>
      </c>
      <c r="E411" s="13">
        <v>17000</v>
      </c>
      <c r="F411" s="19">
        <v>0</v>
      </c>
      <c r="G411" s="13">
        <f t="shared" si="26"/>
        <v>0</v>
      </c>
      <c r="H411" s="13">
        <v>0</v>
      </c>
      <c r="I411" s="13">
        <v>0</v>
      </c>
      <c r="J411" s="14">
        <f t="shared" si="27"/>
        <v>0</v>
      </c>
      <c r="K411" s="13">
        <v>0</v>
      </c>
      <c r="L411" s="13">
        <v>0</v>
      </c>
      <c r="M411" s="14">
        <f t="shared" si="29"/>
        <v>0</v>
      </c>
      <c r="N411" s="14">
        <f t="shared" si="29"/>
        <v>0</v>
      </c>
      <c r="O411" s="4">
        <f t="shared" si="29"/>
        <v>0</v>
      </c>
      <c r="P411" s="4"/>
    </row>
    <row r="412" spans="1:16" x14ac:dyDescent="0.4">
      <c r="A412" s="41" t="s">
        <v>110</v>
      </c>
      <c r="B412" s="11">
        <v>17000</v>
      </c>
      <c r="C412" s="11">
        <v>17000</v>
      </c>
      <c r="D412" s="11">
        <v>17000</v>
      </c>
      <c r="E412" s="13">
        <v>17000</v>
      </c>
      <c r="F412" s="19">
        <v>0</v>
      </c>
      <c r="G412" s="13">
        <f t="shared" si="26"/>
        <v>0</v>
      </c>
      <c r="H412" s="13">
        <v>0</v>
      </c>
      <c r="I412" s="13">
        <v>0</v>
      </c>
      <c r="J412" s="14">
        <f t="shared" si="27"/>
        <v>0</v>
      </c>
      <c r="K412" s="13">
        <v>0</v>
      </c>
      <c r="L412" s="13">
        <v>0</v>
      </c>
      <c r="M412" s="14">
        <f t="shared" si="29"/>
        <v>0</v>
      </c>
      <c r="N412" s="14">
        <f t="shared" si="29"/>
        <v>0</v>
      </c>
      <c r="O412" s="4">
        <f t="shared" si="29"/>
        <v>0</v>
      </c>
      <c r="P412" s="4"/>
    </row>
    <row r="413" spans="1:16" x14ac:dyDescent="0.4">
      <c r="A413" s="41" t="s">
        <v>111</v>
      </c>
      <c r="B413" s="11">
        <v>17000</v>
      </c>
      <c r="C413" s="11">
        <v>17000</v>
      </c>
      <c r="D413" s="11">
        <v>17000</v>
      </c>
      <c r="E413" s="13">
        <v>17000</v>
      </c>
      <c r="F413" s="19">
        <v>0</v>
      </c>
      <c r="G413" s="13">
        <f t="shared" si="26"/>
        <v>0</v>
      </c>
      <c r="H413" s="13">
        <v>45000</v>
      </c>
      <c r="I413" s="13">
        <v>45000</v>
      </c>
      <c r="J413" s="14">
        <f t="shared" si="27"/>
        <v>0</v>
      </c>
      <c r="K413" s="13">
        <v>765000000</v>
      </c>
      <c r="L413" s="13">
        <v>765000000</v>
      </c>
      <c r="M413" s="14">
        <f t="shared" si="29"/>
        <v>0</v>
      </c>
      <c r="N413" s="14">
        <f t="shared" si="29"/>
        <v>17000</v>
      </c>
      <c r="O413" s="4">
        <f t="shared" si="29"/>
        <v>17000</v>
      </c>
      <c r="P413" s="4"/>
    </row>
    <row r="414" spans="1:16" x14ac:dyDescent="0.4">
      <c r="A414" s="41" t="s">
        <v>112</v>
      </c>
      <c r="B414" s="11">
        <v>17000</v>
      </c>
      <c r="C414" s="11">
        <v>17000</v>
      </c>
      <c r="D414" s="11">
        <v>17000</v>
      </c>
      <c r="E414" s="13">
        <v>17000</v>
      </c>
      <c r="F414" s="19">
        <v>0</v>
      </c>
      <c r="G414" s="13">
        <f t="shared" si="26"/>
        <v>0</v>
      </c>
      <c r="H414" s="13">
        <v>45000</v>
      </c>
      <c r="I414" s="13">
        <v>45000</v>
      </c>
      <c r="J414" s="14">
        <f t="shared" si="27"/>
        <v>0</v>
      </c>
      <c r="K414" s="13">
        <v>765000000</v>
      </c>
      <c r="L414" s="13">
        <v>765000000</v>
      </c>
      <c r="M414" s="14">
        <f t="shared" si="29"/>
        <v>0</v>
      </c>
      <c r="N414" s="14">
        <f t="shared" si="29"/>
        <v>17000</v>
      </c>
      <c r="O414" s="4">
        <f t="shared" si="29"/>
        <v>17000</v>
      </c>
      <c r="P414" s="4">
        <f>IFERROR(SUM(L410:L414)/SUM(I410:I414),"")</f>
        <v>17000</v>
      </c>
    </row>
    <row r="415" spans="1:16" x14ac:dyDescent="0.4">
      <c r="A415" s="41" t="s">
        <v>113</v>
      </c>
      <c r="B415" s="11">
        <v>17000</v>
      </c>
      <c r="C415" s="11">
        <v>17000</v>
      </c>
      <c r="D415" s="11">
        <v>17000</v>
      </c>
      <c r="E415" s="13">
        <v>17000</v>
      </c>
      <c r="F415" s="19">
        <v>0</v>
      </c>
      <c r="G415" s="13">
        <f t="shared" si="26"/>
        <v>0</v>
      </c>
      <c r="H415" s="13">
        <v>0</v>
      </c>
      <c r="I415" s="13">
        <v>0</v>
      </c>
      <c r="J415" s="14">
        <f t="shared" si="27"/>
        <v>0</v>
      </c>
      <c r="K415" s="13">
        <v>0</v>
      </c>
      <c r="L415" s="13">
        <v>0</v>
      </c>
      <c r="M415" s="14">
        <f t="shared" si="29"/>
        <v>0</v>
      </c>
      <c r="N415" s="14">
        <f t="shared" si="29"/>
        <v>0</v>
      </c>
      <c r="O415" s="4">
        <f t="shared" si="29"/>
        <v>0</v>
      </c>
      <c r="P415" s="4"/>
    </row>
    <row r="416" spans="1:16" x14ac:dyDescent="0.4">
      <c r="A416" s="41" t="s">
        <v>114</v>
      </c>
      <c r="B416" s="11">
        <v>17000</v>
      </c>
      <c r="C416" s="11">
        <v>17000</v>
      </c>
      <c r="D416" s="11">
        <v>17000</v>
      </c>
      <c r="E416" s="13">
        <v>17000</v>
      </c>
      <c r="F416" s="19">
        <v>0</v>
      </c>
      <c r="G416" s="13">
        <f t="shared" si="26"/>
        <v>0</v>
      </c>
      <c r="H416" s="13">
        <v>0</v>
      </c>
      <c r="I416" s="13">
        <v>0</v>
      </c>
      <c r="J416" s="14">
        <f t="shared" si="27"/>
        <v>0</v>
      </c>
      <c r="K416" s="13">
        <v>0</v>
      </c>
      <c r="L416" s="13">
        <v>0</v>
      </c>
      <c r="M416" s="14">
        <f t="shared" si="29"/>
        <v>0</v>
      </c>
      <c r="N416" s="14">
        <f t="shared" si="29"/>
        <v>0</v>
      </c>
      <c r="O416" s="4">
        <f t="shared" si="29"/>
        <v>0</v>
      </c>
      <c r="P416" s="4">
        <f>IFERROR(SUM(L413:L416)/SUM(I413:I416),"")</f>
        <v>17000</v>
      </c>
    </row>
    <row r="417" spans="1:16" x14ac:dyDescent="0.4">
      <c r="A417" s="41" t="s">
        <v>115</v>
      </c>
      <c r="B417" s="11">
        <v>17000</v>
      </c>
      <c r="C417" s="11">
        <v>17000</v>
      </c>
      <c r="D417" s="11">
        <v>17000</v>
      </c>
      <c r="E417" s="13">
        <v>17000</v>
      </c>
      <c r="F417" s="19">
        <v>0</v>
      </c>
      <c r="G417" s="13">
        <f t="shared" si="26"/>
        <v>0</v>
      </c>
      <c r="H417" s="13">
        <v>0</v>
      </c>
      <c r="I417" s="13">
        <v>0</v>
      </c>
      <c r="J417" s="14">
        <f t="shared" si="27"/>
        <v>0</v>
      </c>
      <c r="K417" s="13">
        <v>0</v>
      </c>
      <c r="L417" s="13">
        <v>0</v>
      </c>
      <c r="M417" s="14">
        <f t="shared" si="29"/>
        <v>0</v>
      </c>
      <c r="N417" s="14">
        <f t="shared" si="29"/>
        <v>0</v>
      </c>
      <c r="O417" s="4">
        <f t="shared" si="29"/>
        <v>0</v>
      </c>
      <c r="P417" s="4"/>
    </row>
    <row r="418" spans="1:16" x14ac:dyDescent="0.4">
      <c r="A418" s="41" t="s">
        <v>116</v>
      </c>
      <c r="B418" s="11">
        <v>17000</v>
      </c>
      <c r="C418" s="11">
        <v>17000</v>
      </c>
      <c r="D418" s="11">
        <v>17000</v>
      </c>
      <c r="E418" s="13">
        <v>17000</v>
      </c>
      <c r="F418" s="19">
        <v>0</v>
      </c>
      <c r="G418" s="13">
        <f t="shared" si="26"/>
        <v>0</v>
      </c>
      <c r="H418" s="13">
        <v>0</v>
      </c>
      <c r="I418" s="13">
        <v>0</v>
      </c>
      <c r="J418" s="14">
        <f t="shared" si="27"/>
        <v>0</v>
      </c>
      <c r="K418" s="13">
        <v>0</v>
      </c>
      <c r="L418" s="13">
        <v>0</v>
      </c>
      <c r="M418" s="14">
        <f t="shared" si="29"/>
        <v>0</v>
      </c>
      <c r="N418" s="14">
        <f t="shared" si="29"/>
        <v>0</v>
      </c>
      <c r="O418" s="4">
        <f t="shared" si="29"/>
        <v>0</v>
      </c>
      <c r="P418" s="4"/>
    </row>
    <row r="419" spans="1:16" x14ac:dyDescent="0.4">
      <c r="A419" s="41" t="s">
        <v>117</v>
      </c>
      <c r="B419" s="13">
        <v>17500</v>
      </c>
      <c r="C419" s="20">
        <v>17500</v>
      </c>
      <c r="D419" s="13">
        <v>17500</v>
      </c>
      <c r="E419" s="13">
        <v>17500</v>
      </c>
      <c r="F419" s="19">
        <v>2.94</v>
      </c>
      <c r="G419" s="13">
        <f t="shared" si="26"/>
        <v>25000</v>
      </c>
      <c r="H419" s="13">
        <v>0</v>
      </c>
      <c r="I419" s="13">
        <v>25000</v>
      </c>
      <c r="J419" s="14">
        <f t="shared" si="27"/>
        <v>437500000</v>
      </c>
      <c r="K419" s="13">
        <v>0</v>
      </c>
      <c r="L419" s="13">
        <v>437500000</v>
      </c>
      <c r="M419" s="14">
        <f t="shared" si="29"/>
        <v>17500</v>
      </c>
      <c r="N419" s="14">
        <f t="shared" si="29"/>
        <v>0</v>
      </c>
      <c r="O419" s="4">
        <f t="shared" si="29"/>
        <v>17500</v>
      </c>
      <c r="P419" s="4"/>
    </row>
    <row r="420" spans="1:16" x14ac:dyDescent="0.4">
      <c r="A420" s="41" t="s">
        <v>118</v>
      </c>
      <c r="B420" s="13">
        <v>17500</v>
      </c>
      <c r="C420" s="20">
        <v>17500</v>
      </c>
      <c r="D420" s="13">
        <v>17500</v>
      </c>
      <c r="E420" s="13">
        <v>17500</v>
      </c>
      <c r="F420" s="19">
        <v>0</v>
      </c>
      <c r="G420" s="13">
        <f t="shared" si="26"/>
        <v>0</v>
      </c>
      <c r="H420" s="13">
        <v>0</v>
      </c>
      <c r="I420" s="13">
        <v>0</v>
      </c>
      <c r="J420" s="14">
        <f t="shared" si="27"/>
        <v>0</v>
      </c>
      <c r="K420" s="13">
        <v>0</v>
      </c>
      <c r="L420" s="13">
        <v>0</v>
      </c>
      <c r="M420" s="14">
        <f t="shared" si="29"/>
        <v>0</v>
      </c>
      <c r="N420" s="14">
        <f t="shared" si="29"/>
        <v>0</v>
      </c>
      <c r="O420" s="4">
        <f t="shared" si="29"/>
        <v>0</v>
      </c>
      <c r="P420" s="4"/>
    </row>
    <row r="421" spans="1:16" x14ac:dyDescent="0.4">
      <c r="A421" s="41" t="s">
        <v>119</v>
      </c>
      <c r="B421" s="13">
        <v>17500</v>
      </c>
      <c r="C421" s="20">
        <v>17500</v>
      </c>
      <c r="D421" s="13">
        <v>17500</v>
      </c>
      <c r="E421" s="13">
        <v>17500</v>
      </c>
      <c r="F421" s="19">
        <v>0</v>
      </c>
      <c r="G421" s="13">
        <f t="shared" si="26"/>
        <v>20000</v>
      </c>
      <c r="H421" s="13">
        <v>0</v>
      </c>
      <c r="I421" s="13">
        <v>20000</v>
      </c>
      <c r="J421" s="14">
        <f t="shared" si="27"/>
        <v>350000000</v>
      </c>
      <c r="K421" s="13">
        <v>0</v>
      </c>
      <c r="L421" s="13">
        <v>350000000</v>
      </c>
      <c r="M421" s="14">
        <f t="shared" si="29"/>
        <v>17500</v>
      </c>
      <c r="N421" s="14">
        <f t="shared" si="29"/>
        <v>0</v>
      </c>
      <c r="O421" s="4">
        <f t="shared" si="29"/>
        <v>17500</v>
      </c>
      <c r="P421" s="4">
        <f>IFERROR(SUM(L417:L421)/SUM(I417:I421),"")</f>
        <v>17500</v>
      </c>
    </row>
    <row r="422" spans="1:16" x14ac:dyDescent="0.4">
      <c r="A422" s="41" t="s">
        <v>120</v>
      </c>
      <c r="B422" s="13">
        <v>17500</v>
      </c>
      <c r="C422" s="20">
        <v>17500</v>
      </c>
      <c r="D422" s="13">
        <v>17500</v>
      </c>
      <c r="E422" s="13">
        <v>17500</v>
      </c>
      <c r="F422" s="19">
        <v>0</v>
      </c>
      <c r="G422" s="13">
        <f t="shared" si="26"/>
        <v>40000</v>
      </c>
      <c r="H422" s="13">
        <v>0</v>
      </c>
      <c r="I422" s="13">
        <v>40000</v>
      </c>
      <c r="J422" s="14">
        <f t="shared" si="27"/>
        <v>700000000</v>
      </c>
      <c r="K422" s="13">
        <v>0</v>
      </c>
      <c r="L422" s="13">
        <v>700000000</v>
      </c>
      <c r="M422" s="14">
        <f t="shared" si="29"/>
        <v>17500</v>
      </c>
      <c r="N422" s="14">
        <f t="shared" si="29"/>
        <v>0</v>
      </c>
      <c r="O422" s="4">
        <f t="shared" si="29"/>
        <v>17500</v>
      </c>
      <c r="P422" s="4"/>
    </row>
    <row r="423" spans="1:16" x14ac:dyDescent="0.4">
      <c r="A423" s="41" t="s">
        <v>121</v>
      </c>
      <c r="B423" s="13">
        <v>17500</v>
      </c>
      <c r="C423" s="20">
        <v>17500</v>
      </c>
      <c r="D423" s="13">
        <v>17500</v>
      </c>
      <c r="E423" s="13">
        <v>17500</v>
      </c>
      <c r="F423" s="19">
        <v>0</v>
      </c>
      <c r="G423" s="13">
        <f t="shared" si="26"/>
        <v>0</v>
      </c>
      <c r="H423" s="13">
        <v>0</v>
      </c>
      <c r="I423" s="13">
        <v>0</v>
      </c>
      <c r="J423" s="14">
        <f t="shared" si="27"/>
        <v>0</v>
      </c>
      <c r="K423" s="13">
        <v>0</v>
      </c>
      <c r="L423" s="13">
        <v>0</v>
      </c>
      <c r="M423" s="14">
        <f t="shared" si="29"/>
        <v>0</v>
      </c>
      <c r="N423" s="14">
        <f t="shared" si="29"/>
        <v>0</v>
      </c>
      <c r="O423" s="4">
        <f t="shared" si="29"/>
        <v>0</v>
      </c>
      <c r="P423" s="4"/>
    </row>
    <row r="424" spans="1:16" x14ac:dyDescent="0.4">
      <c r="A424" s="41" t="s">
        <v>122</v>
      </c>
      <c r="B424" s="13">
        <v>17500</v>
      </c>
      <c r="C424" s="20">
        <v>17500</v>
      </c>
      <c r="D424" s="13">
        <v>17500</v>
      </c>
      <c r="E424" s="13">
        <v>17500</v>
      </c>
      <c r="F424" s="19">
        <v>0</v>
      </c>
      <c r="G424" s="13">
        <f t="shared" si="26"/>
        <v>15000</v>
      </c>
      <c r="H424" s="13">
        <v>0</v>
      </c>
      <c r="I424" s="13">
        <v>15000</v>
      </c>
      <c r="J424" s="14">
        <f t="shared" si="27"/>
        <v>262500000</v>
      </c>
      <c r="K424" s="13">
        <v>0</v>
      </c>
      <c r="L424" s="13">
        <v>262500000</v>
      </c>
      <c r="M424" s="14">
        <f t="shared" si="29"/>
        <v>17500</v>
      </c>
      <c r="N424" s="14">
        <f t="shared" si="29"/>
        <v>0</v>
      </c>
      <c r="O424" s="4">
        <f t="shared" si="29"/>
        <v>17500</v>
      </c>
      <c r="P424" s="4"/>
    </row>
    <row r="425" spans="1:16" x14ac:dyDescent="0.4">
      <c r="A425" s="41" t="s">
        <v>123</v>
      </c>
      <c r="B425" s="13">
        <v>17500</v>
      </c>
      <c r="C425" s="20">
        <v>17500</v>
      </c>
      <c r="D425" s="13">
        <v>17500</v>
      </c>
      <c r="E425" s="13">
        <v>17500</v>
      </c>
      <c r="F425" s="19">
        <v>0</v>
      </c>
      <c r="G425" s="13">
        <f t="shared" si="26"/>
        <v>0</v>
      </c>
      <c r="H425" s="13">
        <v>0</v>
      </c>
      <c r="I425" s="13">
        <v>0</v>
      </c>
      <c r="J425" s="14">
        <f t="shared" si="27"/>
        <v>0</v>
      </c>
      <c r="K425" s="13">
        <v>0</v>
      </c>
      <c r="L425" s="13">
        <v>0</v>
      </c>
      <c r="M425" s="14">
        <f t="shared" si="29"/>
        <v>0</v>
      </c>
      <c r="N425" s="14">
        <f t="shared" si="29"/>
        <v>0</v>
      </c>
      <c r="O425" s="4">
        <f t="shared" si="29"/>
        <v>0</v>
      </c>
      <c r="P425" s="4"/>
    </row>
    <row r="426" spans="1:16" x14ac:dyDescent="0.4">
      <c r="A426" s="41" t="s">
        <v>124</v>
      </c>
      <c r="B426" s="13">
        <v>18000</v>
      </c>
      <c r="C426" s="20">
        <v>18000</v>
      </c>
      <c r="D426" s="13">
        <v>18000</v>
      </c>
      <c r="E426" s="13">
        <v>18000</v>
      </c>
      <c r="F426" s="19">
        <v>2.86</v>
      </c>
      <c r="G426" s="13">
        <f t="shared" si="26"/>
        <v>30000</v>
      </c>
      <c r="H426" s="13">
        <v>0</v>
      </c>
      <c r="I426" s="13">
        <v>30000</v>
      </c>
      <c r="J426" s="14">
        <f t="shared" si="27"/>
        <v>540000000</v>
      </c>
      <c r="K426" s="13">
        <v>0</v>
      </c>
      <c r="L426" s="13">
        <v>540000000</v>
      </c>
      <c r="M426" s="14">
        <f t="shared" si="29"/>
        <v>18000</v>
      </c>
      <c r="N426" s="14">
        <f t="shared" si="29"/>
        <v>0</v>
      </c>
      <c r="O426" s="4">
        <f t="shared" si="29"/>
        <v>18000</v>
      </c>
      <c r="P426" s="4">
        <f>IFERROR(SUM(L422:L426)/SUM(I422:I426),"")</f>
        <v>17676.470588235294</v>
      </c>
    </row>
    <row r="427" spans="1:16" x14ac:dyDescent="0.4">
      <c r="A427" s="26" t="s">
        <v>125</v>
      </c>
      <c r="B427" s="13">
        <v>18000</v>
      </c>
      <c r="C427" s="20">
        <v>18000</v>
      </c>
      <c r="D427" s="13">
        <v>18000</v>
      </c>
      <c r="E427" s="11">
        <v>18000</v>
      </c>
      <c r="F427" s="12">
        <v>0</v>
      </c>
      <c r="G427" s="13">
        <f t="shared" si="26"/>
        <v>0</v>
      </c>
      <c r="H427" s="13">
        <v>0</v>
      </c>
      <c r="I427" s="13">
        <v>0</v>
      </c>
      <c r="J427" s="14">
        <f t="shared" si="27"/>
        <v>0</v>
      </c>
      <c r="K427" s="13">
        <v>0</v>
      </c>
      <c r="L427" s="13">
        <v>0</v>
      </c>
      <c r="M427" s="14">
        <f t="shared" si="29"/>
        <v>0</v>
      </c>
      <c r="N427" s="14">
        <f t="shared" si="29"/>
        <v>0</v>
      </c>
      <c r="O427" s="4">
        <f t="shared" si="29"/>
        <v>0</v>
      </c>
      <c r="P427" s="4"/>
    </row>
    <row r="428" spans="1:16" x14ac:dyDescent="0.4">
      <c r="A428" s="26" t="s">
        <v>126</v>
      </c>
      <c r="B428" s="13">
        <v>18000</v>
      </c>
      <c r="C428" s="20">
        <v>18000</v>
      </c>
      <c r="D428" s="13">
        <v>18000</v>
      </c>
      <c r="E428" s="11">
        <v>18000</v>
      </c>
      <c r="F428" s="12">
        <v>0</v>
      </c>
      <c r="G428" s="13">
        <f t="shared" si="26"/>
        <v>0</v>
      </c>
      <c r="H428" s="13">
        <v>0</v>
      </c>
      <c r="I428" s="13">
        <v>0</v>
      </c>
      <c r="J428" s="14">
        <f t="shared" si="27"/>
        <v>0</v>
      </c>
      <c r="K428" s="13">
        <v>0</v>
      </c>
      <c r="L428" s="13">
        <v>0</v>
      </c>
      <c r="M428" s="14">
        <f t="shared" si="29"/>
        <v>0</v>
      </c>
      <c r="N428" s="14">
        <f t="shared" si="29"/>
        <v>0</v>
      </c>
      <c r="O428" s="4">
        <f t="shared" si="29"/>
        <v>0</v>
      </c>
      <c r="P428" s="4"/>
    </row>
    <row r="429" spans="1:16" x14ac:dyDescent="0.4">
      <c r="A429" s="26" t="s">
        <v>127</v>
      </c>
      <c r="B429" s="13">
        <v>18000</v>
      </c>
      <c r="C429" s="20">
        <v>18000</v>
      </c>
      <c r="D429" s="13">
        <v>18000</v>
      </c>
      <c r="E429" s="11">
        <v>18000</v>
      </c>
      <c r="F429" s="12">
        <v>0</v>
      </c>
      <c r="G429" s="13">
        <f t="shared" si="26"/>
        <v>0</v>
      </c>
      <c r="H429" s="13">
        <v>0</v>
      </c>
      <c r="I429" s="13">
        <v>0</v>
      </c>
      <c r="J429" s="14">
        <f t="shared" si="27"/>
        <v>0</v>
      </c>
      <c r="K429" s="13">
        <v>0</v>
      </c>
      <c r="L429" s="13">
        <v>0</v>
      </c>
      <c r="M429" s="14">
        <f t="shared" si="29"/>
        <v>0</v>
      </c>
      <c r="N429" s="14">
        <f t="shared" si="29"/>
        <v>0</v>
      </c>
      <c r="O429" s="4">
        <f t="shared" si="29"/>
        <v>0</v>
      </c>
      <c r="P429" s="4"/>
    </row>
    <row r="430" spans="1:16" x14ac:dyDescent="0.4">
      <c r="A430" s="26" t="s">
        <v>128</v>
      </c>
      <c r="B430" s="13">
        <v>18000</v>
      </c>
      <c r="C430" s="20">
        <v>18000</v>
      </c>
      <c r="D430" s="13">
        <v>18000</v>
      </c>
      <c r="E430" s="11">
        <v>18000</v>
      </c>
      <c r="F430" s="12">
        <v>0</v>
      </c>
      <c r="G430" s="13">
        <f t="shared" si="26"/>
        <v>0</v>
      </c>
      <c r="H430" s="13">
        <v>0</v>
      </c>
      <c r="I430" s="13">
        <v>0</v>
      </c>
      <c r="J430" s="14">
        <f t="shared" si="27"/>
        <v>0</v>
      </c>
      <c r="K430" s="13">
        <v>0</v>
      </c>
      <c r="L430" s="13">
        <v>0</v>
      </c>
      <c r="M430" s="14">
        <f t="shared" si="29"/>
        <v>0</v>
      </c>
      <c r="N430" s="14">
        <f t="shared" si="29"/>
        <v>0</v>
      </c>
      <c r="O430" s="4">
        <f t="shared" si="29"/>
        <v>0</v>
      </c>
      <c r="P430" s="4">
        <v>0</v>
      </c>
    </row>
    <row r="431" spans="1:16" x14ac:dyDescent="0.4">
      <c r="A431" s="26" t="s">
        <v>129</v>
      </c>
      <c r="B431" s="13">
        <v>18000</v>
      </c>
      <c r="C431" s="20">
        <v>18000</v>
      </c>
      <c r="D431" s="13">
        <v>18000</v>
      </c>
      <c r="E431" s="11">
        <v>18000</v>
      </c>
      <c r="F431" s="12">
        <v>0</v>
      </c>
      <c r="G431" s="13">
        <f t="shared" si="26"/>
        <v>0</v>
      </c>
      <c r="H431" s="13">
        <v>0</v>
      </c>
      <c r="I431" s="13">
        <v>0</v>
      </c>
      <c r="J431" s="14">
        <f t="shared" si="27"/>
        <v>0</v>
      </c>
      <c r="K431" s="13">
        <v>0</v>
      </c>
      <c r="L431" s="13">
        <v>0</v>
      </c>
      <c r="M431" s="14">
        <f t="shared" si="29"/>
        <v>0</v>
      </c>
      <c r="N431" s="14">
        <f t="shared" si="29"/>
        <v>0</v>
      </c>
      <c r="O431" s="4">
        <f t="shared" si="29"/>
        <v>0</v>
      </c>
      <c r="P431" s="4"/>
    </row>
    <row r="432" spans="1:16" x14ac:dyDescent="0.4">
      <c r="A432" s="26" t="s">
        <v>130</v>
      </c>
      <c r="B432" s="13">
        <v>18000</v>
      </c>
      <c r="C432" s="20">
        <v>18000</v>
      </c>
      <c r="D432" s="13">
        <v>18000</v>
      </c>
      <c r="E432" s="11">
        <v>18000</v>
      </c>
      <c r="F432" s="12">
        <v>0</v>
      </c>
      <c r="G432" s="13">
        <f t="shared" si="26"/>
        <v>0</v>
      </c>
      <c r="H432" s="13">
        <v>0</v>
      </c>
      <c r="I432" s="13">
        <v>0</v>
      </c>
      <c r="J432" s="14">
        <f t="shared" si="27"/>
        <v>0</v>
      </c>
      <c r="K432" s="13">
        <v>0</v>
      </c>
      <c r="L432" s="13">
        <v>0</v>
      </c>
      <c r="M432" s="14">
        <f t="shared" si="29"/>
        <v>0</v>
      </c>
      <c r="N432" s="14">
        <f t="shared" si="29"/>
        <v>0</v>
      </c>
      <c r="O432" s="4">
        <f t="shared" si="29"/>
        <v>0</v>
      </c>
      <c r="P432" s="4"/>
    </row>
    <row r="433" spans="1:16" x14ac:dyDescent="0.4">
      <c r="A433" s="26" t="s">
        <v>131</v>
      </c>
      <c r="B433" s="13">
        <v>18000</v>
      </c>
      <c r="C433" s="20">
        <v>18000</v>
      </c>
      <c r="D433" s="13">
        <v>18000</v>
      </c>
      <c r="E433" s="11">
        <v>18000</v>
      </c>
      <c r="F433" s="12">
        <v>0</v>
      </c>
      <c r="G433" s="13">
        <f t="shared" si="26"/>
        <v>0</v>
      </c>
      <c r="H433" s="13">
        <v>0</v>
      </c>
      <c r="I433" s="13">
        <v>0</v>
      </c>
      <c r="J433" s="14">
        <f t="shared" si="27"/>
        <v>0</v>
      </c>
      <c r="K433" s="13">
        <v>0</v>
      </c>
      <c r="L433" s="13">
        <v>0</v>
      </c>
      <c r="M433" s="14">
        <f t="shared" si="29"/>
        <v>0</v>
      </c>
      <c r="N433" s="14">
        <f t="shared" si="29"/>
        <v>0</v>
      </c>
      <c r="O433" s="4">
        <f t="shared" si="29"/>
        <v>0</v>
      </c>
      <c r="P433" s="4"/>
    </row>
    <row r="434" spans="1:16" x14ac:dyDescent="0.4">
      <c r="A434" s="26" t="s">
        <v>132</v>
      </c>
      <c r="B434" s="13">
        <v>18000</v>
      </c>
      <c r="C434" s="20">
        <v>18000</v>
      </c>
      <c r="D434" s="13">
        <v>18000</v>
      </c>
      <c r="E434" s="11">
        <v>18000</v>
      </c>
      <c r="F434" s="12">
        <v>0</v>
      </c>
      <c r="G434" s="14">
        <v>8000</v>
      </c>
      <c r="H434" s="13">
        <v>0</v>
      </c>
      <c r="I434" s="14">
        <v>8000</v>
      </c>
      <c r="J434" s="14">
        <v>144000000</v>
      </c>
      <c r="K434" s="13">
        <v>0</v>
      </c>
      <c r="L434" s="14">
        <v>144000000</v>
      </c>
      <c r="M434" s="14">
        <f t="shared" si="29"/>
        <v>18000</v>
      </c>
      <c r="N434" s="14">
        <f t="shared" si="29"/>
        <v>0</v>
      </c>
      <c r="O434" s="4">
        <f t="shared" si="29"/>
        <v>18000</v>
      </c>
      <c r="P434" s="4"/>
    </row>
    <row r="435" spans="1:16" x14ac:dyDescent="0.4">
      <c r="A435" s="26" t="s">
        <v>133</v>
      </c>
      <c r="B435" s="13">
        <v>18000</v>
      </c>
      <c r="C435" s="20">
        <v>18000</v>
      </c>
      <c r="D435" s="13">
        <v>18000</v>
      </c>
      <c r="E435" s="11">
        <v>18000</v>
      </c>
      <c r="F435" s="12">
        <v>0</v>
      </c>
      <c r="G435" s="13">
        <f t="shared" ref="G435:G588" si="30">I435-H435</f>
        <v>0</v>
      </c>
      <c r="H435" s="13">
        <v>0</v>
      </c>
      <c r="I435" s="13">
        <v>0</v>
      </c>
      <c r="J435" s="14">
        <f t="shared" ref="J435:J588" si="31">L435-K435</f>
        <v>0</v>
      </c>
      <c r="K435" s="13">
        <v>0</v>
      </c>
      <c r="L435" s="13">
        <v>0</v>
      </c>
      <c r="M435" s="14">
        <f t="shared" si="29"/>
        <v>0</v>
      </c>
      <c r="N435" s="14">
        <f t="shared" si="29"/>
        <v>0</v>
      </c>
      <c r="O435" s="4">
        <f t="shared" si="29"/>
        <v>0</v>
      </c>
      <c r="P435" s="4">
        <f>IFERROR(SUM(L431:L435)/SUM(I431:I435),"")</f>
        <v>18000</v>
      </c>
    </row>
    <row r="436" spans="1:16" x14ac:dyDescent="0.4">
      <c r="A436" s="42">
        <v>42660</v>
      </c>
      <c r="B436" s="21">
        <v>18000</v>
      </c>
      <c r="C436" s="21">
        <v>18000</v>
      </c>
      <c r="D436" s="21">
        <v>18000</v>
      </c>
      <c r="E436" s="21">
        <v>18000</v>
      </c>
      <c r="F436" s="12">
        <v>0</v>
      </c>
      <c r="G436" s="13">
        <f t="shared" si="30"/>
        <v>0</v>
      </c>
      <c r="H436" s="13">
        <v>0</v>
      </c>
      <c r="I436" s="13">
        <v>0</v>
      </c>
      <c r="J436" s="14">
        <f t="shared" si="31"/>
        <v>0</v>
      </c>
      <c r="K436" s="13">
        <v>0</v>
      </c>
      <c r="L436" s="13">
        <v>0</v>
      </c>
      <c r="M436" s="14">
        <f t="shared" ref="M436:O459" si="32">IFERROR(J436/G436,0)</f>
        <v>0</v>
      </c>
      <c r="N436" s="14">
        <f t="shared" si="32"/>
        <v>0</v>
      </c>
      <c r="O436" s="4">
        <f t="shared" si="32"/>
        <v>0</v>
      </c>
      <c r="P436" s="22"/>
    </row>
    <row r="437" spans="1:16" x14ac:dyDescent="0.4">
      <c r="A437" s="16">
        <v>42661</v>
      </c>
      <c r="B437" s="21">
        <v>18000</v>
      </c>
      <c r="C437" s="21">
        <v>18000</v>
      </c>
      <c r="D437" s="21">
        <v>18000</v>
      </c>
      <c r="E437" s="21">
        <v>18000</v>
      </c>
      <c r="F437" s="12">
        <v>0</v>
      </c>
      <c r="G437" s="13">
        <f t="shared" si="30"/>
        <v>0</v>
      </c>
      <c r="H437" s="13">
        <v>0</v>
      </c>
      <c r="I437" s="13">
        <v>0</v>
      </c>
      <c r="J437" s="14">
        <f t="shared" si="31"/>
        <v>0</v>
      </c>
      <c r="K437" s="13">
        <v>0</v>
      </c>
      <c r="L437" s="13">
        <v>0</v>
      </c>
      <c r="M437" s="14">
        <f t="shared" si="32"/>
        <v>0</v>
      </c>
      <c r="N437" s="14">
        <f t="shared" si="32"/>
        <v>0</v>
      </c>
      <c r="O437" s="4">
        <f t="shared" si="32"/>
        <v>0</v>
      </c>
      <c r="P437" s="22"/>
    </row>
    <row r="438" spans="1:16" x14ac:dyDescent="0.4">
      <c r="A438" s="16">
        <v>42662</v>
      </c>
      <c r="B438" s="21">
        <v>18000</v>
      </c>
      <c r="C438" s="21">
        <v>18000</v>
      </c>
      <c r="D438" s="21">
        <v>18000</v>
      </c>
      <c r="E438" s="21">
        <v>18000</v>
      </c>
      <c r="F438" s="12">
        <v>0</v>
      </c>
      <c r="G438" s="13">
        <f t="shared" si="30"/>
        <v>0</v>
      </c>
      <c r="H438" s="13">
        <v>0</v>
      </c>
      <c r="I438" s="13">
        <v>0</v>
      </c>
      <c r="J438" s="14">
        <f t="shared" si="31"/>
        <v>0</v>
      </c>
      <c r="K438" s="13">
        <v>0</v>
      </c>
      <c r="L438" s="13">
        <v>0</v>
      </c>
      <c r="M438" s="14">
        <f t="shared" si="32"/>
        <v>0</v>
      </c>
      <c r="N438" s="14">
        <f t="shared" si="32"/>
        <v>0</v>
      </c>
      <c r="O438" s="4">
        <f t="shared" si="32"/>
        <v>0</v>
      </c>
      <c r="P438" s="22"/>
    </row>
    <row r="439" spans="1:16" x14ac:dyDescent="0.4">
      <c r="A439" s="16">
        <v>42663</v>
      </c>
      <c r="B439" s="21">
        <v>18000</v>
      </c>
      <c r="C439" s="21">
        <v>18000</v>
      </c>
      <c r="D439" s="21">
        <v>18000</v>
      </c>
      <c r="E439" s="21">
        <v>18000</v>
      </c>
      <c r="F439" s="12">
        <v>0</v>
      </c>
      <c r="G439" s="13">
        <f t="shared" si="30"/>
        <v>0</v>
      </c>
      <c r="H439" s="13">
        <v>0</v>
      </c>
      <c r="I439" s="13">
        <v>0</v>
      </c>
      <c r="J439" s="14">
        <f t="shared" si="31"/>
        <v>0</v>
      </c>
      <c r="K439" s="13">
        <v>0</v>
      </c>
      <c r="L439" s="13">
        <v>0</v>
      </c>
      <c r="M439" s="14">
        <f t="shared" si="32"/>
        <v>0</v>
      </c>
      <c r="N439" s="14">
        <f t="shared" si="32"/>
        <v>0</v>
      </c>
      <c r="O439" s="4">
        <f t="shared" si="32"/>
        <v>0</v>
      </c>
      <c r="P439" s="22"/>
    </row>
    <row r="440" spans="1:16" x14ac:dyDescent="0.4">
      <c r="A440" s="16">
        <v>42664</v>
      </c>
      <c r="B440" s="21">
        <v>18000</v>
      </c>
      <c r="C440" s="21">
        <v>18000</v>
      </c>
      <c r="D440" s="21">
        <v>18000</v>
      </c>
      <c r="E440" s="21">
        <v>18000</v>
      </c>
      <c r="F440" s="12">
        <v>0</v>
      </c>
      <c r="G440" s="13">
        <f t="shared" si="30"/>
        <v>0</v>
      </c>
      <c r="H440" s="13">
        <v>0</v>
      </c>
      <c r="I440" s="13">
        <v>0</v>
      </c>
      <c r="J440" s="14">
        <f t="shared" si="31"/>
        <v>0</v>
      </c>
      <c r="K440" s="13">
        <v>0</v>
      </c>
      <c r="L440" s="13">
        <v>0</v>
      </c>
      <c r="M440" s="14">
        <f t="shared" si="32"/>
        <v>0</v>
      </c>
      <c r="N440" s="14">
        <f t="shared" si="32"/>
        <v>0</v>
      </c>
      <c r="O440" s="4">
        <f t="shared" si="32"/>
        <v>0</v>
      </c>
      <c r="P440" s="4" t="str">
        <f>IFERROR(SUM(L436:L440)/SUM(I436:I440),"")</f>
        <v/>
      </c>
    </row>
    <row r="441" spans="1:16" x14ac:dyDescent="0.4">
      <c r="A441" s="16">
        <v>42667</v>
      </c>
      <c r="B441" s="21">
        <v>18000</v>
      </c>
      <c r="C441" s="21">
        <v>18000</v>
      </c>
      <c r="D441" s="21">
        <v>18000</v>
      </c>
      <c r="E441" s="21">
        <v>18000</v>
      </c>
      <c r="F441" s="12">
        <v>0</v>
      </c>
      <c r="G441" s="13">
        <f t="shared" si="30"/>
        <v>0</v>
      </c>
      <c r="H441" s="13">
        <v>0</v>
      </c>
      <c r="I441" s="13">
        <v>0</v>
      </c>
      <c r="J441" s="14">
        <f t="shared" si="31"/>
        <v>0</v>
      </c>
      <c r="K441" s="13">
        <v>0</v>
      </c>
      <c r="L441" s="13">
        <v>0</v>
      </c>
      <c r="M441" s="14">
        <f t="shared" si="32"/>
        <v>0</v>
      </c>
      <c r="N441" s="14">
        <f t="shared" si="32"/>
        <v>0</v>
      </c>
      <c r="O441" s="4">
        <f t="shared" si="32"/>
        <v>0</v>
      </c>
      <c r="P441" s="22"/>
    </row>
    <row r="442" spans="1:16" x14ac:dyDescent="0.4">
      <c r="A442" s="16">
        <v>42668</v>
      </c>
      <c r="B442" s="21">
        <v>18500</v>
      </c>
      <c r="C442" s="23">
        <v>18500</v>
      </c>
      <c r="D442" s="21">
        <v>18500</v>
      </c>
      <c r="E442" s="21">
        <v>18500</v>
      </c>
      <c r="F442" s="12">
        <v>2.78</v>
      </c>
      <c r="G442" s="13">
        <f t="shared" si="30"/>
        <v>1000</v>
      </c>
      <c r="H442" s="14">
        <v>0</v>
      </c>
      <c r="I442" s="13">
        <v>1000</v>
      </c>
      <c r="J442" s="14">
        <f t="shared" si="31"/>
        <v>18500000</v>
      </c>
      <c r="K442" s="13">
        <v>0</v>
      </c>
      <c r="L442" s="13">
        <v>18500000</v>
      </c>
      <c r="M442" s="14">
        <f t="shared" si="32"/>
        <v>18500</v>
      </c>
      <c r="N442" s="14">
        <f t="shared" si="32"/>
        <v>0</v>
      </c>
      <c r="O442" s="4">
        <f t="shared" si="32"/>
        <v>18500</v>
      </c>
      <c r="P442" s="22"/>
    </row>
    <row r="443" spans="1:16" x14ac:dyDescent="0.4">
      <c r="A443" s="16">
        <v>42669</v>
      </c>
      <c r="B443" s="21">
        <v>18500</v>
      </c>
      <c r="C443" s="23">
        <v>18500</v>
      </c>
      <c r="D443" s="21">
        <v>18500</v>
      </c>
      <c r="E443" s="21">
        <v>18500</v>
      </c>
      <c r="F443" s="12">
        <v>0</v>
      </c>
      <c r="G443" s="13">
        <f t="shared" si="30"/>
        <v>0</v>
      </c>
      <c r="H443" s="14">
        <v>0</v>
      </c>
      <c r="I443" s="14">
        <v>0</v>
      </c>
      <c r="J443" s="14">
        <f t="shared" si="31"/>
        <v>0</v>
      </c>
      <c r="K443" s="14">
        <v>0</v>
      </c>
      <c r="L443" s="14">
        <v>0</v>
      </c>
      <c r="M443" s="14">
        <f t="shared" si="32"/>
        <v>0</v>
      </c>
      <c r="N443" s="14">
        <f t="shared" si="32"/>
        <v>0</v>
      </c>
      <c r="O443" s="4">
        <f t="shared" si="32"/>
        <v>0</v>
      </c>
      <c r="P443" s="22"/>
    </row>
    <row r="444" spans="1:16" x14ac:dyDescent="0.4">
      <c r="A444" s="16">
        <v>42670</v>
      </c>
      <c r="B444" s="21">
        <v>18500</v>
      </c>
      <c r="C444" s="23">
        <v>18500</v>
      </c>
      <c r="D444" s="21">
        <v>18500</v>
      </c>
      <c r="E444" s="21">
        <v>18500</v>
      </c>
      <c r="F444" s="12">
        <v>0</v>
      </c>
      <c r="G444" s="14">
        <f t="shared" si="30"/>
        <v>0</v>
      </c>
      <c r="H444" s="14">
        <v>0</v>
      </c>
      <c r="I444" s="14">
        <v>0</v>
      </c>
      <c r="J444" s="14">
        <f t="shared" si="31"/>
        <v>0</v>
      </c>
      <c r="K444" s="14">
        <v>0</v>
      </c>
      <c r="L444" s="14">
        <v>0</v>
      </c>
      <c r="M444" s="14">
        <f t="shared" si="32"/>
        <v>0</v>
      </c>
      <c r="N444" s="14">
        <f t="shared" si="32"/>
        <v>0</v>
      </c>
      <c r="O444" s="4">
        <f t="shared" si="32"/>
        <v>0</v>
      </c>
      <c r="P444" s="22"/>
    </row>
    <row r="445" spans="1:16" x14ac:dyDescent="0.4">
      <c r="A445" s="16">
        <v>42671</v>
      </c>
      <c r="B445" s="21">
        <v>18500</v>
      </c>
      <c r="C445" s="23">
        <v>18500</v>
      </c>
      <c r="D445" s="21">
        <v>18500</v>
      </c>
      <c r="E445" s="21">
        <v>18500</v>
      </c>
      <c r="F445" s="12">
        <v>0</v>
      </c>
      <c r="G445" s="14">
        <f t="shared" si="30"/>
        <v>0</v>
      </c>
      <c r="H445" s="14">
        <v>0</v>
      </c>
      <c r="I445" s="14">
        <v>0</v>
      </c>
      <c r="J445" s="14">
        <f t="shared" si="31"/>
        <v>0</v>
      </c>
      <c r="K445" s="14">
        <v>0</v>
      </c>
      <c r="L445" s="14">
        <v>0</v>
      </c>
      <c r="M445" s="14">
        <f t="shared" si="32"/>
        <v>0</v>
      </c>
      <c r="N445" s="14">
        <f t="shared" si="32"/>
        <v>0</v>
      </c>
      <c r="O445" s="4">
        <f t="shared" si="32"/>
        <v>0</v>
      </c>
      <c r="P445" s="4">
        <f>IFERROR(SUM(L441:L445)/SUM(I441:I445),"")</f>
        <v>18500</v>
      </c>
    </row>
    <row r="446" spans="1:16" x14ac:dyDescent="0.4">
      <c r="A446" s="16">
        <v>42674</v>
      </c>
      <c r="B446" s="21">
        <v>18500</v>
      </c>
      <c r="C446" s="23">
        <v>18500</v>
      </c>
      <c r="D446" s="23">
        <v>18500</v>
      </c>
      <c r="E446" s="23">
        <v>18500</v>
      </c>
      <c r="F446" s="12">
        <v>0</v>
      </c>
      <c r="G446" s="14">
        <f t="shared" si="30"/>
        <v>10100</v>
      </c>
      <c r="H446" s="14">
        <v>0</v>
      </c>
      <c r="I446" s="14">
        <v>10100</v>
      </c>
      <c r="J446" s="14">
        <f t="shared" si="31"/>
        <v>186850000</v>
      </c>
      <c r="K446" s="14">
        <v>0</v>
      </c>
      <c r="L446" s="14">
        <v>186850000</v>
      </c>
      <c r="M446" s="14">
        <f t="shared" si="32"/>
        <v>18500</v>
      </c>
      <c r="N446" s="14">
        <f t="shared" si="32"/>
        <v>0</v>
      </c>
      <c r="O446" s="4">
        <f t="shared" si="32"/>
        <v>18500</v>
      </c>
      <c r="P446" s="22"/>
    </row>
    <row r="447" spans="1:16" x14ac:dyDescent="0.4">
      <c r="A447" s="16">
        <v>42675</v>
      </c>
      <c r="B447" s="21">
        <v>18500</v>
      </c>
      <c r="C447" s="23">
        <v>18500</v>
      </c>
      <c r="D447" s="23">
        <v>18500</v>
      </c>
      <c r="E447" s="23">
        <v>18500</v>
      </c>
      <c r="F447" s="12">
        <v>0</v>
      </c>
      <c r="G447" s="14">
        <f t="shared" si="30"/>
        <v>6900</v>
      </c>
      <c r="H447" s="14">
        <v>0</v>
      </c>
      <c r="I447" s="14">
        <v>6900</v>
      </c>
      <c r="J447" s="14">
        <f t="shared" si="31"/>
        <v>127650000</v>
      </c>
      <c r="K447" s="14">
        <v>0</v>
      </c>
      <c r="L447" s="14">
        <v>127650000</v>
      </c>
      <c r="M447" s="14">
        <f t="shared" si="32"/>
        <v>18500</v>
      </c>
      <c r="N447" s="14">
        <f t="shared" si="32"/>
        <v>0</v>
      </c>
      <c r="O447" s="4">
        <f t="shared" si="32"/>
        <v>18500</v>
      </c>
      <c r="P447" s="22"/>
    </row>
    <row r="448" spans="1:16" x14ac:dyDescent="0.4">
      <c r="A448" s="16">
        <v>42676</v>
      </c>
      <c r="B448" s="21">
        <v>18500</v>
      </c>
      <c r="C448" s="23">
        <v>18500</v>
      </c>
      <c r="D448" s="23">
        <v>18500</v>
      </c>
      <c r="E448" s="23">
        <v>18500</v>
      </c>
      <c r="F448" s="12">
        <v>0</v>
      </c>
      <c r="G448" s="14">
        <f t="shared" si="30"/>
        <v>0</v>
      </c>
      <c r="H448" s="14">
        <v>0</v>
      </c>
      <c r="I448" s="14">
        <v>0</v>
      </c>
      <c r="J448" s="14">
        <f t="shared" si="31"/>
        <v>0</v>
      </c>
      <c r="K448" s="14">
        <v>0</v>
      </c>
      <c r="L448" s="14">
        <v>0</v>
      </c>
      <c r="M448" s="14">
        <f t="shared" si="32"/>
        <v>0</v>
      </c>
      <c r="N448" s="14">
        <f t="shared" si="32"/>
        <v>0</v>
      </c>
      <c r="O448" s="4">
        <f t="shared" si="32"/>
        <v>0</v>
      </c>
      <c r="P448" s="22"/>
    </row>
    <row r="449" spans="1:16" x14ac:dyDescent="0.4">
      <c r="A449" s="16">
        <v>42677</v>
      </c>
      <c r="B449" s="21">
        <v>18500</v>
      </c>
      <c r="C449" s="23">
        <v>18500</v>
      </c>
      <c r="D449" s="23">
        <v>18500</v>
      </c>
      <c r="E449" s="23">
        <v>18500</v>
      </c>
      <c r="F449" s="12">
        <v>0</v>
      </c>
      <c r="G449" s="14">
        <f t="shared" si="30"/>
        <v>0</v>
      </c>
      <c r="H449" s="14">
        <v>0</v>
      </c>
      <c r="I449" s="14">
        <v>0</v>
      </c>
      <c r="J449" s="14">
        <f t="shared" si="31"/>
        <v>0</v>
      </c>
      <c r="K449" s="14">
        <v>0</v>
      </c>
      <c r="L449" s="14">
        <v>0</v>
      </c>
      <c r="M449" s="14">
        <f t="shared" si="32"/>
        <v>0</v>
      </c>
      <c r="N449" s="14">
        <f t="shared" si="32"/>
        <v>0</v>
      </c>
      <c r="O449" s="4">
        <f t="shared" si="32"/>
        <v>0</v>
      </c>
      <c r="P449" s="22"/>
    </row>
    <row r="450" spans="1:16" x14ac:dyDescent="0.4">
      <c r="A450" s="16">
        <v>42678</v>
      </c>
      <c r="B450" s="21">
        <v>18500</v>
      </c>
      <c r="C450" s="23">
        <v>18500</v>
      </c>
      <c r="D450" s="23">
        <v>18500</v>
      </c>
      <c r="E450" s="23">
        <v>18500</v>
      </c>
      <c r="F450" s="12">
        <v>0</v>
      </c>
      <c r="G450" s="14">
        <f t="shared" si="30"/>
        <v>0</v>
      </c>
      <c r="H450" s="14">
        <v>0</v>
      </c>
      <c r="I450" s="14">
        <v>0</v>
      </c>
      <c r="J450" s="14">
        <f t="shared" si="31"/>
        <v>0</v>
      </c>
      <c r="K450" s="14">
        <v>0</v>
      </c>
      <c r="L450" s="14">
        <v>0</v>
      </c>
      <c r="M450" s="14">
        <f t="shared" si="32"/>
        <v>0</v>
      </c>
      <c r="N450" s="14">
        <f t="shared" si="32"/>
        <v>0</v>
      </c>
      <c r="O450" s="4">
        <f t="shared" si="32"/>
        <v>0</v>
      </c>
      <c r="P450" s="4">
        <f>IFERROR(SUM(L446:L450)/SUM(I446:I450),"")</f>
        <v>18500</v>
      </c>
    </row>
    <row r="451" spans="1:16" x14ac:dyDescent="0.4">
      <c r="A451" s="16">
        <v>42681</v>
      </c>
      <c r="B451" s="21">
        <v>18500</v>
      </c>
      <c r="C451" s="23">
        <v>18500</v>
      </c>
      <c r="D451" s="23">
        <v>18500</v>
      </c>
      <c r="E451" s="23">
        <v>18500</v>
      </c>
      <c r="F451" s="12">
        <v>0</v>
      </c>
      <c r="G451" s="14">
        <f t="shared" si="30"/>
        <v>0</v>
      </c>
      <c r="H451" s="14">
        <v>0</v>
      </c>
      <c r="I451" s="14">
        <v>0</v>
      </c>
      <c r="J451" s="14">
        <f t="shared" si="31"/>
        <v>0</v>
      </c>
      <c r="K451" s="14">
        <v>0</v>
      </c>
      <c r="L451" s="14">
        <v>0</v>
      </c>
      <c r="M451" s="14">
        <f t="shared" si="32"/>
        <v>0</v>
      </c>
      <c r="N451" s="14">
        <f t="shared" si="32"/>
        <v>0</v>
      </c>
      <c r="O451" s="4">
        <f t="shared" si="32"/>
        <v>0</v>
      </c>
      <c r="P451" s="22"/>
    </row>
    <row r="452" spans="1:16" x14ac:dyDescent="0.4">
      <c r="A452" s="16">
        <v>42682</v>
      </c>
      <c r="B452" s="21">
        <v>18500</v>
      </c>
      <c r="C452" s="23">
        <v>18500</v>
      </c>
      <c r="D452" s="23">
        <v>18500</v>
      </c>
      <c r="E452" s="23">
        <v>18500</v>
      </c>
      <c r="F452" s="12">
        <v>0</v>
      </c>
      <c r="G452" s="14">
        <f t="shared" si="30"/>
        <v>0</v>
      </c>
      <c r="H452" s="14">
        <v>0</v>
      </c>
      <c r="I452" s="14">
        <v>0</v>
      </c>
      <c r="J452" s="14">
        <f t="shared" si="31"/>
        <v>0</v>
      </c>
      <c r="K452" s="14">
        <v>0</v>
      </c>
      <c r="L452" s="14">
        <v>0</v>
      </c>
      <c r="M452" s="14">
        <f t="shared" si="32"/>
        <v>0</v>
      </c>
      <c r="N452" s="14">
        <f t="shared" si="32"/>
        <v>0</v>
      </c>
      <c r="O452" s="4">
        <f t="shared" si="32"/>
        <v>0</v>
      </c>
      <c r="P452" s="22"/>
    </row>
    <row r="453" spans="1:16" x14ac:dyDescent="0.4">
      <c r="A453" s="16">
        <v>42683</v>
      </c>
      <c r="B453" s="21">
        <v>18500</v>
      </c>
      <c r="C453" s="23">
        <v>18500</v>
      </c>
      <c r="D453" s="23">
        <v>18500</v>
      </c>
      <c r="E453" s="23">
        <v>18500</v>
      </c>
      <c r="F453" s="12">
        <v>0</v>
      </c>
      <c r="G453" s="14">
        <f t="shared" si="30"/>
        <v>0</v>
      </c>
      <c r="H453" s="14">
        <v>0</v>
      </c>
      <c r="I453" s="14">
        <v>0</v>
      </c>
      <c r="J453" s="14">
        <f t="shared" si="31"/>
        <v>0</v>
      </c>
      <c r="K453" s="14">
        <v>0</v>
      </c>
      <c r="L453" s="14">
        <v>0</v>
      </c>
      <c r="M453" s="14">
        <f t="shared" si="32"/>
        <v>0</v>
      </c>
      <c r="N453" s="14">
        <f t="shared" si="32"/>
        <v>0</v>
      </c>
      <c r="O453" s="4">
        <f t="shared" si="32"/>
        <v>0</v>
      </c>
      <c r="P453" s="22"/>
    </row>
    <row r="454" spans="1:16" x14ac:dyDescent="0.4">
      <c r="A454" s="16">
        <v>42684</v>
      </c>
      <c r="B454" s="21">
        <v>18500</v>
      </c>
      <c r="C454" s="23">
        <v>18500</v>
      </c>
      <c r="D454" s="23">
        <v>18500</v>
      </c>
      <c r="E454" s="23">
        <v>18500</v>
      </c>
      <c r="F454" s="12">
        <v>0</v>
      </c>
      <c r="G454" s="14">
        <f t="shared" si="30"/>
        <v>0</v>
      </c>
      <c r="H454" s="14">
        <v>0</v>
      </c>
      <c r="I454" s="14">
        <v>0</v>
      </c>
      <c r="J454" s="14">
        <f t="shared" si="31"/>
        <v>0</v>
      </c>
      <c r="K454" s="14">
        <v>0</v>
      </c>
      <c r="L454" s="14">
        <v>0</v>
      </c>
      <c r="M454" s="14">
        <f t="shared" si="32"/>
        <v>0</v>
      </c>
      <c r="N454" s="14">
        <f t="shared" si="32"/>
        <v>0</v>
      </c>
      <c r="O454" s="4">
        <f t="shared" si="32"/>
        <v>0</v>
      </c>
      <c r="P454" s="22"/>
    </row>
    <row r="455" spans="1:16" x14ac:dyDescent="0.4">
      <c r="A455" s="16">
        <v>42685</v>
      </c>
      <c r="B455" s="21">
        <v>18500</v>
      </c>
      <c r="C455" s="23">
        <v>18500</v>
      </c>
      <c r="D455" s="23">
        <v>18500</v>
      </c>
      <c r="E455" s="23">
        <v>18500</v>
      </c>
      <c r="F455" s="12">
        <v>0</v>
      </c>
      <c r="G455" s="14">
        <f t="shared" si="30"/>
        <v>0</v>
      </c>
      <c r="H455" s="14">
        <v>0</v>
      </c>
      <c r="I455" s="14">
        <v>0</v>
      </c>
      <c r="J455" s="14">
        <f t="shared" si="31"/>
        <v>0</v>
      </c>
      <c r="K455" s="14">
        <v>0</v>
      </c>
      <c r="L455" s="14">
        <v>0</v>
      </c>
      <c r="M455" s="14">
        <f t="shared" si="32"/>
        <v>0</v>
      </c>
      <c r="N455" s="14">
        <f t="shared" si="32"/>
        <v>0</v>
      </c>
      <c r="O455" s="4">
        <f t="shared" si="32"/>
        <v>0</v>
      </c>
      <c r="P455" s="4" t="str">
        <f>IFERROR(SUM(L451:L455)/SUM(I451:I455),"")</f>
        <v/>
      </c>
    </row>
    <row r="456" spans="1:16" x14ac:dyDescent="0.4">
      <c r="A456" s="16">
        <v>42688</v>
      </c>
      <c r="B456" s="21">
        <v>18500</v>
      </c>
      <c r="C456" s="23">
        <v>18500</v>
      </c>
      <c r="D456" s="23">
        <v>18500</v>
      </c>
      <c r="E456" s="23">
        <v>18500</v>
      </c>
      <c r="F456" s="12">
        <v>0</v>
      </c>
      <c r="G456" s="14">
        <f t="shared" si="30"/>
        <v>0</v>
      </c>
      <c r="H456" s="14">
        <v>0</v>
      </c>
      <c r="I456" s="14">
        <v>0</v>
      </c>
      <c r="J456" s="14">
        <f t="shared" si="31"/>
        <v>0</v>
      </c>
      <c r="K456" s="14">
        <v>0</v>
      </c>
      <c r="L456" s="14">
        <v>0</v>
      </c>
      <c r="M456" s="14">
        <f t="shared" si="32"/>
        <v>0</v>
      </c>
      <c r="N456" s="14">
        <f t="shared" si="32"/>
        <v>0</v>
      </c>
      <c r="O456" s="4">
        <f t="shared" si="32"/>
        <v>0</v>
      </c>
      <c r="P456" s="22"/>
    </row>
    <row r="457" spans="1:16" x14ac:dyDescent="0.4">
      <c r="A457" s="16">
        <v>42689</v>
      </c>
      <c r="B457" s="21">
        <v>18500</v>
      </c>
      <c r="C457" s="23">
        <v>18500</v>
      </c>
      <c r="D457" s="23">
        <v>18500</v>
      </c>
      <c r="E457" s="23">
        <v>18500</v>
      </c>
      <c r="F457" s="12">
        <v>0</v>
      </c>
      <c r="G457" s="14">
        <f t="shared" si="30"/>
        <v>0</v>
      </c>
      <c r="H457" s="14">
        <v>0</v>
      </c>
      <c r="I457" s="14">
        <v>0</v>
      </c>
      <c r="J457" s="14">
        <f t="shared" si="31"/>
        <v>0</v>
      </c>
      <c r="K457" s="14">
        <v>0</v>
      </c>
      <c r="L457" s="14">
        <v>0</v>
      </c>
      <c r="M457" s="14">
        <f t="shared" si="32"/>
        <v>0</v>
      </c>
      <c r="N457" s="14">
        <f t="shared" si="32"/>
        <v>0</v>
      </c>
      <c r="O457" s="4">
        <f t="shared" si="32"/>
        <v>0</v>
      </c>
      <c r="P457" s="22"/>
    </row>
    <row r="458" spans="1:16" x14ac:dyDescent="0.4">
      <c r="A458" s="16">
        <v>42690</v>
      </c>
      <c r="B458" s="21">
        <v>18500</v>
      </c>
      <c r="C458" s="23">
        <v>18500</v>
      </c>
      <c r="D458" s="23">
        <v>18500</v>
      </c>
      <c r="E458" s="23">
        <v>18500</v>
      </c>
      <c r="F458" s="12">
        <v>0</v>
      </c>
      <c r="G458" s="14">
        <f t="shared" si="30"/>
        <v>0</v>
      </c>
      <c r="H458" s="14">
        <v>0</v>
      </c>
      <c r="I458" s="14">
        <v>0</v>
      </c>
      <c r="J458" s="14">
        <f t="shared" si="31"/>
        <v>0</v>
      </c>
      <c r="K458" s="14">
        <v>0</v>
      </c>
      <c r="L458" s="14">
        <v>0</v>
      </c>
      <c r="M458" s="14">
        <f t="shared" si="32"/>
        <v>0</v>
      </c>
      <c r="N458" s="14">
        <f t="shared" si="32"/>
        <v>0</v>
      </c>
      <c r="O458" s="4">
        <f t="shared" si="32"/>
        <v>0</v>
      </c>
      <c r="P458" s="22"/>
    </row>
    <row r="459" spans="1:16" x14ac:dyDescent="0.4">
      <c r="A459" s="16">
        <v>42691</v>
      </c>
      <c r="B459" s="21">
        <v>18500</v>
      </c>
      <c r="C459" s="23">
        <v>18500</v>
      </c>
      <c r="D459" s="23">
        <v>18500</v>
      </c>
      <c r="E459" s="23">
        <v>18500</v>
      </c>
      <c r="F459" s="12">
        <v>0</v>
      </c>
      <c r="G459" s="14">
        <f t="shared" si="30"/>
        <v>0</v>
      </c>
      <c r="H459" s="14">
        <v>0</v>
      </c>
      <c r="I459" s="14">
        <v>0</v>
      </c>
      <c r="J459" s="14">
        <f t="shared" si="31"/>
        <v>0</v>
      </c>
      <c r="K459" s="14">
        <v>0</v>
      </c>
      <c r="L459" s="14">
        <v>0</v>
      </c>
      <c r="M459" s="14">
        <f t="shared" si="32"/>
        <v>0</v>
      </c>
      <c r="N459" s="14">
        <f t="shared" si="32"/>
        <v>0</v>
      </c>
      <c r="O459" s="4">
        <f t="shared" si="32"/>
        <v>0</v>
      </c>
      <c r="P459" s="22"/>
    </row>
    <row r="460" spans="1:16" x14ac:dyDescent="0.4">
      <c r="A460" s="16">
        <v>42692</v>
      </c>
      <c r="B460" s="21">
        <v>18500</v>
      </c>
      <c r="C460" s="23">
        <v>18500</v>
      </c>
      <c r="D460" s="23">
        <v>18500</v>
      </c>
      <c r="E460" s="23">
        <v>18500</v>
      </c>
      <c r="F460" s="12">
        <v>0</v>
      </c>
      <c r="G460" s="14">
        <f t="shared" si="30"/>
        <v>12000</v>
      </c>
      <c r="H460" s="14">
        <v>150000</v>
      </c>
      <c r="I460" s="14">
        <v>162000</v>
      </c>
      <c r="J460" s="14">
        <f t="shared" si="31"/>
        <v>222000000</v>
      </c>
      <c r="K460" s="14">
        <v>2700000000</v>
      </c>
      <c r="L460" s="14">
        <v>2922000000</v>
      </c>
      <c r="M460" s="14">
        <f t="shared" ref="M460:O475" si="33">IFERROR(J460/G460,0)</f>
        <v>18500</v>
      </c>
      <c r="N460" s="14">
        <f t="shared" si="33"/>
        <v>18000</v>
      </c>
      <c r="O460" s="4">
        <f t="shared" si="33"/>
        <v>18037.037037037036</v>
      </c>
      <c r="P460" s="4">
        <f>IFERROR(SUM(L456:L460)/SUM(I456:I460),"")</f>
        <v>18037.037037037036</v>
      </c>
    </row>
    <row r="461" spans="1:16" x14ac:dyDescent="0.4">
      <c r="A461" s="16">
        <v>42695</v>
      </c>
      <c r="B461" s="21">
        <v>18500</v>
      </c>
      <c r="C461" s="23">
        <v>18500</v>
      </c>
      <c r="D461" s="23">
        <v>18500</v>
      </c>
      <c r="E461" s="23">
        <v>18500</v>
      </c>
      <c r="F461" s="12">
        <v>0</v>
      </c>
      <c r="G461" s="14">
        <f t="shared" si="30"/>
        <v>0</v>
      </c>
      <c r="H461" s="14">
        <v>0</v>
      </c>
      <c r="I461" s="14">
        <v>0</v>
      </c>
      <c r="J461" s="14">
        <f t="shared" si="31"/>
        <v>0</v>
      </c>
      <c r="K461" s="14">
        <v>0</v>
      </c>
      <c r="L461" s="14">
        <v>0</v>
      </c>
      <c r="M461" s="14">
        <f t="shared" si="33"/>
        <v>0</v>
      </c>
      <c r="N461" s="14">
        <f t="shared" si="33"/>
        <v>0</v>
      </c>
      <c r="O461" s="4">
        <f t="shared" si="33"/>
        <v>0</v>
      </c>
      <c r="P461" s="22"/>
    </row>
    <row r="462" spans="1:16" x14ac:dyDescent="0.4">
      <c r="A462" s="16">
        <v>42696</v>
      </c>
      <c r="B462" s="21">
        <v>18500</v>
      </c>
      <c r="C462" s="23">
        <v>18500</v>
      </c>
      <c r="D462" s="23">
        <v>18500</v>
      </c>
      <c r="E462" s="23">
        <v>18500</v>
      </c>
      <c r="F462" s="12">
        <v>0</v>
      </c>
      <c r="G462" s="14">
        <f t="shared" si="30"/>
        <v>0</v>
      </c>
      <c r="H462" s="14">
        <v>0</v>
      </c>
      <c r="I462" s="14">
        <v>0</v>
      </c>
      <c r="J462" s="14">
        <f t="shared" si="31"/>
        <v>0</v>
      </c>
      <c r="K462" s="14">
        <v>0</v>
      </c>
      <c r="L462" s="14">
        <v>0</v>
      </c>
      <c r="M462" s="14">
        <f t="shared" si="33"/>
        <v>0</v>
      </c>
      <c r="N462" s="14">
        <f t="shared" si="33"/>
        <v>0</v>
      </c>
      <c r="O462" s="4">
        <f t="shared" si="33"/>
        <v>0</v>
      </c>
      <c r="P462" s="22"/>
    </row>
    <row r="463" spans="1:16" x14ac:dyDescent="0.4">
      <c r="A463" s="16">
        <v>42697</v>
      </c>
      <c r="B463" s="21">
        <v>18500</v>
      </c>
      <c r="C463" s="23">
        <v>18500</v>
      </c>
      <c r="D463" s="23">
        <v>18500</v>
      </c>
      <c r="E463" s="23">
        <v>18500</v>
      </c>
      <c r="F463" s="12">
        <v>0</v>
      </c>
      <c r="G463" s="14">
        <f t="shared" si="30"/>
        <v>0</v>
      </c>
      <c r="H463" s="14">
        <v>0</v>
      </c>
      <c r="I463" s="14">
        <v>0</v>
      </c>
      <c r="J463" s="14">
        <f t="shared" si="31"/>
        <v>0</v>
      </c>
      <c r="K463" s="14">
        <v>0</v>
      </c>
      <c r="L463" s="14">
        <v>0</v>
      </c>
      <c r="M463" s="14">
        <f t="shared" si="33"/>
        <v>0</v>
      </c>
      <c r="N463" s="14">
        <f t="shared" si="33"/>
        <v>0</v>
      </c>
      <c r="O463" s="4">
        <f t="shared" si="33"/>
        <v>0</v>
      </c>
      <c r="P463" s="22"/>
    </row>
    <row r="464" spans="1:16" x14ac:dyDescent="0.4">
      <c r="A464" s="16">
        <v>42698</v>
      </c>
      <c r="B464" s="21">
        <v>18500</v>
      </c>
      <c r="C464" s="23">
        <v>18500</v>
      </c>
      <c r="D464" s="23">
        <v>18500</v>
      </c>
      <c r="E464" s="23">
        <v>18500</v>
      </c>
      <c r="F464" s="12">
        <v>0</v>
      </c>
      <c r="G464" s="14">
        <f t="shared" si="30"/>
        <v>0</v>
      </c>
      <c r="H464" s="14">
        <v>0</v>
      </c>
      <c r="I464" s="14">
        <v>0</v>
      </c>
      <c r="J464" s="14">
        <f t="shared" si="31"/>
        <v>0</v>
      </c>
      <c r="K464" s="14">
        <v>0</v>
      </c>
      <c r="L464" s="14">
        <v>0</v>
      </c>
      <c r="M464" s="14">
        <f t="shared" si="33"/>
        <v>0</v>
      </c>
      <c r="N464" s="14">
        <f t="shared" si="33"/>
        <v>0</v>
      </c>
      <c r="O464" s="4">
        <f t="shared" si="33"/>
        <v>0</v>
      </c>
      <c r="P464" s="22"/>
    </row>
    <row r="465" spans="1:16" x14ac:dyDescent="0.4">
      <c r="A465" s="16">
        <v>42699</v>
      </c>
      <c r="B465" s="21">
        <v>18500</v>
      </c>
      <c r="C465" s="23">
        <v>18500</v>
      </c>
      <c r="D465" s="23">
        <v>18500</v>
      </c>
      <c r="E465" s="23">
        <v>18500</v>
      </c>
      <c r="F465" s="12">
        <v>0</v>
      </c>
      <c r="G465" s="14">
        <f t="shared" si="30"/>
        <v>0</v>
      </c>
      <c r="H465" s="14">
        <v>0</v>
      </c>
      <c r="I465" s="14">
        <v>0</v>
      </c>
      <c r="J465" s="14">
        <f t="shared" si="31"/>
        <v>0</v>
      </c>
      <c r="K465" s="14">
        <v>0</v>
      </c>
      <c r="L465" s="14">
        <v>0</v>
      </c>
      <c r="M465" s="14">
        <f t="shared" si="33"/>
        <v>0</v>
      </c>
      <c r="N465" s="14">
        <f t="shared" si="33"/>
        <v>0</v>
      </c>
      <c r="O465" s="4">
        <f t="shared" si="33"/>
        <v>0</v>
      </c>
      <c r="P465" s="4" t="str">
        <f>IFERROR(SUM(L461:L465)/SUM(I461:I465),"")</f>
        <v/>
      </c>
    </row>
    <row r="466" spans="1:16" x14ac:dyDescent="0.4">
      <c r="A466" s="16">
        <v>42702</v>
      </c>
      <c r="B466" s="21">
        <v>18500</v>
      </c>
      <c r="C466" s="23">
        <v>18500</v>
      </c>
      <c r="D466" s="23">
        <v>18500</v>
      </c>
      <c r="E466" s="23">
        <v>18500</v>
      </c>
      <c r="F466" s="12">
        <v>0</v>
      </c>
      <c r="G466" s="14">
        <f t="shared" si="30"/>
        <v>0</v>
      </c>
      <c r="H466" s="14">
        <v>0</v>
      </c>
      <c r="I466" s="14">
        <v>0</v>
      </c>
      <c r="J466" s="14">
        <f t="shared" si="31"/>
        <v>0</v>
      </c>
      <c r="K466" s="14">
        <v>0</v>
      </c>
      <c r="L466" s="14">
        <v>0</v>
      </c>
      <c r="M466" s="14">
        <f t="shared" si="33"/>
        <v>0</v>
      </c>
      <c r="N466" s="14">
        <f t="shared" si="33"/>
        <v>0</v>
      </c>
      <c r="O466" s="4">
        <f t="shared" si="33"/>
        <v>0</v>
      </c>
      <c r="P466" s="22"/>
    </row>
    <row r="467" spans="1:16" x14ac:dyDescent="0.4">
      <c r="A467" s="16">
        <v>42703</v>
      </c>
      <c r="B467" s="21">
        <v>18600</v>
      </c>
      <c r="C467" s="21">
        <v>18600</v>
      </c>
      <c r="D467" s="21">
        <v>18600</v>
      </c>
      <c r="E467" s="21">
        <v>18600</v>
      </c>
      <c r="F467" s="12">
        <v>0.54</v>
      </c>
      <c r="G467" s="14">
        <f t="shared" si="30"/>
        <v>0</v>
      </c>
      <c r="H467" s="14">
        <v>0</v>
      </c>
      <c r="I467" s="14">
        <v>0</v>
      </c>
      <c r="J467" s="14">
        <f t="shared" si="31"/>
        <v>0</v>
      </c>
      <c r="K467" s="14">
        <v>0</v>
      </c>
      <c r="L467" s="14">
        <v>0</v>
      </c>
      <c r="M467" s="14">
        <f t="shared" si="33"/>
        <v>0</v>
      </c>
      <c r="N467" s="14">
        <f t="shared" si="33"/>
        <v>0</v>
      </c>
      <c r="O467" s="4">
        <f t="shared" si="33"/>
        <v>0</v>
      </c>
      <c r="P467" s="22"/>
    </row>
    <row r="468" spans="1:16" x14ac:dyDescent="0.4">
      <c r="A468" s="16">
        <v>42704</v>
      </c>
      <c r="B468" s="21">
        <v>18600</v>
      </c>
      <c r="C468" s="21">
        <v>18600</v>
      </c>
      <c r="D468" s="21">
        <v>18600</v>
      </c>
      <c r="E468" s="21">
        <v>18600</v>
      </c>
      <c r="F468" s="12">
        <v>0</v>
      </c>
      <c r="G468" s="14">
        <f t="shared" si="30"/>
        <v>0</v>
      </c>
      <c r="H468" s="14">
        <v>0</v>
      </c>
      <c r="I468" s="14">
        <v>0</v>
      </c>
      <c r="J468" s="14">
        <f t="shared" si="31"/>
        <v>0</v>
      </c>
      <c r="K468" s="14">
        <v>0</v>
      </c>
      <c r="L468" s="14">
        <v>0</v>
      </c>
      <c r="M468" s="14">
        <f t="shared" si="33"/>
        <v>0</v>
      </c>
      <c r="N468" s="14">
        <f t="shared" si="33"/>
        <v>0</v>
      </c>
      <c r="O468" s="4">
        <f t="shared" si="33"/>
        <v>0</v>
      </c>
      <c r="P468" s="22"/>
    </row>
    <row r="469" spans="1:16" x14ac:dyDescent="0.4">
      <c r="A469" s="16">
        <v>42705</v>
      </c>
      <c r="B469" s="21">
        <v>18600</v>
      </c>
      <c r="C469" s="21">
        <v>18600</v>
      </c>
      <c r="D469" s="21">
        <v>18600</v>
      </c>
      <c r="E469" s="21">
        <v>18600</v>
      </c>
      <c r="F469" s="12">
        <v>0</v>
      </c>
      <c r="G469" s="14">
        <f t="shared" si="30"/>
        <v>0</v>
      </c>
      <c r="H469" s="14">
        <v>0</v>
      </c>
      <c r="I469" s="14">
        <v>0</v>
      </c>
      <c r="J469" s="14">
        <f t="shared" si="31"/>
        <v>0</v>
      </c>
      <c r="K469" s="14">
        <v>0</v>
      </c>
      <c r="L469" s="14">
        <v>0</v>
      </c>
      <c r="M469" s="14">
        <f t="shared" si="33"/>
        <v>0</v>
      </c>
      <c r="N469" s="14">
        <f t="shared" si="33"/>
        <v>0</v>
      </c>
      <c r="O469" s="4">
        <f t="shared" si="33"/>
        <v>0</v>
      </c>
      <c r="P469" s="22"/>
    </row>
    <row r="470" spans="1:16" x14ac:dyDescent="0.4">
      <c r="A470" s="16">
        <v>42706</v>
      </c>
      <c r="B470" s="21">
        <v>18600</v>
      </c>
      <c r="C470" s="21">
        <v>18600</v>
      </c>
      <c r="D470" s="21">
        <v>18600</v>
      </c>
      <c r="E470" s="21">
        <v>18600</v>
      </c>
      <c r="F470" s="12">
        <v>0</v>
      </c>
      <c r="G470" s="14">
        <f t="shared" si="30"/>
        <v>0</v>
      </c>
      <c r="H470" s="14">
        <v>0</v>
      </c>
      <c r="I470" s="14">
        <v>0</v>
      </c>
      <c r="J470" s="14">
        <f t="shared" si="31"/>
        <v>0</v>
      </c>
      <c r="K470" s="14">
        <v>0</v>
      </c>
      <c r="L470" s="14">
        <v>0</v>
      </c>
      <c r="M470" s="14">
        <f t="shared" si="33"/>
        <v>0</v>
      </c>
      <c r="N470" s="14">
        <f t="shared" si="33"/>
        <v>0</v>
      </c>
      <c r="O470" s="4">
        <f t="shared" si="33"/>
        <v>0</v>
      </c>
      <c r="P470" s="4" t="str">
        <f>IFERROR(SUM(L466:L470)/SUM(I466:I470),"")</f>
        <v/>
      </c>
    </row>
    <row r="471" spans="1:16" x14ac:dyDescent="0.4">
      <c r="A471" s="16">
        <v>42709</v>
      </c>
      <c r="B471" s="21">
        <v>19000</v>
      </c>
      <c r="C471" s="21">
        <v>19000</v>
      </c>
      <c r="D471" s="21">
        <v>19000</v>
      </c>
      <c r="E471" s="21">
        <v>19000</v>
      </c>
      <c r="F471" s="12">
        <v>2.15</v>
      </c>
      <c r="G471" s="14">
        <f t="shared" si="30"/>
        <v>11000</v>
      </c>
      <c r="H471" s="14">
        <v>0</v>
      </c>
      <c r="I471" s="14">
        <v>11000</v>
      </c>
      <c r="J471" s="14">
        <f t="shared" si="31"/>
        <v>209000000</v>
      </c>
      <c r="K471" s="14">
        <v>0</v>
      </c>
      <c r="L471" s="14">
        <v>209000000</v>
      </c>
      <c r="M471" s="14">
        <f t="shared" si="33"/>
        <v>19000</v>
      </c>
      <c r="N471" s="14">
        <f t="shared" si="33"/>
        <v>0</v>
      </c>
      <c r="O471" s="4">
        <f t="shared" si="33"/>
        <v>19000</v>
      </c>
      <c r="P471" s="22"/>
    </row>
    <row r="472" spans="1:16" x14ac:dyDescent="0.4">
      <c r="A472" s="16">
        <v>42710</v>
      </c>
      <c r="B472" s="21">
        <v>19100</v>
      </c>
      <c r="C472" s="21">
        <v>19100</v>
      </c>
      <c r="D472" s="21">
        <v>19100</v>
      </c>
      <c r="E472" s="21">
        <v>19100</v>
      </c>
      <c r="F472" s="12">
        <v>0.53</v>
      </c>
      <c r="G472" s="14">
        <f t="shared" si="30"/>
        <v>14000</v>
      </c>
      <c r="H472" s="14">
        <v>0</v>
      </c>
      <c r="I472" s="14">
        <v>14000</v>
      </c>
      <c r="J472" s="14">
        <f t="shared" si="31"/>
        <v>267400000</v>
      </c>
      <c r="K472" s="14">
        <v>0</v>
      </c>
      <c r="L472" s="14">
        <v>267400000</v>
      </c>
      <c r="M472" s="14">
        <f t="shared" si="33"/>
        <v>19100</v>
      </c>
      <c r="N472" s="14">
        <f t="shared" si="33"/>
        <v>0</v>
      </c>
      <c r="O472" s="4">
        <f t="shared" si="33"/>
        <v>19100</v>
      </c>
      <c r="P472" s="4"/>
    </row>
    <row r="473" spans="1:16" x14ac:dyDescent="0.4">
      <c r="A473" s="16">
        <v>42711</v>
      </c>
      <c r="B473" s="21">
        <v>19100</v>
      </c>
      <c r="C473" s="21">
        <v>19100</v>
      </c>
      <c r="D473" s="21">
        <v>19100</v>
      </c>
      <c r="E473" s="21">
        <v>19100</v>
      </c>
      <c r="F473" s="12">
        <v>0</v>
      </c>
      <c r="G473" s="14">
        <f t="shared" si="30"/>
        <v>0</v>
      </c>
      <c r="H473" s="14">
        <v>0</v>
      </c>
      <c r="I473" s="14">
        <v>0</v>
      </c>
      <c r="J473" s="14">
        <f t="shared" si="31"/>
        <v>0</v>
      </c>
      <c r="K473" s="14">
        <v>0</v>
      </c>
      <c r="L473" s="14">
        <v>0</v>
      </c>
      <c r="M473" s="14">
        <f t="shared" si="33"/>
        <v>0</v>
      </c>
      <c r="N473" s="14">
        <f t="shared" si="33"/>
        <v>0</v>
      </c>
      <c r="O473" s="4">
        <f t="shared" si="33"/>
        <v>0</v>
      </c>
      <c r="P473" s="22"/>
    </row>
    <row r="474" spans="1:16" x14ac:dyDescent="0.4">
      <c r="A474" s="16">
        <v>42712</v>
      </c>
      <c r="B474" s="21">
        <v>19100</v>
      </c>
      <c r="C474" s="21">
        <v>19100</v>
      </c>
      <c r="D474" s="21">
        <v>19100</v>
      </c>
      <c r="E474" s="21">
        <v>19100</v>
      </c>
      <c r="F474" s="12">
        <v>0</v>
      </c>
      <c r="G474" s="14">
        <f t="shared" si="30"/>
        <v>0</v>
      </c>
      <c r="H474" s="14">
        <v>0</v>
      </c>
      <c r="I474" s="14">
        <v>0</v>
      </c>
      <c r="J474" s="14">
        <f t="shared" si="31"/>
        <v>0</v>
      </c>
      <c r="K474" s="14">
        <v>0</v>
      </c>
      <c r="L474" s="14">
        <v>0</v>
      </c>
      <c r="M474" s="14">
        <f t="shared" si="33"/>
        <v>0</v>
      </c>
      <c r="N474" s="14">
        <f t="shared" si="33"/>
        <v>0</v>
      </c>
      <c r="O474" s="4">
        <f t="shared" si="33"/>
        <v>0</v>
      </c>
      <c r="P474" s="22"/>
    </row>
    <row r="475" spans="1:16" x14ac:dyDescent="0.4">
      <c r="A475" s="16">
        <v>42713</v>
      </c>
      <c r="B475" s="21">
        <v>19100</v>
      </c>
      <c r="C475" s="21">
        <v>19100</v>
      </c>
      <c r="D475" s="21">
        <v>19100</v>
      </c>
      <c r="E475" s="21">
        <v>19100</v>
      </c>
      <c r="F475" s="12">
        <v>0</v>
      </c>
      <c r="G475" s="14">
        <f t="shared" si="30"/>
        <v>0</v>
      </c>
      <c r="H475" s="14">
        <v>100000</v>
      </c>
      <c r="I475" s="14">
        <v>100000</v>
      </c>
      <c r="J475" s="14">
        <f t="shared" si="31"/>
        <v>0</v>
      </c>
      <c r="K475" s="14">
        <v>1780000000</v>
      </c>
      <c r="L475" s="14">
        <v>1780000000</v>
      </c>
      <c r="M475" s="14">
        <f t="shared" si="33"/>
        <v>0</v>
      </c>
      <c r="N475" s="14">
        <f t="shared" si="33"/>
        <v>17800</v>
      </c>
      <c r="O475" s="4">
        <f t="shared" si="33"/>
        <v>17800</v>
      </c>
      <c r="P475" s="4">
        <f>IFERROR(SUM(L471:L475)/SUM(I471:I475),"")</f>
        <v>18051.2</v>
      </c>
    </row>
    <row r="476" spans="1:16" x14ac:dyDescent="0.4">
      <c r="A476" s="16">
        <v>42716</v>
      </c>
      <c r="B476" s="21">
        <v>19100</v>
      </c>
      <c r="C476" s="21">
        <v>19100</v>
      </c>
      <c r="D476" s="21">
        <v>19000</v>
      </c>
      <c r="E476" s="21">
        <v>19100</v>
      </c>
      <c r="F476" s="12">
        <v>0</v>
      </c>
      <c r="G476" s="14">
        <f t="shared" si="30"/>
        <v>49000</v>
      </c>
      <c r="H476" s="14">
        <v>0</v>
      </c>
      <c r="I476" s="14">
        <v>49000</v>
      </c>
      <c r="J476" s="14">
        <f t="shared" si="31"/>
        <v>935400000</v>
      </c>
      <c r="K476" s="14">
        <v>0</v>
      </c>
      <c r="L476" s="14">
        <v>935400000</v>
      </c>
      <c r="M476" s="14">
        <f t="shared" ref="M476:O596" si="34">IFERROR(J476/G476,0)</f>
        <v>19089.795918367348</v>
      </c>
      <c r="N476" s="14">
        <f t="shared" si="34"/>
        <v>0</v>
      </c>
      <c r="O476" s="4">
        <f t="shared" si="34"/>
        <v>19089.795918367348</v>
      </c>
      <c r="P476" s="22"/>
    </row>
    <row r="477" spans="1:16" x14ac:dyDescent="0.4">
      <c r="A477" s="16">
        <v>42717</v>
      </c>
      <c r="B477" s="21">
        <v>19100</v>
      </c>
      <c r="C477" s="21">
        <v>19100</v>
      </c>
      <c r="D477" s="21">
        <v>19100</v>
      </c>
      <c r="E477" s="21">
        <v>19100</v>
      </c>
      <c r="F477" s="12">
        <v>0</v>
      </c>
      <c r="G477" s="14">
        <f t="shared" si="30"/>
        <v>9000</v>
      </c>
      <c r="H477" s="14">
        <v>0</v>
      </c>
      <c r="I477" s="14">
        <v>9000</v>
      </c>
      <c r="J477" s="14">
        <f t="shared" si="31"/>
        <v>171900000</v>
      </c>
      <c r="K477" s="14">
        <v>0</v>
      </c>
      <c r="L477" s="14">
        <v>171900000</v>
      </c>
      <c r="M477" s="14">
        <f t="shared" si="34"/>
        <v>19100</v>
      </c>
      <c r="N477" s="14">
        <f t="shared" si="34"/>
        <v>0</v>
      </c>
      <c r="O477" s="4">
        <f t="shared" si="34"/>
        <v>19100</v>
      </c>
      <c r="P477" s="22"/>
    </row>
    <row r="478" spans="1:16" x14ac:dyDescent="0.4">
      <c r="A478" s="16">
        <v>42718</v>
      </c>
      <c r="B478" s="21">
        <v>19100</v>
      </c>
      <c r="C478" s="21">
        <v>19100</v>
      </c>
      <c r="D478" s="21">
        <v>19100</v>
      </c>
      <c r="E478" s="21">
        <v>19100</v>
      </c>
      <c r="F478" s="12">
        <v>0</v>
      </c>
      <c r="G478" s="14">
        <f t="shared" si="30"/>
        <v>0</v>
      </c>
      <c r="H478" s="14">
        <v>0</v>
      </c>
      <c r="I478" s="14">
        <v>0</v>
      </c>
      <c r="J478" s="14">
        <f t="shared" si="31"/>
        <v>0</v>
      </c>
      <c r="K478" s="14">
        <v>0</v>
      </c>
      <c r="L478" s="14">
        <v>0</v>
      </c>
      <c r="M478" s="14">
        <f t="shared" si="34"/>
        <v>0</v>
      </c>
      <c r="N478" s="14">
        <f t="shared" si="34"/>
        <v>0</v>
      </c>
      <c r="O478" s="4">
        <f t="shared" si="34"/>
        <v>0</v>
      </c>
      <c r="P478" s="22"/>
    </row>
    <row r="479" spans="1:16" x14ac:dyDescent="0.4">
      <c r="A479" s="16">
        <v>42719</v>
      </c>
      <c r="B479" s="21">
        <v>19100</v>
      </c>
      <c r="C479" s="21">
        <v>19100</v>
      </c>
      <c r="D479" s="21">
        <v>19100</v>
      </c>
      <c r="E479" s="21">
        <v>19100</v>
      </c>
      <c r="F479" s="12">
        <v>0</v>
      </c>
      <c r="G479" s="14">
        <f t="shared" si="30"/>
        <v>0</v>
      </c>
      <c r="H479" s="14">
        <v>0</v>
      </c>
      <c r="I479" s="14">
        <v>0</v>
      </c>
      <c r="J479" s="14">
        <f t="shared" si="31"/>
        <v>0</v>
      </c>
      <c r="K479" s="14">
        <v>0</v>
      </c>
      <c r="L479" s="14">
        <v>0</v>
      </c>
      <c r="M479" s="14">
        <f t="shared" si="34"/>
        <v>0</v>
      </c>
      <c r="N479" s="14">
        <f t="shared" si="34"/>
        <v>0</v>
      </c>
      <c r="O479" s="4">
        <f t="shared" si="34"/>
        <v>0</v>
      </c>
      <c r="P479" s="22"/>
    </row>
    <row r="480" spans="1:16" x14ac:dyDescent="0.4">
      <c r="A480" s="16">
        <v>42720</v>
      </c>
      <c r="B480" s="21">
        <v>19100</v>
      </c>
      <c r="C480" s="21">
        <v>19100</v>
      </c>
      <c r="D480" s="21">
        <v>19100</v>
      </c>
      <c r="E480" s="21">
        <v>19100</v>
      </c>
      <c r="F480" s="12">
        <v>0</v>
      </c>
      <c r="G480" s="14">
        <f t="shared" si="30"/>
        <v>0</v>
      </c>
      <c r="H480" s="14">
        <v>0</v>
      </c>
      <c r="I480" s="14">
        <v>0</v>
      </c>
      <c r="J480" s="14">
        <f t="shared" si="31"/>
        <v>0</v>
      </c>
      <c r="K480" s="14">
        <v>0</v>
      </c>
      <c r="L480" s="14">
        <v>0</v>
      </c>
      <c r="M480" s="14">
        <f t="shared" si="34"/>
        <v>0</v>
      </c>
      <c r="N480" s="14">
        <f t="shared" si="34"/>
        <v>0</v>
      </c>
      <c r="O480" s="4">
        <f t="shared" si="34"/>
        <v>0</v>
      </c>
      <c r="P480" s="4">
        <f>IFERROR(SUM(L476:L480)/SUM(I476:I480),"")</f>
        <v>19091.379310344826</v>
      </c>
    </row>
    <row r="481" spans="1:16" x14ac:dyDescent="0.4">
      <c r="A481" s="16">
        <v>42723</v>
      </c>
      <c r="B481" s="21">
        <v>19100</v>
      </c>
      <c r="C481" s="21">
        <v>19100</v>
      </c>
      <c r="D481" s="21">
        <v>19100</v>
      </c>
      <c r="E481" s="21">
        <v>19100</v>
      </c>
      <c r="F481" s="12">
        <v>0</v>
      </c>
      <c r="G481" s="14">
        <f t="shared" si="30"/>
        <v>0</v>
      </c>
      <c r="H481" s="14">
        <v>0</v>
      </c>
      <c r="I481" s="14">
        <v>0</v>
      </c>
      <c r="J481" s="14">
        <f t="shared" si="31"/>
        <v>0</v>
      </c>
      <c r="K481" s="14">
        <v>0</v>
      </c>
      <c r="L481" s="14">
        <v>0</v>
      </c>
      <c r="M481" s="14">
        <f t="shared" si="34"/>
        <v>0</v>
      </c>
      <c r="N481" s="14">
        <f t="shared" si="34"/>
        <v>0</v>
      </c>
      <c r="O481" s="4">
        <f t="shared" si="34"/>
        <v>0</v>
      </c>
      <c r="P481" s="22"/>
    </row>
    <row r="482" spans="1:16" x14ac:dyDescent="0.4">
      <c r="A482" s="16">
        <v>42724</v>
      </c>
      <c r="B482" s="21">
        <v>19200</v>
      </c>
      <c r="C482" s="21">
        <v>19200</v>
      </c>
      <c r="D482" s="21">
        <v>19200</v>
      </c>
      <c r="E482" s="21">
        <v>19200</v>
      </c>
      <c r="F482" s="12">
        <v>0.52</v>
      </c>
      <c r="G482" s="14">
        <f t="shared" si="30"/>
        <v>0</v>
      </c>
      <c r="H482" s="14">
        <v>0</v>
      </c>
      <c r="I482" s="14">
        <v>0</v>
      </c>
      <c r="J482" s="14">
        <f t="shared" si="31"/>
        <v>0</v>
      </c>
      <c r="K482" s="14">
        <v>0</v>
      </c>
      <c r="L482" s="14">
        <v>0</v>
      </c>
      <c r="M482" s="14">
        <f t="shared" si="34"/>
        <v>0</v>
      </c>
      <c r="N482" s="14">
        <f t="shared" si="34"/>
        <v>0</v>
      </c>
      <c r="O482" s="4">
        <f t="shared" si="34"/>
        <v>0</v>
      </c>
      <c r="P482" s="22"/>
    </row>
    <row r="483" spans="1:16" x14ac:dyDescent="0.4">
      <c r="A483" s="16">
        <v>42725</v>
      </c>
      <c r="B483" s="21">
        <v>19200</v>
      </c>
      <c r="C483" s="21">
        <v>19200</v>
      </c>
      <c r="D483" s="21">
        <v>19200</v>
      </c>
      <c r="E483" s="21">
        <v>19200</v>
      </c>
      <c r="F483" s="12">
        <v>0</v>
      </c>
      <c r="G483" s="14">
        <f t="shared" si="30"/>
        <v>0</v>
      </c>
      <c r="H483" s="14">
        <v>0</v>
      </c>
      <c r="I483" s="14">
        <v>0</v>
      </c>
      <c r="J483" s="14">
        <f t="shared" si="31"/>
        <v>0</v>
      </c>
      <c r="K483" s="14">
        <v>0</v>
      </c>
      <c r="L483" s="14">
        <v>0</v>
      </c>
      <c r="M483" s="14">
        <f t="shared" si="34"/>
        <v>0</v>
      </c>
      <c r="N483" s="14">
        <f t="shared" si="34"/>
        <v>0</v>
      </c>
      <c r="O483" s="4">
        <f t="shared" si="34"/>
        <v>0</v>
      </c>
      <c r="P483" s="22"/>
    </row>
    <row r="484" spans="1:16" x14ac:dyDescent="0.4">
      <c r="A484" s="16">
        <v>42726</v>
      </c>
      <c r="B484" s="21">
        <v>19200</v>
      </c>
      <c r="C484" s="21">
        <v>19200</v>
      </c>
      <c r="D484" s="21">
        <v>19200</v>
      </c>
      <c r="E484" s="21">
        <v>19200</v>
      </c>
      <c r="F484" s="12">
        <v>0</v>
      </c>
      <c r="G484" s="14">
        <f t="shared" si="30"/>
        <v>0</v>
      </c>
      <c r="H484" s="14">
        <v>0</v>
      </c>
      <c r="I484" s="14">
        <v>0</v>
      </c>
      <c r="J484" s="14">
        <f t="shared" si="31"/>
        <v>0</v>
      </c>
      <c r="K484" s="14">
        <v>0</v>
      </c>
      <c r="L484" s="14">
        <v>0</v>
      </c>
      <c r="M484" s="14">
        <f t="shared" si="34"/>
        <v>0</v>
      </c>
      <c r="N484" s="14">
        <f t="shared" si="34"/>
        <v>0</v>
      </c>
      <c r="O484" s="4">
        <f t="shared" si="34"/>
        <v>0</v>
      </c>
      <c r="P484" s="22"/>
    </row>
    <row r="485" spans="1:16" x14ac:dyDescent="0.4">
      <c r="A485" s="16">
        <v>42727</v>
      </c>
      <c r="B485" s="21">
        <v>19300</v>
      </c>
      <c r="C485" s="21">
        <v>19300</v>
      </c>
      <c r="D485" s="21">
        <v>19300</v>
      </c>
      <c r="E485" s="21">
        <v>19300</v>
      </c>
      <c r="F485" s="12">
        <v>0.52</v>
      </c>
      <c r="G485" s="14">
        <f t="shared" si="30"/>
        <v>30000</v>
      </c>
      <c r="H485" s="14">
        <v>0</v>
      </c>
      <c r="I485" s="14">
        <v>30000</v>
      </c>
      <c r="J485" s="14">
        <f t="shared" si="31"/>
        <v>579000000</v>
      </c>
      <c r="K485" s="14">
        <v>0</v>
      </c>
      <c r="L485" s="14">
        <v>579000000</v>
      </c>
      <c r="M485" s="14">
        <f t="shared" si="34"/>
        <v>19300</v>
      </c>
      <c r="N485" s="14">
        <f t="shared" si="34"/>
        <v>0</v>
      </c>
      <c r="O485" s="4">
        <f t="shared" si="34"/>
        <v>19300</v>
      </c>
      <c r="P485" s="4">
        <f>IFERROR(SUM(L481:L485)/SUM(I481:I485),"")</f>
        <v>19300</v>
      </c>
    </row>
    <row r="486" spans="1:16" x14ac:dyDescent="0.4">
      <c r="A486" s="16">
        <v>42730</v>
      </c>
      <c r="B486" s="21">
        <v>19300</v>
      </c>
      <c r="C486" s="21">
        <v>19300</v>
      </c>
      <c r="D486" s="21">
        <v>19300</v>
      </c>
      <c r="E486" s="21">
        <v>19300</v>
      </c>
      <c r="F486" s="12">
        <v>0</v>
      </c>
      <c r="G486" s="14">
        <f t="shared" si="30"/>
        <v>0</v>
      </c>
      <c r="H486" s="14">
        <v>0</v>
      </c>
      <c r="I486" s="14">
        <v>0</v>
      </c>
      <c r="J486" s="14">
        <f t="shared" si="31"/>
        <v>0</v>
      </c>
      <c r="K486" s="14">
        <v>0</v>
      </c>
      <c r="L486" s="14">
        <v>0</v>
      </c>
      <c r="M486" s="14">
        <f t="shared" si="34"/>
        <v>0</v>
      </c>
      <c r="N486" s="14">
        <f t="shared" si="34"/>
        <v>0</v>
      </c>
      <c r="O486" s="4">
        <f t="shared" si="34"/>
        <v>0</v>
      </c>
      <c r="P486" s="22"/>
    </row>
    <row r="487" spans="1:16" x14ac:dyDescent="0.4">
      <c r="A487" s="16">
        <v>42731</v>
      </c>
      <c r="B487" s="21">
        <v>19300</v>
      </c>
      <c r="C487" s="21">
        <v>19300</v>
      </c>
      <c r="D487" s="21">
        <v>19300</v>
      </c>
      <c r="E487" s="21">
        <v>19300</v>
      </c>
      <c r="F487" s="12">
        <v>0</v>
      </c>
      <c r="G487" s="14">
        <f t="shared" si="30"/>
        <v>0</v>
      </c>
      <c r="H487" s="14">
        <v>0</v>
      </c>
      <c r="I487" s="14">
        <v>0</v>
      </c>
      <c r="J487" s="14">
        <f t="shared" si="31"/>
        <v>0</v>
      </c>
      <c r="K487" s="14">
        <v>0</v>
      </c>
      <c r="L487" s="14">
        <v>0</v>
      </c>
      <c r="M487" s="14">
        <f t="shared" si="34"/>
        <v>0</v>
      </c>
      <c r="N487" s="14">
        <f t="shared" si="34"/>
        <v>0</v>
      </c>
      <c r="O487" s="4">
        <f t="shared" si="34"/>
        <v>0</v>
      </c>
      <c r="P487" s="22"/>
    </row>
    <row r="488" spans="1:16" x14ac:dyDescent="0.4">
      <c r="A488" s="16">
        <v>42732</v>
      </c>
      <c r="B488" s="21">
        <v>19500</v>
      </c>
      <c r="C488" s="21">
        <v>19500</v>
      </c>
      <c r="D488" s="21">
        <v>19300</v>
      </c>
      <c r="E488" s="21">
        <v>19300</v>
      </c>
      <c r="F488" s="12">
        <v>0</v>
      </c>
      <c r="G488" s="14">
        <f t="shared" si="30"/>
        <v>4000</v>
      </c>
      <c r="H488" s="14">
        <v>0</v>
      </c>
      <c r="I488" s="14">
        <v>4000</v>
      </c>
      <c r="J488" s="14">
        <f t="shared" si="31"/>
        <v>77240000</v>
      </c>
      <c r="K488" s="14">
        <v>0</v>
      </c>
      <c r="L488" s="14">
        <v>77240000</v>
      </c>
      <c r="M488" s="14">
        <f t="shared" si="34"/>
        <v>19310</v>
      </c>
      <c r="N488" s="14">
        <f t="shared" si="34"/>
        <v>0</v>
      </c>
      <c r="O488" s="4">
        <f t="shared" si="34"/>
        <v>19310</v>
      </c>
      <c r="P488" s="22"/>
    </row>
    <row r="489" spans="1:16" x14ac:dyDescent="0.4">
      <c r="A489" s="16">
        <v>42733</v>
      </c>
      <c r="B489" s="21">
        <v>19300</v>
      </c>
      <c r="C489" s="21">
        <v>19300</v>
      </c>
      <c r="D489" s="21">
        <v>19300</v>
      </c>
      <c r="E489" s="21">
        <v>19300</v>
      </c>
      <c r="F489" s="12">
        <v>0</v>
      </c>
      <c r="G489" s="14">
        <f t="shared" si="30"/>
        <v>0</v>
      </c>
      <c r="H489" s="14">
        <v>0</v>
      </c>
      <c r="I489" s="14">
        <v>0</v>
      </c>
      <c r="J489" s="14">
        <f t="shared" si="31"/>
        <v>0</v>
      </c>
      <c r="K489" s="14">
        <v>0</v>
      </c>
      <c r="L489" s="14">
        <v>0</v>
      </c>
      <c r="M489" s="14">
        <f t="shared" si="34"/>
        <v>0</v>
      </c>
      <c r="N489" s="14">
        <f t="shared" si="34"/>
        <v>0</v>
      </c>
      <c r="O489" s="4">
        <f t="shared" si="34"/>
        <v>0</v>
      </c>
      <c r="P489" s="4">
        <f>IFERROR(SUM(L486:L489)/SUM(I486:I489),"")</f>
        <v>19310</v>
      </c>
    </row>
    <row r="490" spans="1:16" x14ac:dyDescent="0.4">
      <c r="A490" s="16">
        <v>42737</v>
      </c>
      <c r="B490" s="21">
        <v>19300</v>
      </c>
      <c r="C490" s="21">
        <v>19300</v>
      </c>
      <c r="D490" s="21">
        <v>19300</v>
      </c>
      <c r="E490" s="21">
        <v>19300</v>
      </c>
      <c r="F490" s="12">
        <v>0</v>
      </c>
      <c r="G490" s="14">
        <f t="shared" si="30"/>
        <v>0</v>
      </c>
      <c r="H490" s="14">
        <v>0</v>
      </c>
      <c r="I490" s="14">
        <v>0</v>
      </c>
      <c r="J490" s="14">
        <f t="shared" si="31"/>
        <v>0</v>
      </c>
      <c r="K490" s="14">
        <v>0</v>
      </c>
      <c r="L490" s="14">
        <v>0</v>
      </c>
      <c r="M490" s="14">
        <f t="shared" si="34"/>
        <v>0</v>
      </c>
      <c r="N490" s="14">
        <f t="shared" si="34"/>
        <v>0</v>
      </c>
      <c r="O490" s="4">
        <f t="shared" si="34"/>
        <v>0</v>
      </c>
      <c r="P490" s="4"/>
    </row>
    <row r="491" spans="1:16" x14ac:dyDescent="0.4">
      <c r="A491" s="16">
        <v>42738</v>
      </c>
      <c r="B491" s="21">
        <v>19500</v>
      </c>
      <c r="C491" s="21">
        <v>19500</v>
      </c>
      <c r="D491" s="21">
        <v>19500</v>
      </c>
      <c r="E491" s="21">
        <v>19500</v>
      </c>
      <c r="F491" s="12">
        <v>1.04</v>
      </c>
      <c r="G491" s="14">
        <f t="shared" si="30"/>
        <v>10000</v>
      </c>
      <c r="H491" s="14">
        <v>0</v>
      </c>
      <c r="I491" s="14">
        <v>10000</v>
      </c>
      <c r="J491" s="14">
        <f t="shared" si="31"/>
        <v>195000000</v>
      </c>
      <c r="K491" s="14">
        <v>0</v>
      </c>
      <c r="L491" s="14">
        <v>195000000</v>
      </c>
      <c r="M491" s="14">
        <f t="shared" si="34"/>
        <v>19500</v>
      </c>
      <c r="N491" s="14">
        <f t="shared" si="34"/>
        <v>0</v>
      </c>
      <c r="O491" s="4">
        <f t="shared" si="34"/>
        <v>19500</v>
      </c>
      <c r="P491" s="22"/>
    </row>
    <row r="492" spans="1:16" x14ac:dyDescent="0.4">
      <c r="A492" s="16">
        <v>42739</v>
      </c>
      <c r="B492" s="21">
        <v>19500</v>
      </c>
      <c r="C492" s="21">
        <v>19500</v>
      </c>
      <c r="D492" s="21">
        <v>19500</v>
      </c>
      <c r="E492" s="21">
        <v>19500</v>
      </c>
      <c r="F492" s="12">
        <v>0</v>
      </c>
      <c r="G492" s="14">
        <f t="shared" si="30"/>
        <v>0</v>
      </c>
      <c r="H492" s="14">
        <v>0</v>
      </c>
      <c r="I492" s="14">
        <v>0</v>
      </c>
      <c r="J492" s="14">
        <f t="shared" si="31"/>
        <v>0</v>
      </c>
      <c r="K492" s="14">
        <v>0</v>
      </c>
      <c r="L492" s="14">
        <v>0</v>
      </c>
      <c r="M492" s="14">
        <f t="shared" si="34"/>
        <v>0</v>
      </c>
      <c r="N492" s="14">
        <f t="shared" si="34"/>
        <v>0</v>
      </c>
      <c r="O492" s="4">
        <f t="shared" si="34"/>
        <v>0</v>
      </c>
      <c r="P492" s="22"/>
    </row>
    <row r="493" spans="1:16" x14ac:dyDescent="0.4">
      <c r="A493" s="16">
        <v>42740</v>
      </c>
      <c r="B493" s="21">
        <v>19500</v>
      </c>
      <c r="C493" s="21">
        <v>19500</v>
      </c>
      <c r="D493" s="21">
        <v>19500</v>
      </c>
      <c r="E493" s="21">
        <v>19500</v>
      </c>
      <c r="F493" s="12">
        <v>0</v>
      </c>
      <c r="G493" s="14">
        <f t="shared" si="30"/>
        <v>0</v>
      </c>
      <c r="H493" s="14">
        <v>0</v>
      </c>
      <c r="I493" s="14">
        <v>0</v>
      </c>
      <c r="J493" s="14">
        <f t="shared" si="31"/>
        <v>0</v>
      </c>
      <c r="K493" s="14">
        <v>0</v>
      </c>
      <c r="L493" s="14">
        <v>0</v>
      </c>
      <c r="M493" s="14">
        <f t="shared" si="34"/>
        <v>0</v>
      </c>
      <c r="N493" s="14">
        <f t="shared" si="34"/>
        <v>0</v>
      </c>
      <c r="O493" s="4">
        <f t="shared" si="34"/>
        <v>0</v>
      </c>
      <c r="P493" s="4"/>
    </row>
    <row r="494" spans="1:16" x14ac:dyDescent="0.4">
      <c r="A494" s="16">
        <v>42741</v>
      </c>
      <c r="B494" s="21">
        <v>19500</v>
      </c>
      <c r="C494" s="21">
        <v>19500</v>
      </c>
      <c r="D494" s="21">
        <v>19500</v>
      </c>
      <c r="E494" s="21">
        <v>19500</v>
      </c>
      <c r="F494" s="12">
        <v>0</v>
      </c>
      <c r="G494" s="14">
        <f t="shared" si="30"/>
        <v>0</v>
      </c>
      <c r="H494" s="14">
        <v>0</v>
      </c>
      <c r="I494" s="14">
        <v>0</v>
      </c>
      <c r="J494" s="14">
        <f t="shared" si="31"/>
        <v>0</v>
      </c>
      <c r="K494" s="14">
        <v>0</v>
      </c>
      <c r="L494" s="14">
        <v>0</v>
      </c>
      <c r="M494" s="14">
        <f t="shared" si="34"/>
        <v>0</v>
      </c>
      <c r="N494" s="14">
        <f t="shared" si="34"/>
        <v>0</v>
      </c>
      <c r="O494" s="4">
        <f t="shared" si="34"/>
        <v>0</v>
      </c>
      <c r="P494" s="4">
        <f>IFERROR(SUM(L491:L494)/SUM(I491:I494),"")</f>
        <v>19500</v>
      </c>
    </row>
    <row r="495" spans="1:16" x14ac:dyDescent="0.4">
      <c r="A495" s="16">
        <v>42744</v>
      </c>
      <c r="B495" s="21">
        <v>19500</v>
      </c>
      <c r="C495" s="21">
        <v>19500</v>
      </c>
      <c r="D495" s="21">
        <v>19500</v>
      </c>
      <c r="E495" s="21">
        <v>19500</v>
      </c>
      <c r="F495" s="12">
        <v>0</v>
      </c>
      <c r="G495" s="14">
        <f t="shared" si="30"/>
        <v>0</v>
      </c>
      <c r="H495" s="14">
        <v>0</v>
      </c>
      <c r="I495" s="14">
        <v>0</v>
      </c>
      <c r="J495" s="14">
        <f t="shared" si="31"/>
        <v>0</v>
      </c>
      <c r="K495" s="14">
        <v>0</v>
      </c>
      <c r="L495" s="14">
        <v>0</v>
      </c>
      <c r="M495" s="14">
        <f t="shared" si="34"/>
        <v>0</v>
      </c>
      <c r="N495" s="14">
        <f t="shared" si="34"/>
        <v>0</v>
      </c>
      <c r="O495" s="4">
        <f t="shared" si="34"/>
        <v>0</v>
      </c>
      <c r="P495" s="22"/>
    </row>
    <row r="496" spans="1:16" x14ac:dyDescent="0.4">
      <c r="A496" s="16">
        <v>42745</v>
      </c>
      <c r="B496" s="21">
        <v>19500</v>
      </c>
      <c r="C496" s="21">
        <v>19500</v>
      </c>
      <c r="D496" s="21">
        <v>19500</v>
      </c>
      <c r="E496" s="21">
        <v>19500</v>
      </c>
      <c r="F496" s="12">
        <v>0</v>
      </c>
      <c r="G496" s="14">
        <f t="shared" si="30"/>
        <v>8500</v>
      </c>
      <c r="H496" s="14">
        <v>0</v>
      </c>
      <c r="I496" s="14">
        <v>8500</v>
      </c>
      <c r="J496" s="14">
        <f t="shared" si="31"/>
        <v>165750000</v>
      </c>
      <c r="K496" s="14">
        <v>0</v>
      </c>
      <c r="L496" s="14">
        <v>165750000</v>
      </c>
      <c r="M496" s="14">
        <f t="shared" si="34"/>
        <v>19500</v>
      </c>
      <c r="N496" s="14">
        <f t="shared" si="34"/>
        <v>0</v>
      </c>
      <c r="O496" s="4">
        <f t="shared" si="34"/>
        <v>19500</v>
      </c>
      <c r="P496" s="22"/>
    </row>
    <row r="497" spans="1:16" x14ac:dyDescent="0.4">
      <c r="A497" s="16">
        <v>42746</v>
      </c>
      <c r="B497" s="21">
        <v>19600</v>
      </c>
      <c r="C497" s="21">
        <v>19600</v>
      </c>
      <c r="D497" s="21">
        <v>19600</v>
      </c>
      <c r="E497" s="21">
        <v>19600</v>
      </c>
      <c r="F497" s="12">
        <v>0.51</v>
      </c>
      <c r="G497" s="14">
        <f t="shared" si="30"/>
        <v>0</v>
      </c>
      <c r="H497" s="14">
        <v>0</v>
      </c>
      <c r="I497" s="14">
        <v>0</v>
      </c>
      <c r="J497" s="14">
        <f t="shared" si="31"/>
        <v>0</v>
      </c>
      <c r="K497" s="14">
        <v>0</v>
      </c>
      <c r="L497" s="14">
        <v>0</v>
      </c>
      <c r="M497" s="14">
        <f t="shared" si="34"/>
        <v>0</v>
      </c>
      <c r="N497" s="14">
        <f t="shared" si="34"/>
        <v>0</v>
      </c>
      <c r="O497" s="4">
        <f t="shared" si="34"/>
        <v>0</v>
      </c>
      <c r="P497" s="22"/>
    </row>
    <row r="498" spans="1:16" x14ac:dyDescent="0.4">
      <c r="A498" s="16">
        <v>42747</v>
      </c>
      <c r="B498" s="21">
        <v>19600</v>
      </c>
      <c r="C498" s="21">
        <v>19600</v>
      </c>
      <c r="D498" s="21">
        <v>19600</v>
      </c>
      <c r="E498" s="21">
        <v>19600</v>
      </c>
      <c r="F498" s="12">
        <v>0</v>
      </c>
      <c r="G498" s="14">
        <f t="shared" si="30"/>
        <v>0</v>
      </c>
      <c r="H498" s="14">
        <v>0</v>
      </c>
      <c r="I498" s="14">
        <v>0</v>
      </c>
      <c r="J498" s="14">
        <f t="shared" si="31"/>
        <v>0</v>
      </c>
      <c r="K498" s="14">
        <v>0</v>
      </c>
      <c r="L498" s="14">
        <v>0</v>
      </c>
      <c r="M498" s="14">
        <f t="shared" si="34"/>
        <v>0</v>
      </c>
      <c r="N498" s="14">
        <f t="shared" si="34"/>
        <v>0</v>
      </c>
      <c r="O498" s="4">
        <f t="shared" si="34"/>
        <v>0</v>
      </c>
      <c r="P498" s="22"/>
    </row>
    <row r="499" spans="1:16" x14ac:dyDescent="0.4">
      <c r="A499" s="16">
        <v>42748</v>
      </c>
      <c r="B499" s="21">
        <v>19600</v>
      </c>
      <c r="C499" s="21">
        <v>19600</v>
      </c>
      <c r="D499" s="21">
        <v>19600</v>
      </c>
      <c r="E499" s="21">
        <v>19600</v>
      </c>
      <c r="F499" s="12">
        <v>0</v>
      </c>
      <c r="G499" s="14">
        <f t="shared" si="30"/>
        <v>0</v>
      </c>
      <c r="H499" s="14">
        <v>0</v>
      </c>
      <c r="I499" s="14">
        <v>0</v>
      </c>
      <c r="J499" s="14">
        <f t="shared" si="31"/>
        <v>0</v>
      </c>
      <c r="K499" s="14">
        <v>0</v>
      </c>
      <c r="L499" s="14">
        <v>0</v>
      </c>
      <c r="M499" s="14">
        <f t="shared" si="34"/>
        <v>0</v>
      </c>
      <c r="N499" s="14">
        <f t="shared" si="34"/>
        <v>0</v>
      </c>
      <c r="O499" s="4">
        <f t="shared" si="34"/>
        <v>0</v>
      </c>
      <c r="P499" s="4">
        <f>IFERROR(SUM(L496:L499)/SUM(I496:I499),"")</f>
        <v>19500</v>
      </c>
    </row>
    <row r="500" spans="1:16" x14ac:dyDescent="0.4">
      <c r="A500" s="16">
        <v>42751</v>
      </c>
      <c r="B500" s="21">
        <v>19600</v>
      </c>
      <c r="C500" s="21">
        <v>19600</v>
      </c>
      <c r="D500" s="21">
        <v>19600</v>
      </c>
      <c r="E500" s="21">
        <v>19600</v>
      </c>
      <c r="F500" s="12">
        <v>0</v>
      </c>
      <c r="G500" s="14">
        <f t="shared" si="30"/>
        <v>0</v>
      </c>
      <c r="H500" s="14">
        <v>0</v>
      </c>
      <c r="I500" s="14">
        <v>0</v>
      </c>
      <c r="J500" s="14">
        <f t="shared" si="31"/>
        <v>0</v>
      </c>
      <c r="K500" s="14">
        <v>0</v>
      </c>
      <c r="L500" s="14">
        <v>0</v>
      </c>
      <c r="M500" s="14">
        <f t="shared" si="34"/>
        <v>0</v>
      </c>
      <c r="N500" s="14">
        <f t="shared" si="34"/>
        <v>0</v>
      </c>
      <c r="O500" s="4">
        <f t="shared" si="34"/>
        <v>0</v>
      </c>
      <c r="P500" s="22"/>
    </row>
    <row r="501" spans="1:16" x14ac:dyDescent="0.4">
      <c r="A501" s="16">
        <v>42752</v>
      </c>
      <c r="B501" s="21">
        <v>20500</v>
      </c>
      <c r="C501" s="21">
        <v>20500</v>
      </c>
      <c r="D501" s="21">
        <v>20500</v>
      </c>
      <c r="E501" s="21">
        <v>20500</v>
      </c>
      <c r="F501" s="12">
        <v>4.59</v>
      </c>
      <c r="G501" s="14">
        <f t="shared" si="30"/>
        <v>2850</v>
      </c>
      <c r="H501" s="14">
        <v>0</v>
      </c>
      <c r="I501" s="14">
        <v>2850</v>
      </c>
      <c r="J501" s="14">
        <f t="shared" si="31"/>
        <v>58425000</v>
      </c>
      <c r="K501" s="14">
        <v>0</v>
      </c>
      <c r="L501" s="14">
        <v>58425000</v>
      </c>
      <c r="M501" s="14">
        <f t="shared" si="34"/>
        <v>20500</v>
      </c>
      <c r="N501" s="14">
        <f t="shared" si="34"/>
        <v>0</v>
      </c>
      <c r="O501" s="4">
        <f t="shared" si="34"/>
        <v>20500</v>
      </c>
      <c r="P501" s="22"/>
    </row>
    <row r="502" spans="1:16" x14ac:dyDescent="0.4">
      <c r="A502" s="16">
        <v>42753</v>
      </c>
      <c r="B502" s="21">
        <v>20500</v>
      </c>
      <c r="C502" s="21">
        <v>20850</v>
      </c>
      <c r="D502" s="21">
        <v>20500</v>
      </c>
      <c r="E502" s="21">
        <v>20850</v>
      </c>
      <c r="F502" s="12">
        <v>1.71</v>
      </c>
      <c r="G502" s="14">
        <f t="shared" si="30"/>
        <v>150000</v>
      </c>
      <c r="H502" s="14">
        <v>0</v>
      </c>
      <c r="I502" s="14">
        <v>150000</v>
      </c>
      <c r="J502" s="14">
        <f t="shared" si="31"/>
        <v>3091500000</v>
      </c>
      <c r="K502" s="14">
        <v>0</v>
      </c>
      <c r="L502" s="14">
        <v>3091500000</v>
      </c>
      <c r="M502" s="14">
        <f t="shared" si="34"/>
        <v>20610</v>
      </c>
      <c r="N502" s="14">
        <f t="shared" si="34"/>
        <v>0</v>
      </c>
      <c r="O502" s="4">
        <f t="shared" si="34"/>
        <v>20610</v>
      </c>
      <c r="P502" s="22"/>
    </row>
    <row r="503" spans="1:16" x14ac:dyDescent="0.4">
      <c r="A503" s="16">
        <v>42754</v>
      </c>
      <c r="B503" s="21">
        <v>20850</v>
      </c>
      <c r="C503" s="21">
        <v>20850</v>
      </c>
      <c r="D503" s="21">
        <v>20850</v>
      </c>
      <c r="E503" s="21">
        <v>20850</v>
      </c>
      <c r="F503" s="12">
        <v>0</v>
      </c>
      <c r="G503" s="14">
        <f t="shared" si="30"/>
        <v>10000</v>
      </c>
      <c r="H503" s="14">
        <v>0</v>
      </c>
      <c r="I503" s="14">
        <v>10000</v>
      </c>
      <c r="J503" s="14">
        <f t="shared" si="31"/>
        <v>208500000</v>
      </c>
      <c r="K503" s="14">
        <v>0</v>
      </c>
      <c r="L503" s="14">
        <v>208500000</v>
      </c>
      <c r="M503" s="14">
        <f t="shared" si="34"/>
        <v>20850</v>
      </c>
      <c r="N503" s="14">
        <f t="shared" si="34"/>
        <v>0</v>
      </c>
      <c r="O503" s="4">
        <f t="shared" si="34"/>
        <v>20850</v>
      </c>
      <c r="P503" s="22"/>
    </row>
    <row r="504" spans="1:16" x14ac:dyDescent="0.4">
      <c r="A504" s="16">
        <v>42755</v>
      </c>
      <c r="B504" s="21">
        <v>20850</v>
      </c>
      <c r="C504" s="21">
        <v>20850</v>
      </c>
      <c r="D504" s="21">
        <v>20850</v>
      </c>
      <c r="E504" s="21">
        <v>20850</v>
      </c>
      <c r="F504" s="12">
        <v>0</v>
      </c>
      <c r="G504" s="14">
        <f t="shared" si="30"/>
        <v>20000</v>
      </c>
      <c r="H504" s="14">
        <v>0</v>
      </c>
      <c r="I504" s="14">
        <v>20000</v>
      </c>
      <c r="J504" s="14">
        <f t="shared" si="31"/>
        <v>417000000</v>
      </c>
      <c r="K504" s="14">
        <v>0</v>
      </c>
      <c r="L504" s="14">
        <v>417000000</v>
      </c>
      <c r="M504" s="14">
        <f t="shared" si="34"/>
        <v>20850</v>
      </c>
      <c r="N504" s="14">
        <f t="shared" si="34"/>
        <v>0</v>
      </c>
      <c r="O504" s="4">
        <f t="shared" si="34"/>
        <v>20850</v>
      </c>
      <c r="P504" s="4">
        <f>IFERROR(SUM(L501:L504)/SUM(I501:I504),"")</f>
        <v>20647.66201804758</v>
      </c>
    </row>
    <row r="505" spans="1:16" x14ac:dyDescent="0.4">
      <c r="A505" s="16">
        <v>42758</v>
      </c>
      <c r="B505" s="21">
        <v>20900</v>
      </c>
      <c r="C505" s="21">
        <v>20900</v>
      </c>
      <c r="D505" s="21">
        <v>20900</v>
      </c>
      <c r="E505" s="21">
        <v>20900</v>
      </c>
      <c r="F505" s="12">
        <v>0.24</v>
      </c>
      <c r="G505" s="14">
        <f t="shared" si="30"/>
        <v>20000</v>
      </c>
      <c r="H505" s="14">
        <v>0</v>
      </c>
      <c r="I505" s="14">
        <v>20000</v>
      </c>
      <c r="J505" s="14">
        <f t="shared" si="31"/>
        <v>418000000</v>
      </c>
      <c r="K505" s="14">
        <v>0</v>
      </c>
      <c r="L505" s="14">
        <v>418000000</v>
      </c>
      <c r="M505" s="14">
        <f t="shared" si="34"/>
        <v>20900</v>
      </c>
      <c r="N505" s="14">
        <f t="shared" si="34"/>
        <v>0</v>
      </c>
      <c r="O505" s="4">
        <f t="shared" si="34"/>
        <v>20900</v>
      </c>
      <c r="P505" s="22"/>
    </row>
    <row r="506" spans="1:16" x14ac:dyDescent="0.4">
      <c r="A506" s="16">
        <v>42759</v>
      </c>
      <c r="B506" s="21">
        <v>21000</v>
      </c>
      <c r="C506" s="21">
        <v>21000</v>
      </c>
      <c r="D506" s="21">
        <v>21000</v>
      </c>
      <c r="E506" s="21">
        <v>21000</v>
      </c>
      <c r="F506" s="12">
        <v>0.48</v>
      </c>
      <c r="G506" s="14">
        <f t="shared" si="30"/>
        <v>40000</v>
      </c>
      <c r="H506" s="14">
        <v>0</v>
      </c>
      <c r="I506" s="14">
        <v>40000</v>
      </c>
      <c r="J506" s="14">
        <f t="shared" si="31"/>
        <v>840000000</v>
      </c>
      <c r="K506" s="14">
        <v>0</v>
      </c>
      <c r="L506" s="14">
        <v>840000000</v>
      </c>
      <c r="M506" s="14">
        <f t="shared" si="34"/>
        <v>21000</v>
      </c>
      <c r="N506" s="14">
        <f t="shared" si="34"/>
        <v>0</v>
      </c>
      <c r="O506" s="4">
        <f t="shared" si="34"/>
        <v>21000</v>
      </c>
      <c r="P506" s="22"/>
    </row>
    <row r="507" spans="1:16" x14ac:dyDescent="0.4">
      <c r="A507" s="16">
        <v>42760</v>
      </c>
      <c r="B507" s="21">
        <v>21550</v>
      </c>
      <c r="C507" s="21">
        <v>22000</v>
      </c>
      <c r="D507" s="21">
        <v>21550</v>
      </c>
      <c r="E507" s="21">
        <v>22000</v>
      </c>
      <c r="F507" s="12">
        <v>4.76</v>
      </c>
      <c r="G507" s="14">
        <f t="shared" si="30"/>
        <v>15000</v>
      </c>
      <c r="H507" s="14">
        <v>0</v>
      </c>
      <c r="I507" s="14">
        <v>15000</v>
      </c>
      <c r="J507" s="14">
        <f t="shared" si="31"/>
        <v>325500000</v>
      </c>
      <c r="K507" s="14">
        <v>0</v>
      </c>
      <c r="L507" s="14">
        <v>325500000</v>
      </c>
      <c r="M507" s="14">
        <f t="shared" si="34"/>
        <v>21700</v>
      </c>
      <c r="N507" s="14">
        <f t="shared" si="34"/>
        <v>0</v>
      </c>
      <c r="O507" s="4">
        <f t="shared" si="34"/>
        <v>21700</v>
      </c>
      <c r="P507" s="22"/>
    </row>
    <row r="508" spans="1:16" x14ac:dyDescent="0.4">
      <c r="A508" s="16">
        <v>42761</v>
      </c>
      <c r="B508" s="21">
        <v>23000</v>
      </c>
      <c r="C508" s="21">
        <v>23000</v>
      </c>
      <c r="D508" s="21">
        <v>23000</v>
      </c>
      <c r="E508" s="21">
        <v>23000</v>
      </c>
      <c r="F508" s="12">
        <v>4.55</v>
      </c>
      <c r="G508" s="14">
        <f t="shared" si="30"/>
        <v>5000</v>
      </c>
      <c r="H508" s="14">
        <v>23883</v>
      </c>
      <c r="I508" s="14">
        <v>28883</v>
      </c>
      <c r="J508" s="14">
        <f t="shared" si="31"/>
        <v>115000000</v>
      </c>
      <c r="K508" s="14">
        <v>499155000</v>
      </c>
      <c r="L508" s="14">
        <v>614155000</v>
      </c>
      <c r="M508" s="14">
        <f t="shared" si="34"/>
        <v>23000</v>
      </c>
      <c r="N508" s="14">
        <f t="shared" si="34"/>
        <v>20900.012561236024</v>
      </c>
      <c r="O508" s="4">
        <f t="shared" si="34"/>
        <v>21263.546030536992</v>
      </c>
      <c r="P508" s="4">
        <f>IFERROR(SUM(L505:L508)/SUM(I505:I508),"")</f>
        <v>21155.097561679966</v>
      </c>
    </row>
    <row r="509" spans="1:16" x14ac:dyDescent="0.4">
      <c r="A509" s="16">
        <v>42766</v>
      </c>
      <c r="B509" s="21">
        <v>23000</v>
      </c>
      <c r="C509" s="21">
        <v>23000</v>
      </c>
      <c r="D509" s="21">
        <v>23000</v>
      </c>
      <c r="E509" s="21">
        <v>23000</v>
      </c>
      <c r="F509" s="12">
        <v>0</v>
      </c>
      <c r="G509" s="14">
        <f t="shared" si="30"/>
        <v>0</v>
      </c>
      <c r="H509" s="14">
        <v>0</v>
      </c>
      <c r="I509" s="14">
        <v>0</v>
      </c>
      <c r="J509" s="14">
        <f t="shared" si="31"/>
        <v>0</v>
      </c>
      <c r="K509" s="14">
        <v>0</v>
      </c>
      <c r="L509" s="14">
        <v>0</v>
      </c>
      <c r="M509" s="14">
        <f t="shared" si="34"/>
        <v>0</v>
      </c>
      <c r="N509" s="14">
        <f t="shared" si="34"/>
        <v>0</v>
      </c>
      <c r="O509" s="4">
        <f t="shared" si="34"/>
        <v>0</v>
      </c>
      <c r="P509" s="22"/>
    </row>
    <row r="510" spans="1:16" x14ac:dyDescent="0.4">
      <c r="A510" s="16">
        <v>42767</v>
      </c>
      <c r="B510" s="21">
        <v>23550</v>
      </c>
      <c r="C510" s="21">
        <v>23550</v>
      </c>
      <c r="D510" s="21">
        <v>23550</v>
      </c>
      <c r="E510" s="21">
        <v>23550</v>
      </c>
      <c r="F510" s="12">
        <v>2.39</v>
      </c>
      <c r="G510" s="14">
        <f t="shared" si="30"/>
        <v>20000</v>
      </c>
      <c r="H510" s="14">
        <v>0</v>
      </c>
      <c r="I510" s="14">
        <v>20000</v>
      </c>
      <c r="J510" s="14">
        <f t="shared" si="31"/>
        <v>471000000</v>
      </c>
      <c r="K510" s="14">
        <v>0</v>
      </c>
      <c r="L510" s="14">
        <v>471000000</v>
      </c>
      <c r="M510" s="14">
        <f t="shared" si="34"/>
        <v>23550</v>
      </c>
      <c r="N510" s="14">
        <f t="shared" si="34"/>
        <v>0</v>
      </c>
      <c r="O510" s="4">
        <f t="shared" si="34"/>
        <v>23550</v>
      </c>
      <c r="P510" s="22"/>
    </row>
    <row r="511" spans="1:16" x14ac:dyDescent="0.4">
      <c r="A511" s="16">
        <v>42768</v>
      </c>
      <c r="B511" s="21">
        <v>24300</v>
      </c>
      <c r="C511" s="21">
        <v>24300</v>
      </c>
      <c r="D511" s="21">
        <v>24300</v>
      </c>
      <c r="E511" s="21">
        <v>24300</v>
      </c>
      <c r="F511" s="12">
        <v>3.18</v>
      </c>
      <c r="G511" s="14">
        <f t="shared" si="30"/>
        <v>10000</v>
      </c>
      <c r="H511" s="14">
        <v>0</v>
      </c>
      <c r="I511" s="14">
        <v>10000</v>
      </c>
      <c r="J511" s="14">
        <f t="shared" si="31"/>
        <v>243000000</v>
      </c>
      <c r="K511" s="14">
        <v>0</v>
      </c>
      <c r="L511" s="14">
        <v>243000000</v>
      </c>
      <c r="M511" s="14">
        <f t="shared" si="34"/>
        <v>24300</v>
      </c>
      <c r="N511" s="14">
        <f t="shared" si="34"/>
        <v>0</v>
      </c>
      <c r="O511" s="4">
        <f t="shared" si="34"/>
        <v>24300</v>
      </c>
      <c r="P511" s="22"/>
    </row>
    <row r="512" spans="1:16" x14ac:dyDescent="0.4">
      <c r="A512" s="16">
        <v>42769</v>
      </c>
      <c r="B512" s="21">
        <v>24800</v>
      </c>
      <c r="C512" s="21">
        <v>25000</v>
      </c>
      <c r="D512" s="21">
        <v>24800</v>
      </c>
      <c r="E512" s="21">
        <v>25000</v>
      </c>
      <c r="F512" s="12">
        <v>2.88</v>
      </c>
      <c r="G512" s="14">
        <f t="shared" si="30"/>
        <v>25000</v>
      </c>
      <c r="H512" s="14">
        <v>0</v>
      </c>
      <c r="I512" s="14">
        <v>25000</v>
      </c>
      <c r="J512" s="14">
        <f t="shared" si="31"/>
        <v>621000000</v>
      </c>
      <c r="K512" s="14">
        <v>0</v>
      </c>
      <c r="L512" s="14">
        <v>621000000</v>
      </c>
      <c r="M512" s="14">
        <f t="shared" si="34"/>
        <v>24840</v>
      </c>
      <c r="N512" s="14">
        <f t="shared" si="34"/>
        <v>0</v>
      </c>
      <c r="O512" s="4">
        <f t="shared" si="34"/>
        <v>24840</v>
      </c>
      <c r="P512" s="4">
        <f>IFERROR(SUM(L509:L512)/SUM(I509:I512),"")</f>
        <v>24272.727272727272</v>
      </c>
    </row>
    <row r="513" spans="1:16" x14ac:dyDescent="0.4">
      <c r="A513" s="16">
        <v>42772</v>
      </c>
      <c r="B513" s="21">
        <v>26000</v>
      </c>
      <c r="C513" s="21">
        <v>26000</v>
      </c>
      <c r="D513" s="21">
        <v>26000</v>
      </c>
      <c r="E513" s="21">
        <v>26000</v>
      </c>
      <c r="F513" s="12">
        <v>4</v>
      </c>
      <c r="G513" s="14">
        <f t="shared" si="30"/>
        <v>5000</v>
      </c>
      <c r="H513" s="14">
        <v>0</v>
      </c>
      <c r="I513" s="14">
        <v>5000</v>
      </c>
      <c r="J513" s="14">
        <f t="shared" si="31"/>
        <v>130000000</v>
      </c>
      <c r="K513" s="14">
        <v>0</v>
      </c>
      <c r="L513" s="14">
        <v>130000000</v>
      </c>
      <c r="M513" s="14">
        <f t="shared" si="34"/>
        <v>26000</v>
      </c>
      <c r="N513" s="14">
        <f t="shared" si="34"/>
        <v>0</v>
      </c>
      <c r="O513" s="4">
        <f t="shared" si="34"/>
        <v>26000</v>
      </c>
      <c r="P513" s="22"/>
    </row>
    <row r="514" spans="1:16" x14ac:dyDescent="0.4">
      <c r="A514" s="16">
        <v>42773</v>
      </c>
      <c r="B514" s="21">
        <v>26000</v>
      </c>
      <c r="C514" s="21">
        <v>26500</v>
      </c>
      <c r="D514" s="21">
        <v>26000</v>
      </c>
      <c r="E514" s="21">
        <v>26500</v>
      </c>
      <c r="F514" s="12">
        <v>1.92</v>
      </c>
      <c r="G514" s="14">
        <f t="shared" si="30"/>
        <v>17500</v>
      </c>
      <c r="H514" s="14">
        <v>0</v>
      </c>
      <c r="I514" s="14">
        <v>17500</v>
      </c>
      <c r="J514" s="14">
        <f t="shared" si="31"/>
        <v>458750000</v>
      </c>
      <c r="K514" s="14">
        <v>0</v>
      </c>
      <c r="L514" s="14">
        <v>458750000</v>
      </c>
      <c r="M514" s="14">
        <f t="shared" si="34"/>
        <v>26214.285714285714</v>
      </c>
      <c r="N514" s="14">
        <f t="shared" si="34"/>
        <v>0</v>
      </c>
      <c r="O514" s="4">
        <f t="shared" si="34"/>
        <v>26214.285714285714</v>
      </c>
      <c r="P514" s="22"/>
    </row>
    <row r="515" spans="1:16" x14ac:dyDescent="0.4">
      <c r="A515" s="16">
        <v>42774</v>
      </c>
      <c r="B515" s="21">
        <v>26500</v>
      </c>
      <c r="C515" s="21">
        <v>26500</v>
      </c>
      <c r="D515" s="21">
        <v>26500</v>
      </c>
      <c r="E515" s="21">
        <v>26500</v>
      </c>
      <c r="F515" s="12">
        <v>0</v>
      </c>
      <c r="G515" s="14">
        <f t="shared" si="30"/>
        <v>10000</v>
      </c>
      <c r="H515" s="14">
        <v>0</v>
      </c>
      <c r="I515" s="14">
        <v>10000</v>
      </c>
      <c r="J515" s="14">
        <f t="shared" si="31"/>
        <v>265000000</v>
      </c>
      <c r="K515" s="14">
        <v>0</v>
      </c>
      <c r="L515" s="14">
        <v>265000000</v>
      </c>
      <c r="M515" s="14">
        <f t="shared" si="34"/>
        <v>26500</v>
      </c>
      <c r="N515" s="14">
        <f t="shared" si="34"/>
        <v>0</v>
      </c>
      <c r="O515" s="4">
        <f t="shared" si="34"/>
        <v>26500</v>
      </c>
      <c r="P515" s="22"/>
    </row>
    <row r="516" spans="1:16" x14ac:dyDescent="0.4">
      <c r="A516" s="16">
        <v>42775</v>
      </c>
      <c r="B516" s="21">
        <v>26450</v>
      </c>
      <c r="C516" s="21">
        <v>26450</v>
      </c>
      <c r="D516" s="21">
        <v>26450</v>
      </c>
      <c r="E516" s="21">
        <v>26450</v>
      </c>
      <c r="F516" s="12">
        <v>-0.19</v>
      </c>
      <c r="G516" s="14">
        <f t="shared" si="30"/>
        <v>0</v>
      </c>
      <c r="H516" s="14">
        <v>0</v>
      </c>
      <c r="I516" s="14">
        <v>0</v>
      </c>
      <c r="J516" s="14">
        <f t="shared" si="31"/>
        <v>0</v>
      </c>
      <c r="K516" s="14">
        <v>0</v>
      </c>
      <c r="L516" s="14">
        <v>0</v>
      </c>
      <c r="M516" s="14">
        <f t="shared" si="34"/>
        <v>0</v>
      </c>
      <c r="N516" s="14">
        <f t="shared" si="34"/>
        <v>0</v>
      </c>
      <c r="O516" s="4">
        <f t="shared" si="34"/>
        <v>0</v>
      </c>
      <c r="P516" s="22"/>
    </row>
    <row r="517" spans="1:16" x14ac:dyDescent="0.4">
      <c r="A517" s="16">
        <v>42776</v>
      </c>
      <c r="B517" s="21">
        <v>25000</v>
      </c>
      <c r="C517" s="21">
        <v>25000</v>
      </c>
      <c r="D517" s="21">
        <v>23850</v>
      </c>
      <c r="E517" s="21">
        <v>23850</v>
      </c>
      <c r="F517" s="12">
        <v>-9.83</v>
      </c>
      <c r="G517" s="14">
        <f t="shared" si="30"/>
        <v>50000</v>
      </c>
      <c r="H517" s="14">
        <v>0</v>
      </c>
      <c r="I517" s="14">
        <v>50000</v>
      </c>
      <c r="J517" s="14">
        <f t="shared" si="31"/>
        <v>1199125000</v>
      </c>
      <c r="K517" s="14">
        <v>0</v>
      </c>
      <c r="L517" s="14">
        <v>1199125000</v>
      </c>
      <c r="M517" s="14">
        <f t="shared" si="34"/>
        <v>23982.5</v>
      </c>
      <c r="N517" s="14">
        <f t="shared" si="34"/>
        <v>0</v>
      </c>
      <c r="O517" s="4">
        <f t="shared" si="34"/>
        <v>23982.5</v>
      </c>
      <c r="P517" s="4">
        <f>IFERROR(SUM(L513:L517)/SUM(I513:I517),"")</f>
        <v>24883.333333333332</v>
      </c>
    </row>
    <row r="518" spans="1:16" x14ac:dyDescent="0.4">
      <c r="A518" s="16">
        <v>42779</v>
      </c>
      <c r="B518" s="21">
        <v>25000</v>
      </c>
      <c r="C518" s="21">
        <v>25000</v>
      </c>
      <c r="D518" s="21">
        <v>25000</v>
      </c>
      <c r="E518" s="21">
        <v>25000</v>
      </c>
      <c r="F518" s="12">
        <v>4.82</v>
      </c>
      <c r="G518" s="14">
        <f t="shared" si="30"/>
        <v>1900</v>
      </c>
      <c r="H518" s="14">
        <v>0</v>
      </c>
      <c r="I518" s="14">
        <v>1900</v>
      </c>
      <c r="J518" s="14">
        <f t="shared" si="31"/>
        <v>47500000</v>
      </c>
      <c r="K518" s="14">
        <v>0</v>
      </c>
      <c r="L518" s="14">
        <v>47500000</v>
      </c>
      <c r="M518" s="14">
        <f t="shared" si="34"/>
        <v>25000</v>
      </c>
      <c r="N518" s="14">
        <f t="shared" si="34"/>
        <v>0</v>
      </c>
      <c r="O518" s="4">
        <f t="shared" si="34"/>
        <v>25000</v>
      </c>
      <c r="P518" s="22"/>
    </row>
    <row r="519" spans="1:16" x14ac:dyDescent="0.4">
      <c r="A519" s="16">
        <v>42780</v>
      </c>
      <c r="B519" s="21">
        <v>25000</v>
      </c>
      <c r="C519" s="21">
        <v>25000</v>
      </c>
      <c r="D519" s="21">
        <v>25000</v>
      </c>
      <c r="E519" s="21">
        <v>25000</v>
      </c>
      <c r="F519" s="12">
        <v>0</v>
      </c>
      <c r="G519" s="14">
        <f t="shared" si="30"/>
        <v>0</v>
      </c>
      <c r="H519" s="14">
        <v>0</v>
      </c>
      <c r="I519" s="14">
        <v>0</v>
      </c>
      <c r="J519" s="14">
        <f t="shared" si="31"/>
        <v>0</v>
      </c>
      <c r="K519" s="14">
        <v>0</v>
      </c>
      <c r="L519" s="14">
        <v>0</v>
      </c>
      <c r="M519" s="14">
        <f t="shared" si="34"/>
        <v>0</v>
      </c>
      <c r="N519" s="14">
        <f t="shared" si="34"/>
        <v>0</v>
      </c>
      <c r="O519" s="4">
        <f t="shared" si="34"/>
        <v>0</v>
      </c>
      <c r="P519" s="22"/>
    </row>
    <row r="520" spans="1:16" x14ac:dyDescent="0.4">
      <c r="A520" s="16">
        <v>42781</v>
      </c>
      <c r="B520" s="21">
        <v>25000</v>
      </c>
      <c r="C520" s="21">
        <v>25000</v>
      </c>
      <c r="D520" s="21">
        <v>25000</v>
      </c>
      <c r="E520" s="21">
        <v>25000</v>
      </c>
      <c r="F520" s="12">
        <v>0</v>
      </c>
      <c r="G520" s="14">
        <f t="shared" si="30"/>
        <v>0</v>
      </c>
      <c r="H520" s="14">
        <v>0</v>
      </c>
      <c r="I520" s="14">
        <v>0</v>
      </c>
      <c r="J520" s="14">
        <f t="shared" si="31"/>
        <v>0</v>
      </c>
      <c r="K520" s="14">
        <v>0</v>
      </c>
      <c r="L520" s="14">
        <v>0</v>
      </c>
      <c r="M520" s="14">
        <f t="shared" si="34"/>
        <v>0</v>
      </c>
      <c r="N520" s="14">
        <f t="shared" si="34"/>
        <v>0</v>
      </c>
      <c r="O520" s="4">
        <f t="shared" si="34"/>
        <v>0</v>
      </c>
      <c r="P520" s="22"/>
    </row>
    <row r="521" spans="1:16" x14ac:dyDescent="0.4">
      <c r="A521" s="16">
        <v>42782</v>
      </c>
      <c r="B521" s="21">
        <v>24000</v>
      </c>
      <c r="C521" s="21">
        <v>24000</v>
      </c>
      <c r="D521" s="21">
        <v>24000</v>
      </c>
      <c r="E521" s="21">
        <v>24000</v>
      </c>
      <c r="F521" s="12">
        <v>-4</v>
      </c>
      <c r="G521" s="14">
        <f t="shared" si="30"/>
        <v>3000</v>
      </c>
      <c r="H521" s="14">
        <v>0</v>
      </c>
      <c r="I521" s="14">
        <v>3000</v>
      </c>
      <c r="J521" s="14">
        <f t="shared" si="31"/>
        <v>72000000</v>
      </c>
      <c r="K521" s="14">
        <v>0</v>
      </c>
      <c r="L521" s="14">
        <v>72000000</v>
      </c>
      <c r="M521" s="14">
        <f t="shared" si="34"/>
        <v>24000</v>
      </c>
      <c r="N521" s="14">
        <f t="shared" si="34"/>
        <v>0</v>
      </c>
      <c r="O521" s="4">
        <f t="shared" si="34"/>
        <v>24000</v>
      </c>
      <c r="P521" s="22"/>
    </row>
    <row r="522" spans="1:16" x14ac:dyDescent="0.4">
      <c r="A522" s="16">
        <v>42783</v>
      </c>
      <c r="B522" s="21">
        <v>24000</v>
      </c>
      <c r="C522" s="21">
        <v>24000</v>
      </c>
      <c r="D522" s="21">
        <v>24000</v>
      </c>
      <c r="E522" s="21">
        <v>24000</v>
      </c>
      <c r="F522" s="12">
        <v>0</v>
      </c>
      <c r="G522" s="14">
        <f t="shared" si="30"/>
        <v>5000</v>
      </c>
      <c r="H522" s="14">
        <v>0</v>
      </c>
      <c r="I522" s="14">
        <v>5000</v>
      </c>
      <c r="J522" s="14">
        <f t="shared" si="31"/>
        <v>120000000</v>
      </c>
      <c r="K522" s="14">
        <v>0</v>
      </c>
      <c r="L522" s="14">
        <v>120000000</v>
      </c>
      <c r="M522" s="14">
        <f t="shared" si="34"/>
        <v>24000</v>
      </c>
      <c r="N522" s="14">
        <f t="shared" si="34"/>
        <v>0</v>
      </c>
      <c r="O522" s="4">
        <f t="shared" si="34"/>
        <v>24000</v>
      </c>
      <c r="P522" s="4">
        <f>IFERROR(SUM(L518:L522)/SUM(I518:I522),"")</f>
        <v>24191.919191919191</v>
      </c>
    </row>
    <row r="523" spans="1:16" x14ac:dyDescent="0.4">
      <c r="A523" s="16">
        <v>42786</v>
      </c>
      <c r="B523" s="21">
        <v>24000</v>
      </c>
      <c r="C523" s="21">
        <v>24000</v>
      </c>
      <c r="D523" s="21">
        <v>24000</v>
      </c>
      <c r="E523" s="21">
        <v>24000</v>
      </c>
      <c r="F523" s="12">
        <v>0</v>
      </c>
      <c r="G523" s="14">
        <f t="shared" si="30"/>
        <v>3000</v>
      </c>
      <c r="H523" s="14">
        <v>0</v>
      </c>
      <c r="I523" s="14">
        <v>3000</v>
      </c>
      <c r="J523" s="14">
        <f t="shared" si="31"/>
        <v>72000000</v>
      </c>
      <c r="K523" s="14">
        <v>0</v>
      </c>
      <c r="L523" s="14">
        <v>72000000</v>
      </c>
      <c r="M523" s="14">
        <f t="shared" si="34"/>
        <v>24000</v>
      </c>
      <c r="N523" s="14">
        <f t="shared" si="34"/>
        <v>0</v>
      </c>
      <c r="O523" s="4">
        <f t="shared" si="34"/>
        <v>24000</v>
      </c>
      <c r="P523" s="22"/>
    </row>
    <row r="524" spans="1:16" x14ac:dyDescent="0.4">
      <c r="A524" s="16">
        <v>42787</v>
      </c>
      <c r="B524" s="21">
        <v>24000</v>
      </c>
      <c r="C524" s="21">
        <v>24000</v>
      </c>
      <c r="D524" s="21">
        <v>24000</v>
      </c>
      <c r="E524" s="21">
        <v>24000</v>
      </c>
      <c r="F524" s="12">
        <v>0</v>
      </c>
      <c r="G524" s="14">
        <f t="shared" si="30"/>
        <v>3000</v>
      </c>
      <c r="H524" s="14">
        <v>0</v>
      </c>
      <c r="I524" s="14">
        <v>3000</v>
      </c>
      <c r="J524" s="14">
        <f t="shared" si="31"/>
        <v>72000000</v>
      </c>
      <c r="K524" s="14">
        <v>0</v>
      </c>
      <c r="L524" s="14">
        <v>72000000</v>
      </c>
      <c r="M524" s="14">
        <f t="shared" si="34"/>
        <v>24000</v>
      </c>
      <c r="N524" s="14">
        <f t="shared" si="34"/>
        <v>0</v>
      </c>
      <c r="O524" s="4">
        <f t="shared" si="34"/>
        <v>24000</v>
      </c>
      <c r="P524" s="22"/>
    </row>
    <row r="525" spans="1:16" x14ac:dyDescent="0.4">
      <c r="A525" s="16">
        <v>42788</v>
      </c>
      <c r="B525" s="21">
        <v>24000</v>
      </c>
      <c r="C525" s="21">
        <v>24000</v>
      </c>
      <c r="D525" s="21">
        <v>24000</v>
      </c>
      <c r="E525" s="21">
        <v>24000</v>
      </c>
      <c r="F525" s="12">
        <v>0</v>
      </c>
      <c r="G525" s="14">
        <f t="shared" si="30"/>
        <v>17284</v>
      </c>
      <c r="H525" s="14">
        <v>0</v>
      </c>
      <c r="I525" s="14">
        <v>17284</v>
      </c>
      <c r="J525" s="14">
        <f t="shared" si="31"/>
        <v>414816000</v>
      </c>
      <c r="K525" s="14">
        <v>0</v>
      </c>
      <c r="L525" s="14">
        <v>414816000</v>
      </c>
      <c r="M525" s="14">
        <f t="shared" si="34"/>
        <v>24000</v>
      </c>
      <c r="N525" s="14">
        <f t="shared" si="34"/>
        <v>0</v>
      </c>
      <c r="O525" s="4">
        <f t="shared" si="34"/>
        <v>24000</v>
      </c>
      <c r="P525" s="22"/>
    </row>
    <row r="526" spans="1:16" x14ac:dyDescent="0.4">
      <c r="A526" s="16">
        <v>42789</v>
      </c>
      <c r="B526" s="21">
        <v>23600</v>
      </c>
      <c r="C526" s="21">
        <v>24000</v>
      </c>
      <c r="D526" s="21">
        <v>23600</v>
      </c>
      <c r="E526" s="21">
        <v>23800</v>
      </c>
      <c r="F526" s="12">
        <v>-0.83</v>
      </c>
      <c r="G526" s="14">
        <f t="shared" si="30"/>
        <v>39165</v>
      </c>
      <c r="H526" s="14">
        <v>0</v>
      </c>
      <c r="I526" s="14">
        <v>39165</v>
      </c>
      <c r="J526" s="14">
        <f t="shared" si="31"/>
        <v>937410000</v>
      </c>
      <c r="K526" s="14">
        <v>0</v>
      </c>
      <c r="L526" s="14">
        <v>937410000</v>
      </c>
      <c r="M526" s="14">
        <f t="shared" si="34"/>
        <v>23934.890846418995</v>
      </c>
      <c r="N526" s="14">
        <f t="shared" si="34"/>
        <v>0</v>
      </c>
      <c r="O526" s="4">
        <f t="shared" si="34"/>
        <v>23934.890846418995</v>
      </c>
      <c r="P526" s="22"/>
    </row>
    <row r="527" spans="1:16" x14ac:dyDescent="0.4">
      <c r="A527" s="16">
        <v>42790</v>
      </c>
      <c r="B527" s="21">
        <v>24000</v>
      </c>
      <c r="C527" s="21">
        <v>24000</v>
      </c>
      <c r="D527" s="21">
        <v>24000</v>
      </c>
      <c r="E527" s="21">
        <v>24000</v>
      </c>
      <c r="F527" s="12">
        <v>0.84</v>
      </c>
      <c r="G527" s="14">
        <f t="shared" si="30"/>
        <v>8400</v>
      </c>
      <c r="H527" s="14">
        <v>50000</v>
      </c>
      <c r="I527" s="14">
        <v>58400</v>
      </c>
      <c r="J527" s="14">
        <f t="shared" si="31"/>
        <v>201600000</v>
      </c>
      <c r="K527" s="14">
        <v>1200000000</v>
      </c>
      <c r="L527" s="14">
        <v>1401600000</v>
      </c>
      <c r="M527" s="14">
        <f t="shared" si="34"/>
        <v>24000</v>
      </c>
      <c r="N527" s="14">
        <f t="shared" si="34"/>
        <v>24000</v>
      </c>
      <c r="O527" s="4">
        <f t="shared" si="34"/>
        <v>24000</v>
      </c>
      <c r="P527" s="4">
        <f>IFERROR(SUM(L523:L527)/SUM(I523:I527),"")</f>
        <v>23978.899287540651</v>
      </c>
    </row>
    <row r="528" spans="1:16" x14ac:dyDescent="0.4">
      <c r="A528" s="16">
        <v>42793</v>
      </c>
      <c r="B528" s="21">
        <v>23800</v>
      </c>
      <c r="C528" s="21">
        <v>24000</v>
      </c>
      <c r="D528" s="21">
        <v>23800</v>
      </c>
      <c r="E528" s="21">
        <v>24000</v>
      </c>
      <c r="F528" s="12">
        <v>0</v>
      </c>
      <c r="G528" s="14">
        <f t="shared" si="30"/>
        <v>18500</v>
      </c>
      <c r="H528" s="14">
        <v>26711</v>
      </c>
      <c r="I528" s="14">
        <v>45211</v>
      </c>
      <c r="J528" s="14">
        <f t="shared" si="31"/>
        <v>440800000</v>
      </c>
      <c r="K528" s="14">
        <v>641064000</v>
      </c>
      <c r="L528" s="14">
        <v>1081864000</v>
      </c>
      <c r="M528" s="14">
        <f t="shared" si="34"/>
        <v>23827.027027027027</v>
      </c>
      <c r="N528" s="14">
        <f t="shared" si="34"/>
        <v>24000</v>
      </c>
      <c r="O528" s="4">
        <f t="shared" si="34"/>
        <v>23929.22076485811</v>
      </c>
      <c r="P528" s="22"/>
    </row>
    <row r="529" spans="1:16" x14ac:dyDescent="0.4">
      <c r="A529" s="16">
        <v>42794</v>
      </c>
      <c r="B529" s="21">
        <v>23900</v>
      </c>
      <c r="C529" s="21">
        <v>23900</v>
      </c>
      <c r="D529" s="21">
        <v>23900</v>
      </c>
      <c r="E529" s="21">
        <v>23900</v>
      </c>
      <c r="F529" s="12">
        <v>-0.42</v>
      </c>
      <c r="G529" s="14">
        <f t="shared" si="30"/>
        <v>25000</v>
      </c>
      <c r="H529" s="14">
        <v>0</v>
      </c>
      <c r="I529" s="14">
        <v>25000</v>
      </c>
      <c r="J529" s="14">
        <f t="shared" si="31"/>
        <v>597500000</v>
      </c>
      <c r="K529" s="14">
        <v>0</v>
      </c>
      <c r="L529" s="14">
        <v>597500000</v>
      </c>
      <c r="M529" s="14">
        <f t="shared" si="34"/>
        <v>23900</v>
      </c>
      <c r="N529" s="14">
        <f t="shared" si="34"/>
        <v>0</v>
      </c>
      <c r="O529" s="4">
        <f t="shared" si="34"/>
        <v>23900</v>
      </c>
      <c r="P529" s="22"/>
    </row>
    <row r="530" spans="1:16" x14ac:dyDescent="0.4">
      <c r="A530" s="16">
        <v>42796</v>
      </c>
      <c r="B530" s="21">
        <v>23900</v>
      </c>
      <c r="C530" s="21">
        <v>23900</v>
      </c>
      <c r="D530" s="21">
        <v>23800</v>
      </c>
      <c r="E530" s="21">
        <v>23800</v>
      </c>
      <c r="F530" s="12">
        <v>-0.42</v>
      </c>
      <c r="G530" s="14">
        <f t="shared" si="30"/>
        <v>7500</v>
      </c>
      <c r="H530" s="14">
        <v>0</v>
      </c>
      <c r="I530" s="14">
        <v>7500</v>
      </c>
      <c r="J530" s="14">
        <f t="shared" si="31"/>
        <v>178550000</v>
      </c>
      <c r="K530" s="14">
        <v>0</v>
      </c>
      <c r="L530" s="14">
        <v>178550000</v>
      </c>
      <c r="M530" s="14">
        <f t="shared" si="34"/>
        <v>23806.666666666668</v>
      </c>
      <c r="N530" s="14">
        <f t="shared" si="34"/>
        <v>0</v>
      </c>
      <c r="O530" s="4">
        <f t="shared" si="34"/>
        <v>23806.666666666668</v>
      </c>
      <c r="P530" s="22"/>
    </row>
    <row r="531" spans="1:16" x14ac:dyDescent="0.4">
      <c r="A531" s="16">
        <v>42797</v>
      </c>
      <c r="B531" s="21">
        <v>23800</v>
      </c>
      <c r="C531" s="21">
        <v>23800</v>
      </c>
      <c r="D531" s="21">
        <v>23800</v>
      </c>
      <c r="E531" s="21">
        <v>23800</v>
      </c>
      <c r="F531" s="12">
        <v>0</v>
      </c>
      <c r="G531" s="14">
        <f t="shared" si="30"/>
        <v>0</v>
      </c>
      <c r="H531" s="14">
        <v>0</v>
      </c>
      <c r="I531" s="14">
        <v>0</v>
      </c>
      <c r="J531" s="14">
        <f t="shared" si="31"/>
        <v>0</v>
      </c>
      <c r="K531" s="14">
        <v>0</v>
      </c>
      <c r="L531" s="14">
        <v>0</v>
      </c>
      <c r="M531" s="14">
        <f t="shared" si="34"/>
        <v>0</v>
      </c>
      <c r="N531" s="14">
        <f t="shared" si="34"/>
        <v>0</v>
      </c>
      <c r="O531" s="4">
        <f t="shared" si="34"/>
        <v>0</v>
      </c>
      <c r="P531" s="4">
        <f>IFERROR(SUM(L528:L531)/SUM(I528:I531),"")</f>
        <v>23907.992433503623</v>
      </c>
    </row>
    <row r="532" spans="1:16" x14ac:dyDescent="0.4">
      <c r="A532" s="16">
        <v>42800</v>
      </c>
      <c r="B532" s="21">
        <v>23700</v>
      </c>
      <c r="C532" s="21">
        <v>23700</v>
      </c>
      <c r="D532" s="21">
        <v>23700</v>
      </c>
      <c r="E532" s="21">
        <v>23700</v>
      </c>
      <c r="F532" s="12">
        <v>-0.42</v>
      </c>
      <c r="G532" s="14">
        <f t="shared" si="30"/>
        <v>10532</v>
      </c>
      <c r="H532" s="14">
        <v>0</v>
      </c>
      <c r="I532" s="14">
        <v>10532</v>
      </c>
      <c r="J532" s="14">
        <f t="shared" si="31"/>
        <v>249608000</v>
      </c>
      <c r="K532" s="14">
        <v>0</v>
      </c>
      <c r="L532" s="14">
        <v>249608000</v>
      </c>
      <c r="M532" s="14">
        <f t="shared" si="34"/>
        <v>23699.962020508927</v>
      </c>
      <c r="N532" s="14">
        <f t="shared" si="34"/>
        <v>0</v>
      </c>
      <c r="O532" s="4">
        <f t="shared" si="34"/>
        <v>23699.962020508927</v>
      </c>
      <c r="P532" s="22"/>
    </row>
    <row r="533" spans="1:16" x14ac:dyDescent="0.4">
      <c r="A533" s="16">
        <v>42801</v>
      </c>
      <c r="B533" s="21">
        <v>23700</v>
      </c>
      <c r="C533" s="21">
        <v>23700</v>
      </c>
      <c r="D533" s="21">
        <v>23700</v>
      </c>
      <c r="E533" s="21">
        <v>23700</v>
      </c>
      <c r="F533" s="12">
        <v>0</v>
      </c>
      <c r="G533" s="14">
        <f t="shared" si="30"/>
        <v>0</v>
      </c>
      <c r="H533" s="14">
        <v>0</v>
      </c>
      <c r="I533" s="14">
        <v>0</v>
      </c>
      <c r="J533" s="14">
        <f t="shared" si="31"/>
        <v>0</v>
      </c>
      <c r="K533" s="14">
        <v>0</v>
      </c>
      <c r="L533" s="14">
        <v>0</v>
      </c>
      <c r="M533" s="14">
        <f t="shared" si="34"/>
        <v>0</v>
      </c>
      <c r="N533" s="14">
        <f t="shared" si="34"/>
        <v>0</v>
      </c>
      <c r="O533" s="4">
        <f t="shared" si="34"/>
        <v>0</v>
      </c>
      <c r="P533" s="22"/>
    </row>
    <row r="534" spans="1:16" x14ac:dyDescent="0.4">
      <c r="A534" s="16">
        <v>42802</v>
      </c>
      <c r="B534" s="21">
        <v>23000</v>
      </c>
      <c r="C534" s="21">
        <v>23000</v>
      </c>
      <c r="D534" s="21">
        <v>23000</v>
      </c>
      <c r="E534" s="21">
        <v>23000</v>
      </c>
      <c r="F534" s="12">
        <v>-2.95</v>
      </c>
      <c r="G534" s="14">
        <f t="shared" si="30"/>
        <v>0</v>
      </c>
      <c r="H534" s="14">
        <v>0</v>
      </c>
      <c r="I534" s="14">
        <v>0</v>
      </c>
      <c r="J534" s="14">
        <f t="shared" si="31"/>
        <v>0</v>
      </c>
      <c r="K534" s="14">
        <v>0</v>
      </c>
      <c r="L534" s="14">
        <v>0</v>
      </c>
      <c r="M534" s="14">
        <f t="shared" si="34"/>
        <v>0</v>
      </c>
      <c r="N534" s="14">
        <f t="shared" si="34"/>
        <v>0</v>
      </c>
      <c r="O534" s="4">
        <f t="shared" si="34"/>
        <v>0</v>
      </c>
      <c r="P534" s="22"/>
    </row>
    <row r="535" spans="1:16" x14ac:dyDescent="0.4">
      <c r="A535" s="16">
        <v>42803</v>
      </c>
      <c r="B535" s="21">
        <v>22900</v>
      </c>
      <c r="C535" s="21">
        <v>22900</v>
      </c>
      <c r="D535" s="21">
        <v>22900</v>
      </c>
      <c r="E535" s="21">
        <v>22900</v>
      </c>
      <c r="F535" s="12">
        <v>-0.43</v>
      </c>
      <c r="G535" s="14">
        <f t="shared" si="30"/>
        <v>10000</v>
      </c>
      <c r="H535" s="14">
        <v>0</v>
      </c>
      <c r="I535" s="14">
        <v>10000</v>
      </c>
      <c r="J535" s="14">
        <f t="shared" si="31"/>
        <v>229500000</v>
      </c>
      <c r="K535" s="14">
        <v>0</v>
      </c>
      <c r="L535" s="14">
        <v>229500000</v>
      </c>
      <c r="M535" s="14">
        <f t="shared" si="34"/>
        <v>22950</v>
      </c>
      <c r="N535" s="14">
        <f t="shared" si="34"/>
        <v>0</v>
      </c>
      <c r="O535" s="4">
        <f t="shared" si="34"/>
        <v>22950</v>
      </c>
      <c r="P535" s="22"/>
    </row>
    <row r="536" spans="1:16" x14ac:dyDescent="0.4">
      <c r="A536" s="16">
        <v>42804</v>
      </c>
      <c r="B536" s="21">
        <v>22200</v>
      </c>
      <c r="C536" s="21">
        <v>22200</v>
      </c>
      <c r="D536" s="21">
        <v>22200</v>
      </c>
      <c r="E536" s="21">
        <v>22200</v>
      </c>
      <c r="F536" s="12">
        <v>-3.06</v>
      </c>
      <c r="G536" s="14">
        <f t="shared" si="30"/>
        <v>5000</v>
      </c>
      <c r="H536" s="14">
        <v>0</v>
      </c>
      <c r="I536" s="14">
        <v>5000</v>
      </c>
      <c r="J536" s="14">
        <f t="shared" si="31"/>
        <v>111000000</v>
      </c>
      <c r="K536" s="14">
        <v>0</v>
      </c>
      <c r="L536" s="14">
        <v>111000000</v>
      </c>
      <c r="M536" s="14">
        <f t="shared" si="34"/>
        <v>22200</v>
      </c>
      <c r="N536" s="14">
        <f t="shared" si="34"/>
        <v>0</v>
      </c>
      <c r="O536" s="4">
        <f t="shared" si="34"/>
        <v>22200</v>
      </c>
      <c r="P536" s="4">
        <f>IFERROR(SUM(L532:L536)/SUM(I532:I536),"")</f>
        <v>23112.486291712361</v>
      </c>
    </row>
    <row r="537" spans="1:16" x14ac:dyDescent="0.4">
      <c r="A537" s="16">
        <v>42807</v>
      </c>
      <c r="B537" s="21">
        <v>22000</v>
      </c>
      <c r="C537" s="21">
        <v>22000</v>
      </c>
      <c r="D537" s="21">
        <v>22000</v>
      </c>
      <c r="E537" s="21">
        <v>22000</v>
      </c>
      <c r="F537" s="12">
        <v>-0.9</v>
      </c>
      <c r="G537" s="14">
        <f t="shared" si="30"/>
        <v>25000</v>
      </c>
      <c r="H537" s="14">
        <v>0</v>
      </c>
      <c r="I537" s="14">
        <v>25000</v>
      </c>
      <c r="J537" s="14">
        <f t="shared" si="31"/>
        <v>550000000</v>
      </c>
      <c r="K537" s="14">
        <v>0</v>
      </c>
      <c r="L537" s="14">
        <v>550000000</v>
      </c>
      <c r="M537" s="14">
        <f t="shared" si="34"/>
        <v>22000</v>
      </c>
      <c r="N537" s="14">
        <f t="shared" si="34"/>
        <v>0</v>
      </c>
      <c r="O537" s="4">
        <f t="shared" si="34"/>
        <v>22000</v>
      </c>
      <c r="P537" s="22"/>
    </row>
    <row r="538" spans="1:16" x14ac:dyDescent="0.4">
      <c r="A538" s="16">
        <v>42808</v>
      </c>
      <c r="B538" s="21">
        <v>21800</v>
      </c>
      <c r="C538" s="21">
        <v>21800</v>
      </c>
      <c r="D538" s="21">
        <v>21500</v>
      </c>
      <c r="E538" s="21">
        <v>21500</v>
      </c>
      <c r="F538" s="12">
        <v>-2.27</v>
      </c>
      <c r="G538" s="14">
        <f t="shared" si="30"/>
        <v>18000</v>
      </c>
      <c r="H538" s="14">
        <v>410000</v>
      </c>
      <c r="I538" s="14">
        <v>428000</v>
      </c>
      <c r="J538" s="14">
        <f t="shared" si="31"/>
        <v>388500000</v>
      </c>
      <c r="K538" s="14">
        <v>9102000000</v>
      </c>
      <c r="L538" s="14">
        <v>9490500000</v>
      </c>
      <c r="M538" s="14">
        <f t="shared" si="34"/>
        <v>21583.333333333332</v>
      </c>
      <c r="N538" s="14">
        <f t="shared" si="34"/>
        <v>22200</v>
      </c>
      <c r="O538" s="4">
        <f t="shared" si="34"/>
        <v>22174.065420560746</v>
      </c>
      <c r="P538" s="22"/>
    </row>
    <row r="539" spans="1:16" x14ac:dyDescent="0.4">
      <c r="A539" s="16">
        <v>42809</v>
      </c>
      <c r="B539" s="21">
        <v>21300</v>
      </c>
      <c r="C539" s="21">
        <v>21400</v>
      </c>
      <c r="D539" s="21">
        <v>21300</v>
      </c>
      <c r="E539" s="21">
        <v>21400</v>
      </c>
      <c r="F539" s="12">
        <v>-0.47</v>
      </c>
      <c r="G539" s="14">
        <f t="shared" si="30"/>
        <v>20000</v>
      </c>
      <c r="H539" s="14">
        <v>180000</v>
      </c>
      <c r="I539" s="14">
        <v>200000</v>
      </c>
      <c r="J539" s="14">
        <f t="shared" si="31"/>
        <v>427500000</v>
      </c>
      <c r="K539" s="14">
        <v>3870000000</v>
      </c>
      <c r="L539" s="14">
        <v>4297500000</v>
      </c>
      <c r="M539" s="14">
        <f t="shared" si="34"/>
        <v>21375</v>
      </c>
      <c r="N539" s="14">
        <f t="shared" si="34"/>
        <v>21500</v>
      </c>
      <c r="O539" s="4">
        <f t="shared" si="34"/>
        <v>21487.5</v>
      </c>
      <c r="P539" s="22"/>
    </row>
    <row r="540" spans="1:16" x14ac:dyDescent="0.4">
      <c r="A540" s="16">
        <v>42810</v>
      </c>
      <c r="B540" s="21">
        <v>21400</v>
      </c>
      <c r="C540" s="21">
        <v>21400</v>
      </c>
      <c r="D540" s="21">
        <v>21400</v>
      </c>
      <c r="E540" s="21">
        <v>21400</v>
      </c>
      <c r="F540" s="12">
        <v>0</v>
      </c>
      <c r="G540" s="14">
        <f t="shared" si="30"/>
        <v>5000</v>
      </c>
      <c r="H540" s="14">
        <v>100000</v>
      </c>
      <c r="I540" s="14">
        <v>105000</v>
      </c>
      <c r="J540" s="14">
        <f t="shared" si="31"/>
        <v>107000000</v>
      </c>
      <c r="K540" s="14">
        <v>2140000000</v>
      </c>
      <c r="L540" s="14">
        <v>2247000000</v>
      </c>
      <c r="M540" s="14">
        <f t="shared" si="34"/>
        <v>21400</v>
      </c>
      <c r="N540" s="14">
        <f t="shared" si="34"/>
        <v>21400</v>
      </c>
      <c r="O540" s="4">
        <f t="shared" si="34"/>
        <v>21400</v>
      </c>
      <c r="P540" s="22"/>
    </row>
    <row r="541" spans="1:16" x14ac:dyDescent="0.4">
      <c r="A541" s="16">
        <v>42811</v>
      </c>
      <c r="B541" s="21">
        <v>21400</v>
      </c>
      <c r="C541" s="21">
        <v>21400</v>
      </c>
      <c r="D541" s="21">
        <v>21400</v>
      </c>
      <c r="E541" s="21">
        <v>21400</v>
      </c>
      <c r="F541" s="12">
        <v>0</v>
      </c>
      <c r="G541" s="14">
        <f t="shared" si="30"/>
        <v>0</v>
      </c>
      <c r="H541" s="14">
        <v>300000</v>
      </c>
      <c r="I541" s="14">
        <v>300000</v>
      </c>
      <c r="J541" s="14">
        <f t="shared" si="31"/>
        <v>0</v>
      </c>
      <c r="K541" s="14">
        <v>6420000000</v>
      </c>
      <c r="L541" s="14">
        <v>6420000000</v>
      </c>
      <c r="M541" s="14">
        <f t="shared" si="34"/>
        <v>0</v>
      </c>
      <c r="N541" s="14">
        <f t="shared" si="34"/>
        <v>21400</v>
      </c>
      <c r="O541" s="4">
        <f t="shared" si="34"/>
        <v>21400</v>
      </c>
      <c r="P541" s="4">
        <f>IFERROR(SUM(L537:L541)/SUM(I537:I541),"")</f>
        <v>21743.856332703213</v>
      </c>
    </row>
    <row r="542" spans="1:16" x14ac:dyDescent="0.4">
      <c r="A542" s="16">
        <v>42814</v>
      </c>
      <c r="B542" s="21">
        <v>22000</v>
      </c>
      <c r="C542" s="21">
        <v>22000</v>
      </c>
      <c r="D542" s="21">
        <v>21300</v>
      </c>
      <c r="E542" s="21">
        <v>21300</v>
      </c>
      <c r="F542" s="12">
        <v>-0.47</v>
      </c>
      <c r="G542" s="14">
        <f t="shared" si="30"/>
        <v>5000</v>
      </c>
      <c r="H542" s="14">
        <v>0</v>
      </c>
      <c r="I542" s="14">
        <v>5000</v>
      </c>
      <c r="J542" s="14">
        <f t="shared" si="31"/>
        <v>108600000</v>
      </c>
      <c r="K542" s="14">
        <v>0</v>
      </c>
      <c r="L542" s="14">
        <v>108600000</v>
      </c>
      <c r="M542" s="14">
        <f t="shared" si="34"/>
        <v>21720</v>
      </c>
      <c r="N542" s="14">
        <f t="shared" si="34"/>
        <v>0</v>
      </c>
      <c r="O542" s="4">
        <f t="shared" si="34"/>
        <v>21720</v>
      </c>
      <c r="P542" s="22"/>
    </row>
    <row r="543" spans="1:16" x14ac:dyDescent="0.4">
      <c r="A543" s="16">
        <v>42815</v>
      </c>
      <c r="B543" s="21">
        <v>21000</v>
      </c>
      <c r="C543" s="21">
        <v>21000</v>
      </c>
      <c r="D543" s="21">
        <v>21000</v>
      </c>
      <c r="E543" s="21">
        <v>21000</v>
      </c>
      <c r="F543" s="12">
        <v>-1.41</v>
      </c>
      <c r="G543" s="14">
        <f t="shared" si="30"/>
        <v>13859</v>
      </c>
      <c r="H543" s="14">
        <v>140000</v>
      </c>
      <c r="I543" s="14">
        <v>153859</v>
      </c>
      <c r="J543" s="14">
        <f t="shared" si="31"/>
        <v>291039000</v>
      </c>
      <c r="K543" s="14">
        <v>2976000000</v>
      </c>
      <c r="L543" s="14">
        <v>3267039000</v>
      </c>
      <c r="M543" s="14">
        <f t="shared" si="34"/>
        <v>21000</v>
      </c>
      <c r="N543" s="14">
        <f t="shared" si="34"/>
        <v>21257.142857142859</v>
      </c>
      <c r="O543" s="4">
        <f t="shared" si="34"/>
        <v>21233.980462631371</v>
      </c>
      <c r="P543" s="22"/>
    </row>
    <row r="544" spans="1:16" x14ac:dyDescent="0.4">
      <c r="A544" s="16">
        <v>42816</v>
      </c>
      <c r="B544" s="21">
        <v>20900</v>
      </c>
      <c r="C544" s="21">
        <v>20900</v>
      </c>
      <c r="D544" s="21">
        <v>20800</v>
      </c>
      <c r="E544" s="21">
        <v>20800</v>
      </c>
      <c r="F544" s="12">
        <v>-0.95</v>
      </c>
      <c r="G544" s="14">
        <f t="shared" si="30"/>
        <v>22000</v>
      </c>
      <c r="H544" s="14">
        <v>0</v>
      </c>
      <c r="I544" s="14">
        <v>22000</v>
      </c>
      <c r="J544" s="14">
        <f t="shared" si="31"/>
        <v>458070000</v>
      </c>
      <c r="K544" s="14">
        <v>0</v>
      </c>
      <c r="L544" s="14">
        <v>458070000</v>
      </c>
      <c r="M544" s="14">
        <f t="shared" si="34"/>
        <v>20821.363636363636</v>
      </c>
      <c r="N544" s="14">
        <f t="shared" si="34"/>
        <v>0</v>
      </c>
      <c r="O544" s="4">
        <f t="shared" si="34"/>
        <v>20821.363636363636</v>
      </c>
      <c r="P544" s="22"/>
    </row>
    <row r="545" spans="1:16" x14ac:dyDescent="0.4">
      <c r="A545" s="16">
        <v>42817</v>
      </c>
      <c r="B545" s="21">
        <v>20500</v>
      </c>
      <c r="C545" s="21">
        <v>20600</v>
      </c>
      <c r="D545" s="21">
        <v>20500</v>
      </c>
      <c r="E545" s="21">
        <v>20600</v>
      </c>
      <c r="F545" s="12">
        <v>-0.96</v>
      </c>
      <c r="G545" s="14">
        <f t="shared" si="30"/>
        <v>17000</v>
      </c>
      <c r="H545" s="14">
        <v>0</v>
      </c>
      <c r="I545" s="14">
        <v>17000</v>
      </c>
      <c r="J545" s="14">
        <f t="shared" si="31"/>
        <v>349600000</v>
      </c>
      <c r="K545" s="14">
        <v>0</v>
      </c>
      <c r="L545" s="14">
        <v>349600000</v>
      </c>
      <c r="M545" s="14">
        <f t="shared" si="34"/>
        <v>20564.705882352941</v>
      </c>
      <c r="N545" s="14">
        <f t="shared" si="34"/>
        <v>0</v>
      </c>
      <c r="O545" s="4">
        <f t="shared" si="34"/>
        <v>20564.705882352941</v>
      </c>
      <c r="P545" s="22"/>
    </row>
    <row r="546" spans="1:16" x14ac:dyDescent="0.4">
      <c r="A546" s="16">
        <v>42818</v>
      </c>
      <c r="B546" s="21">
        <v>20600</v>
      </c>
      <c r="C546" s="21">
        <v>20600</v>
      </c>
      <c r="D546" s="21">
        <v>20600</v>
      </c>
      <c r="E546" s="21">
        <v>20600</v>
      </c>
      <c r="F546" s="12">
        <v>0</v>
      </c>
      <c r="G546" s="14">
        <f t="shared" si="30"/>
        <v>4260</v>
      </c>
      <c r="H546" s="14">
        <v>100000</v>
      </c>
      <c r="I546" s="14">
        <v>104260</v>
      </c>
      <c r="J546" s="14">
        <f t="shared" si="31"/>
        <v>87756000</v>
      </c>
      <c r="K546" s="14">
        <v>2140000000</v>
      </c>
      <c r="L546" s="14">
        <v>2227756000</v>
      </c>
      <c r="M546" s="14">
        <f t="shared" si="34"/>
        <v>20600</v>
      </c>
      <c r="N546" s="14">
        <f t="shared" si="34"/>
        <v>21400</v>
      </c>
      <c r="O546" s="4">
        <f t="shared" si="34"/>
        <v>21367.312488010743</v>
      </c>
      <c r="P546" s="4">
        <f>IFERROR(SUM(L542:L546)/SUM(I542:I546),"")</f>
        <v>21220.33039961075</v>
      </c>
    </row>
    <row r="547" spans="1:16" x14ac:dyDescent="0.4">
      <c r="A547" s="16">
        <v>42821</v>
      </c>
      <c r="B547" s="21">
        <v>20500</v>
      </c>
      <c r="C547" s="21">
        <v>20500</v>
      </c>
      <c r="D547" s="21">
        <v>20500</v>
      </c>
      <c r="E547" s="21">
        <v>20500</v>
      </c>
      <c r="F547" s="12">
        <v>-0.49</v>
      </c>
      <c r="G547" s="14">
        <f t="shared" si="30"/>
        <v>20000</v>
      </c>
      <c r="H547" s="14">
        <v>0</v>
      </c>
      <c r="I547" s="14">
        <v>20000</v>
      </c>
      <c r="J547" s="14">
        <f t="shared" si="31"/>
        <v>410000000</v>
      </c>
      <c r="K547" s="14">
        <v>0</v>
      </c>
      <c r="L547" s="14">
        <v>410000000</v>
      </c>
      <c r="M547" s="14">
        <f t="shared" si="34"/>
        <v>20500</v>
      </c>
      <c r="N547" s="14">
        <f t="shared" si="34"/>
        <v>0</v>
      </c>
      <c r="O547" s="4">
        <f t="shared" si="34"/>
        <v>20500</v>
      </c>
      <c r="P547" s="22"/>
    </row>
    <row r="548" spans="1:16" x14ac:dyDescent="0.4">
      <c r="A548" s="16">
        <v>42822</v>
      </c>
      <c r="B548" s="21">
        <v>20500</v>
      </c>
      <c r="C548" s="21">
        <v>20500</v>
      </c>
      <c r="D548" s="21">
        <v>20500</v>
      </c>
      <c r="E548" s="21">
        <v>20500</v>
      </c>
      <c r="F548" s="12">
        <v>0</v>
      </c>
      <c r="G548" s="14">
        <f t="shared" si="30"/>
        <v>2000</v>
      </c>
      <c r="H548" s="14">
        <v>0</v>
      </c>
      <c r="I548" s="14">
        <v>2000</v>
      </c>
      <c r="J548" s="14">
        <f t="shared" si="31"/>
        <v>41000000</v>
      </c>
      <c r="K548" s="14">
        <v>0</v>
      </c>
      <c r="L548" s="14">
        <v>41000000</v>
      </c>
      <c r="M548" s="14">
        <f t="shared" si="34"/>
        <v>20500</v>
      </c>
      <c r="N548" s="14">
        <f t="shared" si="34"/>
        <v>0</v>
      </c>
      <c r="O548" s="4">
        <f t="shared" si="34"/>
        <v>20500</v>
      </c>
      <c r="P548" s="22"/>
    </row>
    <row r="549" spans="1:16" x14ac:dyDescent="0.4">
      <c r="A549" s="16">
        <v>42823</v>
      </c>
      <c r="B549" s="21">
        <v>20500</v>
      </c>
      <c r="C549" s="21">
        <v>20600</v>
      </c>
      <c r="D549" s="21">
        <v>20500</v>
      </c>
      <c r="E549" s="21">
        <v>20600</v>
      </c>
      <c r="F549" s="12">
        <v>0.49</v>
      </c>
      <c r="G549" s="14">
        <f t="shared" si="30"/>
        <v>35100</v>
      </c>
      <c r="H549" s="14">
        <v>180000</v>
      </c>
      <c r="I549" s="14">
        <v>215100</v>
      </c>
      <c r="J549" s="14">
        <f t="shared" si="31"/>
        <v>721060000</v>
      </c>
      <c r="K549" s="14">
        <v>3690000000</v>
      </c>
      <c r="L549" s="14">
        <v>4411060000</v>
      </c>
      <c r="M549" s="14">
        <f t="shared" si="34"/>
        <v>20543.019943019943</v>
      </c>
      <c r="N549" s="14">
        <f t="shared" si="34"/>
        <v>20500</v>
      </c>
      <c r="O549" s="4">
        <f t="shared" si="34"/>
        <v>20507.019990702</v>
      </c>
      <c r="P549" s="22"/>
    </row>
    <row r="550" spans="1:16" x14ac:dyDescent="0.4">
      <c r="A550" s="16">
        <v>42824</v>
      </c>
      <c r="B550" s="21">
        <v>20600</v>
      </c>
      <c r="C550" s="21">
        <v>20600</v>
      </c>
      <c r="D550" s="21">
        <v>20600</v>
      </c>
      <c r="E550" s="21">
        <v>20600</v>
      </c>
      <c r="F550" s="12">
        <v>0</v>
      </c>
      <c r="G550" s="14">
        <f t="shared" si="30"/>
        <v>0</v>
      </c>
      <c r="H550" s="14">
        <v>170000</v>
      </c>
      <c r="I550" s="14">
        <v>170000</v>
      </c>
      <c r="J550" s="14">
        <f t="shared" si="31"/>
        <v>0</v>
      </c>
      <c r="K550" s="14">
        <v>3502000000</v>
      </c>
      <c r="L550" s="14">
        <v>3502000000</v>
      </c>
      <c r="M550" s="14">
        <f t="shared" si="34"/>
        <v>0</v>
      </c>
      <c r="N550" s="14">
        <f t="shared" si="34"/>
        <v>20600</v>
      </c>
      <c r="O550" s="4">
        <f t="shared" si="34"/>
        <v>20600</v>
      </c>
      <c r="P550" s="22"/>
    </row>
    <row r="551" spans="1:16" x14ac:dyDescent="0.4">
      <c r="A551" s="16">
        <v>42825</v>
      </c>
      <c r="B551" s="21">
        <v>20600</v>
      </c>
      <c r="C551" s="21">
        <v>20600</v>
      </c>
      <c r="D551" s="21">
        <v>20600</v>
      </c>
      <c r="E551" s="21">
        <v>20600</v>
      </c>
      <c r="F551" s="12">
        <v>0</v>
      </c>
      <c r="G551" s="14">
        <f t="shared" si="30"/>
        <v>8000</v>
      </c>
      <c r="H551" s="14">
        <v>0</v>
      </c>
      <c r="I551" s="14">
        <v>8000</v>
      </c>
      <c r="J551" s="14">
        <f t="shared" si="31"/>
        <v>164800000</v>
      </c>
      <c r="K551" s="14">
        <v>0</v>
      </c>
      <c r="L551" s="14">
        <v>164800000</v>
      </c>
      <c r="M551" s="14">
        <f t="shared" si="34"/>
        <v>20600</v>
      </c>
      <c r="N551" s="14">
        <f t="shared" si="34"/>
        <v>0</v>
      </c>
      <c r="O551" s="4">
        <f t="shared" si="34"/>
        <v>20600</v>
      </c>
      <c r="P551" s="4">
        <f>IFERROR(SUM(L547:L551)/SUM(I547:I551),"")</f>
        <v>20546.518911105759</v>
      </c>
    </row>
    <row r="552" spans="1:16" x14ac:dyDescent="0.4">
      <c r="A552" s="16">
        <v>42828</v>
      </c>
      <c r="B552" s="21">
        <v>20600</v>
      </c>
      <c r="C552" s="21">
        <v>20600</v>
      </c>
      <c r="D552" s="21">
        <v>20600</v>
      </c>
      <c r="E552" s="21">
        <v>20600</v>
      </c>
      <c r="F552" s="12">
        <v>0</v>
      </c>
      <c r="G552" s="14">
        <f t="shared" si="30"/>
        <v>0</v>
      </c>
      <c r="H552" s="14">
        <v>30000</v>
      </c>
      <c r="I552" s="14">
        <v>30000</v>
      </c>
      <c r="J552" s="14">
        <f t="shared" si="31"/>
        <v>0</v>
      </c>
      <c r="K552" s="14">
        <v>618000000</v>
      </c>
      <c r="L552" s="14">
        <v>618000000</v>
      </c>
      <c r="M552" s="14">
        <f t="shared" si="34"/>
        <v>0</v>
      </c>
      <c r="N552" s="14">
        <f t="shared" si="34"/>
        <v>20600</v>
      </c>
      <c r="O552" s="4">
        <f t="shared" si="34"/>
        <v>20600</v>
      </c>
      <c r="P552" s="22"/>
    </row>
    <row r="553" spans="1:16" x14ac:dyDescent="0.4">
      <c r="A553" s="16">
        <v>42829</v>
      </c>
      <c r="B553" s="21">
        <v>20700</v>
      </c>
      <c r="C553" s="21">
        <v>20700</v>
      </c>
      <c r="D553" s="21">
        <v>20700</v>
      </c>
      <c r="E553" s="21">
        <v>20700</v>
      </c>
      <c r="F553" s="12">
        <v>0.49</v>
      </c>
      <c r="G553" s="14">
        <f t="shared" si="30"/>
        <v>30000</v>
      </c>
      <c r="H553" s="14">
        <v>240000</v>
      </c>
      <c r="I553" s="14">
        <v>270000</v>
      </c>
      <c r="J553" s="14">
        <f t="shared" si="31"/>
        <v>621000000</v>
      </c>
      <c r="K553" s="14">
        <v>4944000000</v>
      </c>
      <c r="L553" s="14">
        <v>5565000000</v>
      </c>
      <c r="M553" s="14">
        <f t="shared" si="34"/>
        <v>20700</v>
      </c>
      <c r="N553" s="14">
        <f t="shared" si="34"/>
        <v>20600</v>
      </c>
      <c r="O553" s="4">
        <f t="shared" si="34"/>
        <v>20611.111111111109</v>
      </c>
      <c r="P553" s="22"/>
    </row>
    <row r="554" spans="1:16" x14ac:dyDescent="0.4">
      <c r="A554" s="16">
        <v>42830</v>
      </c>
      <c r="B554" s="21">
        <v>20800</v>
      </c>
      <c r="C554" s="21">
        <v>20800</v>
      </c>
      <c r="D554" s="21">
        <v>20800</v>
      </c>
      <c r="E554" s="21">
        <v>20800</v>
      </c>
      <c r="F554" s="12">
        <v>0.48</v>
      </c>
      <c r="G554" s="14">
        <f t="shared" si="30"/>
        <v>20000</v>
      </c>
      <c r="H554" s="14">
        <v>240000</v>
      </c>
      <c r="I554" s="14">
        <v>260000</v>
      </c>
      <c r="J554" s="14">
        <f t="shared" si="31"/>
        <v>416000000</v>
      </c>
      <c r="K554" s="14">
        <v>4968000000</v>
      </c>
      <c r="L554" s="14">
        <v>5384000000</v>
      </c>
      <c r="M554" s="14">
        <f t="shared" si="34"/>
        <v>20800</v>
      </c>
      <c r="N554" s="14">
        <f t="shared" si="34"/>
        <v>20700</v>
      </c>
      <c r="O554" s="4">
        <f t="shared" si="34"/>
        <v>20707.692307692309</v>
      </c>
      <c r="P554" s="22"/>
    </row>
    <row r="555" spans="1:16" x14ac:dyDescent="0.4">
      <c r="A555" s="16">
        <v>42831</v>
      </c>
      <c r="B555" s="21">
        <v>20800</v>
      </c>
      <c r="C555" s="21">
        <v>20800</v>
      </c>
      <c r="D555" s="21">
        <v>20800</v>
      </c>
      <c r="E555" s="21">
        <v>20800</v>
      </c>
      <c r="F555" s="12">
        <v>0</v>
      </c>
      <c r="G555" s="14">
        <f t="shared" si="30"/>
        <v>10000</v>
      </c>
      <c r="H555" s="14">
        <v>5000</v>
      </c>
      <c r="I555" s="14">
        <v>15000</v>
      </c>
      <c r="J555" s="14">
        <f t="shared" si="31"/>
        <v>208000000</v>
      </c>
      <c r="K555" s="14">
        <v>103500000</v>
      </c>
      <c r="L555" s="14">
        <v>311500000</v>
      </c>
      <c r="M555" s="14">
        <f t="shared" si="34"/>
        <v>20800</v>
      </c>
      <c r="N555" s="14">
        <f t="shared" si="34"/>
        <v>20700</v>
      </c>
      <c r="O555" s="4">
        <f t="shared" si="34"/>
        <v>20766.666666666668</v>
      </c>
      <c r="P555" s="22"/>
    </row>
    <row r="556" spans="1:16" x14ac:dyDescent="0.4">
      <c r="A556" s="16">
        <v>42832</v>
      </c>
      <c r="B556" s="21">
        <v>20700</v>
      </c>
      <c r="C556" s="21">
        <v>20700</v>
      </c>
      <c r="D556" s="21">
        <v>20450</v>
      </c>
      <c r="E556" s="21">
        <v>20450</v>
      </c>
      <c r="F556" s="12">
        <v>-1.68</v>
      </c>
      <c r="G556" s="14">
        <f t="shared" si="30"/>
        <v>65600</v>
      </c>
      <c r="H556" s="14">
        <v>16119</v>
      </c>
      <c r="I556" s="14">
        <v>81719</v>
      </c>
      <c r="J556" s="14">
        <f t="shared" si="31"/>
        <v>1343670000</v>
      </c>
      <c r="K556" s="14">
        <v>335275000</v>
      </c>
      <c r="L556" s="14">
        <v>1678945000</v>
      </c>
      <c r="M556" s="14">
        <f t="shared" si="34"/>
        <v>20482.774390243903</v>
      </c>
      <c r="N556" s="14">
        <f t="shared" si="34"/>
        <v>20799.987592282399</v>
      </c>
      <c r="O556" s="4">
        <f t="shared" si="34"/>
        <v>20545.344411948263</v>
      </c>
      <c r="P556" s="4">
        <f>IFERROR(SUM(L552:L556)/SUM(I552:I556),"")</f>
        <v>20644.210080719455</v>
      </c>
    </row>
    <row r="557" spans="1:16" x14ac:dyDescent="0.4">
      <c r="A557" s="16">
        <v>42835</v>
      </c>
      <c r="B557" s="21">
        <v>20500</v>
      </c>
      <c r="C557" s="21">
        <v>20500</v>
      </c>
      <c r="D557" s="21">
        <v>20450</v>
      </c>
      <c r="E557" s="21">
        <v>20450</v>
      </c>
      <c r="F557" s="12">
        <v>0</v>
      </c>
      <c r="G557" s="14">
        <f t="shared" si="30"/>
        <v>14300</v>
      </c>
      <c r="H557" s="14">
        <v>0</v>
      </c>
      <c r="I557" s="14">
        <v>14300</v>
      </c>
      <c r="J557" s="14">
        <f t="shared" si="31"/>
        <v>293085000</v>
      </c>
      <c r="K557" s="14">
        <v>0</v>
      </c>
      <c r="L557" s="14">
        <v>293085000</v>
      </c>
      <c r="M557" s="14">
        <f t="shared" si="34"/>
        <v>20495.454545454544</v>
      </c>
      <c r="N557" s="14">
        <f t="shared" si="34"/>
        <v>0</v>
      </c>
      <c r="O557" s="4">
        <f t="shared" si="34"/>
        <v>20495.454545454544</v>
      </c>
      <c r="P557" s="22"/>
    </row>
    <row r="558" spans="1:16" x14ac:dyDescent="0.4">
      <c r="A558" s="16">
        <v>42836</v>
      </c>
      <c r="B558" s="21">
        <v>20450</v>
      </c>
      <c r="C558" s="21">
        <v>20450</v>
      </c>
      <c r="D558" s="21">
        <v>20450</v>
      </c>
      <c r="E558" s="21">
        <v>20450</v>
      </c>
      <c r="F558" s="12">
        <v>0</v>
      </c>
      <c r="G558" s="14">
        <f t="shared" si="30"/>
        <v>0</v>
      </c>
      <c r="H558" s="14">
        <v>80000</v>
      </c>
      <c r="I558" s="14">
        <v>80000</v>
      </c>
      <c r="J558" s="14">
        <f t="shared" si="31"/>
        <v>0</v>
      </c>
      <c r="K558" s="14">
        <v>1636000000</v>
      </c>
      <c r="L558" s="14">
        <v>1636000000</v>
      </c>
      <c r="M558" s="14">
        <f t="shared" si="34"/>
        <v>0</v>
      </c>
      <c r="N558" s="14">
        <f t="shared" si="34"/>
        <v>20450</v>
      </c>
      <c r="O558" s="4">
        <f t="shared" si="34"/>
        <v>20450</v>
      </c>
      <c r="P558" s="22"/>
    </row>
    <row r="559" spans="1:16" x14ac:dyDescent="0.4">
      <c r="A559" s="16">
        <v>42837</v>
      </c>
      <c r="B559" s="21">
        <v>20500</v>
      </c>
      <c r="C559" s="21">
        <v>20500</v>
      </c>
      <c r="D559" s="21">
        <v>20450</v>
      </c>
      <c r="E559" s="21">
        <v>20450</v>
      </c>
      <c r="F559" s="12">
        <v>0</v>
      </c>
      <c r="G559" s="14">
        <f t="shared" si="30"/>
        <v>18590</v>
      </c>
      <c r="H559" s="14">
        <v>200000</v>
      </c>
      <c r="I559" s="14">
        <v>218590</v>
      </c>
      <c r="J559" s="14">
        <f t="shared" si="31"/>
        <v>380595000</v>
      </c>
      <c r="K559" s="14">
        <v>4090000000</v>
      </c>
      <c r="L559" s="14">
        <v>4470595000</v>
      </c>
      <c r="M559" s="14">
        <f t="shared" si="34"/>
        <v>20473.103819257667</v>
      </c>
      <c r="N559" s="14">
        <f t="shared" si="34"/>
        <v>20450</v>
      </c>
      <c r="O559" s="4">
        <f t="shared" si="34"/>
        <v>20451.964865730362</v>
      </c>
      <c r="P559" s="22"/>
    </row>
    <row r="560" spans="1:16" x14ac:dyDescent="0.4">
      <c r="A560" s="16">
        <v>42838</v>
      </c>
      <c r="B560" s="21">
        <v>20450</v>
      </c>
      <c r="C560" s="21">
        <v>20450</v>
      </c>
      <c r="D560" s="21">
        <v>20450</v>
      </c>
      <c r="E560" s="21">
        <v>20450</v>
      </c>
      <c r="F560" s="12">
        <v>0</v>
      </c>
      <c r="G560" s="14">
        <f t="shared" si="30"/>
        <v>33000</v>
      </c>
      <c r="H560" s="14">
        <v>50000</v>
      </c>
      <c r="I560" s="14">
        <v>83000</v>
      </c>
      <c r="J560" s="14">
        <f t="shared" si="31"/>
        <v>674850000</v>
      </c>
      <c r="K560" s="14">
        <v>1022500000</v>
      </c>
      <c r="L560" s="14">
        <v>1697350000</v>
      </c>
      <c r="M560" s="14">
        <f t="shared" si="34"/>
        <v>20450</v>
      </c>
      <c r="N560" s="14">
        <f t="shared" si="34"/>
        <v>20450</v>
      </c>
      <c r="O560" s="4">
        <f t="shared" si="34"/>
        <v>20450</v>
      </c>
      <c r="P560" s="22"/>
    </row>
    <row r="561" spans="1:16" x14ac:dyDescent="0.4">
      <c r="A561" s="16">
        <v>42839</v>
      </c>
      <c r="B561" s="21">
        <v>20450</v>
      </c>
      <c r="C561" s="21">
        <v>20450</v>
      </c>
      <c r="D561" s="21">
        <v>20450</v>
      </c>
      <c r="E561" s="21">
        <v>20450</v>
      </c>
      <c r="F561" s="12">
        <v>0</v>
      </c>
      <c r="G561" s="14">
        <f t="shared" si="30"/>
        <v>0</v>
      </c>
      <c r="H561" s="14">
        <v>0</v>
      </c>
      <c r="I561" s="14">
        <v>0</v>
      </c>
      <c r="J561" s="14">
        <f t="shared" si="31"/>
        <v>0</v>
      </c>
      <c r="K561" s="14">
        <v>0</v>
      </c>
      <c r="L561" s="14">
        <v>0</v>
      </c>
      <c r="M561" s="14">
        <f t="shared" ref="M561:O611" si="35">IFERROR(J561/G561,0)</f>
        <v>0</v>
      </c>
      <c r="N561" s="14">
        <f t="shared" si="35"/>
        <v>0</v>
      </c>
      <c r="O561" s="4">
        <f t="shared" si="35"/>
        <v>0</v>
      </c>
      <c r="P561" s="4">
        <f>IFERROR(SUM(L557:L561)/SUM(I557:I561),"")</f>
        <v>20452.726767536438</v>
      </c>
    </row>
    <row r="562" spans="1:16" x14ac:dyDescent="0.4">
      <c r="A562" s="16">
        <v>42842</v>
      </c>
      <c r="B562" s="21">
        <v>20450</v>
      </c>
      <c r="C562" s="21">
        <v>20450</v>
      </c>
      <c r="D562" s="21">
        <v>20450</v>
      </c>
      <c r="E562" s="21">
        <v>20450</v>
      </c>
      <c r="F562" s="12">
        <v>0</v>
      </c>
      <c r="G562" s="14">
        <f t="shared" si="30"/>
        <v>30000</v>
      </c>
      <c r="H562" s="14">
        <v>5000</v>
      </c>
      <c r="I562" s="14">
        <v>35000</v>
      </c>
      <c r="J562" s="14">
        <f t="shared" si="31"/>
        <v>613500000</v>
      </c>
      <c r="K562" s="14">
        <v>102250000</v>
      </c>
      <c r="L562" s="14">
        <v>715750000</v>
      </c>
      <c r="M562" s="14">
        <f t="shared" si="35"/>
        <v>20450</v>
      </c>
      <c r="N562" s="14">
        <f t="shared" si="35"/>
        <v>20450</v>
      </c>
      <c r="O562" s="4">
        <f t="shared" si="35"/>
        <v>20450</v>
      </c>
      <c r="P562" s="22"/>
    </row>
    <row r="563" spans="1:16" x14ac:dyDescent="0.4">
      <c r="A563" s="16">
        <v>42843</v>
      </c>
      <c r="B563" s="21">
        <v>20450</v>
      </c>
      <c r="C563" s="21">
        <v>20450</v>
      </c>
      <c r="D563" s="21">
        <v>20450</v>
      </c>
      <c r="E563" s="21">
        <v>20450</v>
      </c>
      <c r="F563" s="12">
        <v>0</v>
      </c>
      <c r="G563" s="14">
        <f t="shared" si="30"/>
        <v>0</v>
      </c>
      <c r="H563" s="14">
        <v>500000</v>
      </c>
      <c r="I563" s="14">
        <v>500000</v>
      </c>
      <c r="J563" s="14">
        <f t="shared" si="31"/>
        <v>0</v>
      </c>
      <c r="K563" s="14">
        <v>10225000000</v>
      </c>
      <c r="L563" s="14">
        <v>10225000000</v>
      </c>
      <c r="M563" s="14">
        <f t="shared" si="35"/>
        <v>0</v>
      </c>
      <c r="N563" s="14">
        <f t="shared" si="35"/>
        <v>20450</v>
      </c>
      <c r="O563" s="4">
        <f t="shared" si="35"/>
        <v>20450</v>
      </c>
      <c r="P563" s="22"/>
    </row>
    <row r="564" spans="1:16" x14ac:dyDescent="0.4">
      <c r="A564" s="16">
        <v>42844</v>
      </c>
      <c r="B564" s="21">
        <v>20450</v>
      </c>
      <c r="C564" s="21">
        <v>20450</v>
      </c>
      <c r="D564" s="21">
        <v>20450</v>
      </c>
      <c r="E564" s="21">
        <v>20450</v>
      </c>
      <c r="F564" s="12">
        <v>0</v>
      </c>
      <c r="G564" s="14">
        <f t="shared" si="30"/>
        <v>0</v>
      </c>
      <c r="H564" s="14">
        <v>400000</v>
      </c>
      <c r="I564" s="14">
        <v>400000</v>
      </c>
      <c r="J564" s="14">
        <f t="shared" si="31"/>
        <v>0</v>
      </c>
      <c r="K564" s="14">
        <v>8180000000</v>
      </c>
      <c r="L564" s="14">
        <v>8180000000</v>
      </c>
      <c r="M564" s="14">
        <f t="shared" si="35"/>
        <v>0</v>
      </c>
      <c r="N564" s="14">
        <f t="shared" si="35"/>
        <v>20450</v>
      </c>
      <c r="O564" s="4">
        <f t="shared" si="35"/>
        <v>20450</v>
      </c>
      <c r="P564" s="22"/>
    </row>
    <row r="565" spans="1:16" x14ac:dyDescent="0.4">
      <c r="A565" s="16">
        <v>42845</v>
      </c>
      <c r="B565" s="21">
        <v>20450</v>
      </c>
      <c r="C565" s="21">
        <v>20450</v>
      </c>
      <c r="D565" s="21">
        <v>20450</v>
      </c>
      <c r="E565" s="21">
        <v>20450</v>
      </c>
      <c r="F565" s="12">
        <v>0</v>
      </c>
      <c r="G565" s="14">
        <f t="shared" si="30"/>
        <v>30000</v>
      </c>
      <c r="H565" s="14">
        <v>0</v>
      </c>
      <c r="I565" s="14">
        <v>30000</v>
      </c>
      <c r="J565" s="14">
        <f t="shared" si="31"/>
        <v>613500000</v>
      </c>
      <c r="K565" s="14">
        <v>0</v>
      </c>
      <c r="L565" s="14">
        <v>613500000</v>
      </c>
      <c r="M565" s="14">
        <f t="shared" si="35"/>
        <v>20450</v>
      </c>
      <c r="N565" s="14">
        <f t="shared" si="35"/>
        <v>0</v>
      </c>
      <c r="O565" s="4">
        <f t="shared" si="35"/>
        <v>20450</v>
      </c>
      <c r="P565" s="22"/>
    </row>
    <row r="566" spans="1:16" x14ac:dyDescent="0.4">
      <c r="A566" s="16">
        <v>42846</v>
      </c>
      <c r="B566" s="21">
        <v>20450</v>
      </c>
      <c r="C566" s="21">
        <v>20450</v>
      </c>
      <c r="D566" s="21">
        <v>20450</v>
      </c>
      <c r="E566" s="21">
        <v>20450</v>
      </c>
      <c r="F566" s="12">
        <v>0</v>
      </c>
      <c r="G566" s="14">
        <f t="shared" si="30"/>
        <v>0</v>
      </c>
      <c r="H566" s="14">
        <v>40000</v>
      </c>
      <c r="I566" s="14">
        <v>40000</v>
      </c>
      <c r="J566" s="14">
        <f t="shared" si="31"/>
        <v>0</v>
      </c>
      <c r="K566" s="14">
        <v>818000000</v>
      </c>
      <c r="L566" s="14">
        <v>818000000</v>
      </c>
      <c r="M566" s="14">
        <f t="shared" si="35"/>
        <v>0</v>
      </c>
      <c r="N566" s="14">
        <f t="shared" si="35"/>
        <v>20450</v>
      </c>
      <c r="O566" s="4">
        <f t="shared" si="35"/>
        <v>20450</v>
      </c>
      <c r="P566" s="4">
        <f>IFERROR(SUM(L562:L566)/SUM(I562:I566),"")</f>
        <v>20450</v>
      </c>
    </row>
    <row r="567" spans="1:16" x14ac:dyDescent="0.4">
      <c r="A567" s="16">
        <v>42849</v>
      </c>
      <c r="B567" s="21">
        <v>20500</v>
      </c>
      <c r="C567" s="21">
        <v>20500</v>
      </c>
      <c r="D567" s="21">
        <v>20450</v>
      </c>
      <c r="E567" s="21">
        <v>20500</v>
      </c>
      <c r="F567" s="12">
        <v>0.24</v>
      </c>
      <c r="G567" s="14">
        <f t="shared" si="30"/>
        <v>14000</v>
      </c>
      <c r="H567" s="14">
        <v>0</v>
      </c>
      <c r="I567" s="14">
        <v>14000</v>
      </c>
      <c r="J567" s="14">
        <f t="shared" si="31"/>
        <v>286800000</v>
      </c>
      <c r="K567" s="14">
        <v>0</v>
      </c>
      <c r="L567" s="14">
        <v>286800000</v>
      </c>
      <c r="M567" s="14">
        <f t="shared" si="35"/>
        <v>20485.714285714286</v>
      </c>
      <c r="N567" s="14">
        <f t="shared" si="35"/>
        <v>0</v>
      </c>
      <c r="O567" s="4">
        <f t="shared" si="35"/>
        <v>20485.714285714286</v>
      </c>
      <c r="P567" s="22"/>
    </row>
    <row r="568" spans="1:16" x14ac:dyDescent="0.4">
      <c r="A568" s="16">
        <v>42850</v>
      </c>
      <c r="B568" s="21">
        <v>20500</v>
      </c>
      <c r="C568" s="21">
        <v>20500</v>
      </c>
      <c r="D568" s="21">
        <v>20500</v>
      </c>
      <c r="E568" s="21">
        <v>20500</v>
      </c>
      <c r="F568" s="12">
        <v>0</v>
      </c>
      <c r="G568" s="14">
        <f t="shared" si="30"/>
        <v>5000</v>
      </c>
      <c r="H568" s="14">
        <v>100000</v>
      </c>
      <c r="I568" s="14">
        <v>105000</v>
      </c>
      <c r="J568" s="14">
        <f t="shared" si="31"/>
        <v>102500000</v>
      </c>
      <c r="K568" s="14">
        <v>2050000000</v>
      </c>
      <c r="L568" s="14">
        <v>2152500000</v>
      </c>
      <c r="M568" s="14">
        <f t="shared" si="35"/>
        <v>20500</v>
      </c>
      <c r="N568" s="14">
        <f t="shared" si="35"/>
        <v>20500</v>
      </c>
      <c r="O568" s="4">
        <f t="shared" si="35"/>
        <v>20500</v>
      </c>
      <c r="P568" s="22"/>
    </row>
    <row r="569" spans="1:16" x14ac:dyDescent="0.4">
      <c r="A569" s="16">
        <v>42851</v>
      </c>
      <c r="B569" s="21">
        <v>20500</v>
      </c>
      <c r="C569" s="21">
        <v>20500</v>
      </c>
      <c r="D569" s="21">
        <v>20500</v>
      </c>
      <c r="E569" s="21">
        <v>20500</v>
      </c>
      <c r="F569" s="12">
        <v>0</v>
      </c>
      <c r="G569" s="14">
        <f t="shared" si="30"/>
        <v>7000</v>
      </c>
      <c r="H569" s="14">
        <v>140581</v>
      </c>
      <c r="I569" s="14">
        <v>147581</v>
      </c>
      <c r="J569" s="14">
        <f t="shared" si="31"/>
        <v>143500000</v>
      </c>
      <c r="K569" s="14">
        <v>2881911000</v>
      </c>
      <c r="L569" s="14">
        <v>3025411000</v>
      </c>
      <c r="M569" s="14">
        <f t="shared" si="35"/>
        <v>20500</v>
      </c>
      <c r="N569" s="14">
        <f t="shared" si="35"/>
        <v>20500.003556668398</v>
      </c>
      <c r="O569" s="4">
        <f t="shared" si="35"/>
        <v>20500.003387969995</v>
      </c>
      <c r="P569" s="22"/>
    </row>
    <row r="570" spans="1:16" x14ac:dyDescent="0.4">
      <c r="A570" s="16">
        <v>42852</v>
      </c>
      <c r="B570" s="21">
        <v>20500</v>
      </c>
      <c r="C570" s="21">
        <v>20500</v>
      </c>
      <c r="D570" s="21">
        <v>20500</v>
      </c>
      <c r="E570" s="21">
        <v>20500</v>
      </c>
      <c r="F570" s="12">
        <v>0</v>
      </c>
      <c r="G570" s="14">
        <f t="shared" si="30"/>
        <v>30000</v>
      </c>
      <c r="H570" s="14">
        <v>0</v>
      </c>
      <c r="I570" s="14">
        <v>30000</v>
      </c>
      <c r="J570" s="14">
        <f t="shared" si="31"/>
        <v>615000000</v>
      </c>
      <c r="K570" s="14">
        <v>0</v>
      </c>
      <c r="L570" s="14">
        <v>615000000</v>
      </c>
      <c r="M570" s="14">
        <f t="shared" si="35"/>
        <v>20500</v>
      </c>
      <c r="N570" s="14">
        <f t="shared" si="35"/>
        <v>0</v>
      </c>
      <c r="O570" s="4">
        <f t="shared" si="35"/>
        <v>20500</v>
      </c>
      <c r="P570" s="4"/>
    </row>
    <row r="571" spans="1:16" x14ac:dyDescent="0.4">
      <c r="A571" s="16">
        <v>42853</v>
      </c>
      <c r="B571" s="21">
        <v>20500</v>
      </c>
      <c r="C571" s="21">
        <v>20500</v>
      </c>
      <c r="D571" s="21">
        <v>20500</v>
      </c>
      <c r="E571" s="21">
        <v>20500</v>
      </c>
      <c r="F571" s="12">
        <v>0</v>
      </c>
      <c r="G571" s="14">
        <f t="shared" si="30"/>
        <v>10000</v>
      </c>
      <c r="H571" s="14">
        <v>25000</v>
      </c>
      <c r="I571" s="14">
        <v>35000</v>
      </c>
      <c r="J571" s="14">
        <f t="shared" si="31"/>
        <v>205000000</v>
      </c>
      <c r="K571" s="14">
        <v>512500000</v>
      </c>
      <c r="L571" s="14">
        <v>717500000</v>
      </c>
      <c r="M571" s="14">
        <f t="shared" si="35"/>
        <v>20500</v>
      </c>
      <c r="N571" s="14">
        <f t="shared" si="35"/>
        <v>20500</v>
      </c>
      <c r="O571" s="4">
        <f t="shared" si="35"/>
        <v>20500</v>
      </c>
      <c r="P571" s="4">
        <f>IFERROR(SUM(L567:L571)/SUM(I567:I571),"")</f>
        <v>20499.398337057912</v>
      </c>
    </row>
    <row r="572" spans="1:16" x14ac:dyDescent="0.4">
      <c r="A572" s="16">
        <v>42857</v>
      </c>
      <c r="B572" s="21">
        <v>20500</v>
      </c>
      <c r="C572" s="21">
        <v>20500</v>
      </c>
      <c r="D572" s="21">
        <v>20500</v>
      </c>
      <c r="E572" s="21">
        <v>20500</v>
      </c>
      <c r="F572" s="12">
        <v>0</v>
      </c>
      <c r="G572" s="14">
        <f t="shared" si="30"/>
        <v>30000</v>
      </c>
      <c r="H572" s="14">
        <v>0</v>
      </c>
      <c r="I572" s="14">
        <v>30000</v>
      </c>
      <c r="J572" s="14">
        <f t="shared" si="31"/>
        <v>615000000</v>
      </c>
      <c r="K572" s="14">
        <v>0</v>
      </c>
      <c r="L572" s="14">
        <v>615000000</v>
      </c>
      <c r="M572" s="14">
        <f t="shared" si="35"/>
        <v>20500</v>
      </c>
      <c r="N572" s="14">
        <f t="shared" si="35"/>
        <v>0</v>
      </c>
      <c r="O572" s="4">
        <f t="shared" si="35"/>
        <v>20500</v>
      </c>
      <c r="P572" s="22"/>
    </row>
    <row r="573" spans="1:16" x14ac:dyDescent="0.4">
      <c r="A573" s="16">
        <v>42859</v>
      </c>
      <c r="B573" s="21">
        <v>20500</v>
      </c>
      <c r="C573" s="21">
        <v>20500</v>
      </c>
      <c r="D573" s="21">
        <v>20500</v>
      </c>
      <c r="E573" s="21">
        <v>20500</v>
      </c>
      <c r="F573" s="12">
        <v>0</v>
      </c>
      <c r="G573" s="14">
        <f t="shared" si="30"/>
        <v>1303</v>
      </c>
      <c r="H573" s="14">
        <v>0</v>
      </c>
      <c r="I573" s="14">
        <v>1303</v>
      </c>
      <c r="J573" s="14">
        <f t="shared" si="31"/>
        <v>26712000</v>
      </c>
      <c r="K573" s="14">
        <v>0</v>
      </c>
      <c r="L573" s="14">
        <v>26712000</v>
      </c>
      <c r="M573" s="14">
        <f t="shared" si="35"/>
        <v>20500.383729854184</v>
      </c>
      <c r="N573" s="14">
        <f t="shared" si="35"/>
        <v>0</v>
      </c>
      <c r="O573" s="4">
        <f t="shared" si="35"/>
        <v>20500.383729854184</v>
      </c>
      <c r="P573" s="22"/>
    </row>
    <row r="574" spans="1:16" x14ac:dyDescent="0.4">
      <c r="A574" s="16">
        <v>42863</v>
      </c>
      <c r="B574" s="21">
        <v>20500</v>
      </c>
      <c r="C574" s="21">
        <v>20500</v>
      </c>
      <c r="D574" s="21">
        <v>20500</v>
      </c>
      <c r="E574" s="21">
        <v>20500</v>
      </c>
      <c r="F574" s="12">
        <v>0</v>
      </c>
      <c r="G574" s="14">
        <f t="shared" si="30"/>
        <v>20000</v>
      </c>
      <c r="H574" s="14">
        <v>125627</v>
      </c>
      <c r="I574" s="14">
        <v>145627</v>
      </c>
      <c r="J574" s="14">
        <f t="shared" si="31"/>
        <v>410000000</v>
      </c>
      <c r="K574" s="14">
        <v>2575354000</v>
      </c>
      <c r="L574" s="14">
        <v>2985354000</v>
      </c>
      <c r="M574" s="14">
        <f t="shared" si="35"/>
        <v>20500</v>
      </c>
      <c r="N574" s="14">
        <f t="shared" si="35"/>
        <v>20500.003980036137</v>
      </c>
      <c r="O574" s="4">
        <f t="shared" si="35"/>
        <v>20500.00343342924</v>
      </c>
      <c r="P574" s="22"/>
    </row>
    <row r="575" spans="1:16" x14ac:dyDescent="0.4">
      <c r="A575" s="16">
        <v>42865</v>
      </c>
      <c r="B575" s="21">
        <v>20500</v>
      </c>
      <c r="C575" s="21">
        <v>20500</v>
      </c>
      <c r="D575" s="21">
        <v>20500</v>
      </c>
      <c r="E575" s="21">
        <v>20500</v>
      </c>
      <c r="F575" s="12">
        <v>0</v>
      </c>
      <c r="G575" s="14">
        <f t="shared" si="30"/>
        <v>19500</v>
      </c>
      <c r="H575" s="14">
        <v>20000</v>
      </c>
      <c r="I575" s="14">
        <v>39500</v>
      </c>
      <c r="J575" s="14">
        <f t="shared" si="31"/>
        <v>399750000</v>
      </c>
      <c r="K575" s="14">
        <v>410000000</v>
      </c>
      <c r="L575" s="14">
        <v>809750000</v>
      </c>
      <c r="M575" s="14">
        <f t="shared" si="35"/>
        <v>20500</v>
      </c>
      <c r="N575" s="14">
        <f t="shared" si="35"/>
        <v>20500</v>
      </c>
      <c r="O575" s="4">
        <f t="shared" si="35"/>
        <v>20500</v>
      </c>
      <c r="P575" s="22"/>
    </row>
    <row r="576" spans="1:16" x14ac:dyDescent="0.4">
      <c r="A576" s="16">
        <v>42866</v>
      </c>
      <c r="B576" s="21">
        <v>20500</v>
      </c>
      <c r="C576" s="21">
        <v>20500</v>
      </c>
      <c r="D576" s="21">
        <v>20500</v>
      </c>
      <c r="E576" s="21">
        <v>20500</v>
      </c>
      <c r="F576" s="12">
        <v>0</v>
      </c>
      <c r="G576" s="14">
        <f t="shared" si="30"/>
        <v>11686</v>
      </c>
      <c r="H576" s="14">
        <v>50000</v>
      </c>
      <c r="I576" s="14">
        <v>61686</v>
      </c>
      <c r="J576" s="14">
        <f t="shared" si="31"/>
        <v>239563000</v>
      </c>
      <c r="K576" s="14">
        <v>1025000000</v>
      </c>
      <c r="L576" s="14">
        <v>1264563000</v>
      </c>
      <c r="M576" s="14">
        <f t="shared" si="35"/>
        <v>20500</v>
      </c>
      <c r="N576" s="14">
        <f t="shared" si="35"/>
        <v>20500</v>
      </c>
      <c r="O576" s="4">
        <f t="shared" si="35"/>
        <v>20500</v>
      </c>
      <c r="P576" s="22"/>
    </row>
    <row r="577" spans="1:16" x14ac:dyDescent="0.4">
      <c r="A577" s="16">
        <v>42867</v>
      </c>
      <c r="B577" s="21">
        <v>20550</v>
      </c>
      <c r="C577" s="21">
        <v>20550</v>
      </c>
      <c r="D577" s="21">
        <v>20550</v>
      </c>
      <c r="E577" s="21">
        <v>20550</v>
      </c>
      <c r="F577" s="12">
        <v>0.24</v>
      </c>
      <c r="G577" s="14">
        <f t="shared" si="30"/>
        <v>2937</v>
      </c>
      <c r="H577" s="14">
        <v>0</v>
      </c>
      <c r="I577" s="14">
        <v>2937</v>
      </c>
      <c r="J577" s="14">
        <f t="shared" si="31"/>
        <v>60355000</v>
      </c>
      <c r="K577" s="14">
        <v>0</v>
      </c>
      <c r="L577" s="14">
        <v>60355000</v>
      </c>
      <c r="M577" s="14">
        <f t="shared" si="35"/>
        <v>20549.880830779708</v>
      </c>
      <c r="N577" s="14">
        <f t="shared" si="35"/>
        <v>0</v>
      </c>
      <c r="O577" s="4">
        <f t="shared" si="35"/>
        <v>20549.880830779708</v>
      </c>
      <c r="P577" s="4">
        <f>IFERROR(SUM(L572:L577)/SUM(I572:I577),"")</f>
        <v>20500.524812046126</v>
      </c>
    </row>
    <row r="578" spans="1:16" x14ac:dyDescent="0.4">
      <c r="A578" s="16">
        <v>42870</v>
      </c>
      <c r="B578" s="21">
        <v>20550</v>
      </c>
      <c r="C578" s="21">
        <v>20600</v>
      </c>
      <c r="D578" s="21">
        <v>20550</v>
      </c>
      <c r="E578" s="21">
        <v>20600</v>
      </c>
      <c r="F578" s="12">
        <v>0.24</v>
      </c>
      <c r="G578" s="14">
        <f t="shared" si="30"/>
        <v>13700</v>
      </c>
      <c r="H578" s="14">
        <v>0</v>
      </c>
      <c r="I578" s="14">
        <v>13700</v>
      </c>
      <c r="J578" s="14">
        <f t="shared" si="31"/>
        <v>281720000</v>
      </c>
      <c r="K578" s="14">
        <v>0</v>
      </c>
      <c r="L578" s="14">
        <v>281720000</v>
      </c>
      <c r="M578" s="14">
        <f t="shared" si="35"/>
        <v>20563.503649635037</v>
      </c>
      <c r="N578" s="14">
        <f t="shared" si="35"/>
        <v>0</v>
      </c>
      <c r="O578" s="4">
        <f t="shared" si="35"/>
        <v>20563.503649635037</v>
      </c>
      <c r="P578" s="22"/>
    </row>
    <row r="579" spans="1:16" x14ac:dyDescent="0.4">
      <c r="A579" s="16">
        <v>42871</v>
      </c>
      <c r="B579" s="21">
        <v>20600</v>
      </c>
      <c r="C579" s="21">
        <v>20600</v>
      </c>
      <c r="D579" s="21">
        <v>20600</v>
      </c>
      <c r="E579" s="21">
        <v>20600</v>
      </c>
      <c r="F579" s="12">
        <v>0</v>
      </c>
      <c r="G579" s="14">
        <f t="shared" si="30"/>
        <v>8807</v>
      </c>
      <c r="H579" s="14">
        <v>0</v>
      </c>
      <c r="I579" s="14">
        <v>8807</v>
      </c>
      <c r="J579" s="14">
        <f t="shared" si="31"/>
        <v>181424000</v>
      </c>
      <c r="K579" s="14">
        <v>0</v>
      </c>
      <c r="L579" s="14">
        <v>181424000</v>
      </c>
      <c r="M579" s="14">
        <f t="shared" si="35"/>
        <v>20599.977290791416</v>
      </c>
      <c r="N579" s="14">
        <f t="shared" si="35"/>
        <v>0</v>
      </c>
      <c r="O579" s="4">
        <f t="shared" si="35"/>
        <v>20599.977290791416</v>
      </c>
      <c r="P579" s="22"/>
    </row>
    <row r="580" spans="1:16" x14ac:dyDescent="0.4">
      <c r="A580" s="16">
        <v>42872</v>
      </c>
      <c r="B580" s="21">
        <v>20650</v>
      </c>
      <c r="C580" s="21">
        <v>20650</v>
      </c>
      <c r="D580" s="21">
        <v>20600</v>
      </c>
      <c r="E580" s="21">
        <v>20600</v>
      </c>
      <c r="F580" s="12">
        <v>0</v>
      </c>
      <c r="G580" s="14">
        <f t="shared" si="30"/>
        <v>24000</v>
      </c>
      <c r="H580" s="14">
        <v>25000</v>
      </c>
      <c r="I580" s="14">
        <v>49000</v>
      </c>
      <c r="J580" s="14">
        <f t="shared" si="31"/>
        <v>494600000</v>
      </c>
      <c r="K580" s="14">
        <v>515000000</v>
      </c>
      <c r="L580" s="14">
        <v>1009600000</v>
      </c>
      <c r="M580" s="14">
        <f t="shared" si="35"/>
        <v>20608.333333333332</v>
      </c>
      <c r="N580" s="14">
        <f t="shared" si="35"/>
        <v>20600</v>
      </c>
      <c r="O580" s="4">
        <f t="shared" si="35"/>
        <v>20604.081632653062</v>
      </c>
      <c r="P580" s="22"/>
    </row>
    <row r="581" spans="1:16" x14ac:dyDescent="0.4">
      <c r="A581" s="16">
        <v>42873</v>
      </c>
      <c r="B581" s="21">
        <v>20600</v>
      </c>
      <c r="C581" s="21">
        <v>20650</v>
      </c>
      <c r="D581" s="21">
        <v>20600</v>
      </c>
      <c r="E581" s="21">
        <v>20650</v>
      </c>
      <c r="F581" s="12">
        <v>0.24</v>
      </c>
      <c r="G581" s="14">
        <f t="shared" si="30"/>
        <v>26324</v>
      </c>
      <c r="H581" s="14">
        <v>0</v>
      </c>
      <c r="I581" s="14">
        <v>26324</v>
      </c>
      <c r="J581" s="14">
        <f t="shared" si="31"/>
        <v>542414000</v>
      </c>
      <c r="K581" s="14">
        <v>0</v>
      </c>
      <c r="L581" s="14">
        <v>542414000</v>
      </c>
      <c r="M581" s="14">
        <f t="shared" si="35"/>
        <v>20605.303145418631</v>
      </c>
      <c r="N581" s="14">
        <f t="shared" si="35"/>
        <v>0</v>
      </c>
      <c r="O581" s="4">
        <f t="shared" si="35"/>
        <v>20605.303145418631</v>
      </c>
      <c r="P581" s="22"/>
    </row>
    <row r="582" spans="1:16" x14ac:dyDescent="0.4">
      <c r="A582" s="16">
        <v>42874</v>
      </c>
      <c r="B582" s="21">
        <v>20650</v>
      </c>
      <c r="C582" s="21">
        <v>20650</v>
      </c>
      <c r="D582" s="21">
        <v>20650</v>
      </c>
      <c r="E582" s="21">
        <v>20650</v>
      </c>
      <c r="F582" s="12">
        <v>0</v>
      </c>
      <c r="G582" s="14">
        <f t="shared" si="30"/>
        <v>30900</v>
      </c>
      <c r="H582" s="14">
        <v>0</v>
      </c>
      <c r="I582" s="14">
        <v>30900</v>
      </c>
      <c r="J582" s="14">
        <f t="shared" si="31"/>
        <v>638085000</v>
      </c>
      <c r="K582" s="14">
        <v>0</v>
      </c>
      <c r="L582" s="14">
        <v>638085000</v>
      </c>
      <c r="M582" s="14">
        <f t="shared" si="35"/>
        <v>20650</v>
      </c>
      <c r="N582" s="14">
        <f t="shared" si="35"/>
        <v>0</v>
      </c>
      <c r="O582" s="4">
        <f t="shared" si="35"/>
        <v>20650</v>
      </c>
      <c r="P582" s="4">
        <f>IFERROR(SUM(L578:L582)/SUM(I578:I582),"")</f>
        <v>20610.754208388033</v>
      </c>
    </row>
    <row r="583" spans="1:16" x14ac:dyDescent="0.4">
      <c r="A583" s="16">
        <v>42877</v>
      </c>
      <c r="B583" s="21">
        <v>20650</v>
      </c>
      <c r="C583" s="21">
        <v>20650</v>
      </c>
      <c r="D583" s="21">
        <v>20650</v>
      </c>
      <c r="E583" s="21">
        <v>20650</v>
      </c>
      <c r="F583" s="12">
        <v>0</v>
      </c>
      <c r="G583" s="14">
        <f t="shared" si="30"/>
        <v>0</v>
      </c>
      <c r="H583" s="14">
        <v>0</v>
      </c>
      <c r="I583" s="14">
        <v>0</v>
      </c>
      <c r="J583" s="14">
        <f t="shared" si="31"/>
        <v>0</v>
      </c>
      <c r="K583" s="14">
        <v>0</v>
      </c>
      <c r="L583" s="14">
        <v>0</v>
      </c>
      <c r="M583" s="14">
        <f t="shared" si="35"/>
        <v>0</v>
      </c>
      <c r="N583" s="14">
        <f t="shared" si="35"/>
        <v>0</v>
      </c>
      <c r="O583" s="4">
        <f t="shared" si="35"/>
        <v>0</v>
      </c>
      <c r="P583" s="22"/>
    </row>
    <row r="584" spans="1:16" x14ac:dyDescent="0.4">
      <c r="A584" s="16">
        <v>42878</v>
      </c>
      <c r="B584" s="21">
        <v>20650</v>
      </c>
      <c r="C584" s="21">
        <v>20650</v>
      </c>
      <c r="D584" s="21">
        <v>20650</v>
      </c>
      <c r="E584" s="21">
        <v>20650</v>
      </c>
      <c r="F584" s="12">
        <v>0</v>
      </c>
      <c r="G584" s="14">
        <f t="shared" si="30"/>
        <v>243</v>
      </c>
      <c r="H584" s="14">
        <v>0</v>
      </c>
      <c r="I584" s="14">
        <v>243</v>
      </c>
      <c r="J584" s="14">
        <f t="shared" si="31"/>
        <v>5018000</v>
      </c>
      <c r="K584" s="14">
        <v>0</v>
      </c>
      <c r="L584" s="14">
        <v>5018000</v>
      </c>
      <c r="M584" s="14">
        <f t="shared" si="35"/>
        <v>20650.205761316873</v>
      </c>
      <c r="N584" s="14">
        <f t="shared" si="35"/>
        <v>0</v>
      </c>
      <c r="O584" s="4">
        <f t="shared" si="35"/>
        <v>20650.205761316873</v>
      </c>
      <c r="P584" s="22"/>
    </row>
    <row r="585" spans="1:16" x14ac:dyDescent="0.4">
      <c r="A585" s="16">
        <v>42879</v>
      </c>
      <c r="B585" s="21">
        <v>20700</v>
      </c>
      <c r="C585" s="21">
        <v>20700</v>
      </c>
      <c r="D585" s="21">
        <v>20700</v>
      </c>
      <c r="E585" s="21">
        <v>20700</v>
      </c>
      <c r="F585" s="12">
        <v>0.24</v>
      </c>
      <c r="G585" s="14">
        <f t="shared" si="30"/>
        <v>0</v>
      </c>
      <c r="H585" s="14">
        <v>50682</v>
      </c>
      <c r="I585" s="14">
        <v>50682</v>
      </c>
      <c r="J585" s="14">
        <f t="shared" si="31"/>
        <v>0</v>
      </c>
      <c r="K585" s="14">
        <v>1046583000</v>
      </c>
      <c r="L585" s="14">
        <v>1046583000</v>
      </c>
      <c r="M585" s="14">
        <f t="shared" si="35"/>
        <v>0</v>
      </c>
      <c r="N585" s="14">
        <f t="shared" si="35"/>
        <v>20649.994080738725</v>
      </c>
      <c r="O585" s="4">
        <f t="shared" si="35"/>
        <v>20649.994080738725</v>
      </c>
      <c r="P585" s="22"/>
    </row>
    <row r="586" spans="1:16" x14ac:dyDescent="0.4">
      <c r="A586" s="16">
        <v>42880</v>
      </c>
      <c r="B586" s="21">
        <v>20800</v>
      </c>
      <c r="C586" s="21">
        <v>20800</v>
      </c>
      <c r="D586" s="21">
        <v>20800</v>
      </c>
      <c r="E586" s="21">
        <v>20800</v>
      </c>
      <c r="F586" s="12">
        <v>0.48</v>
      </c>
      <c r="G586" s="14">
        <f t="shared" si="30"/>
        <v>0</v>
      </c>
      <c r="H586" s="14">
        <v>22000</v>
      </c>
      <c r="I586" s="14">
        <v>22000</v>
      </c>
      <c r="J586" s="14">
        <f t="shared" si="31"/>
        <v>0</v>
      </c>
      <c r="K586" s="14">
        <v>452100000</v>
      </c>
      <c r="L586" s="14">
        <v>452100000</v>
      </c>
      <c r="M586" s="14">
        <f t="shared" si="35"/>
        <v>0</v>
      </c>
      <c r="N586" s="14">
        <f t="shared" si="35"/>
        <v>20550</v>
      </c>
      <c r="O586" s="4">
        <f t="shared" si="35"/>
        <v>20550</v>
      </c>
      <c r="P586" s="22"/>
    </row>
    <row r="587" spans="1:16" x14ac:dyDescent="0.4">
      <c r="A587" s="16">
        <v>42881</v>
      </c>
      <c r="B587" s="21">
        <v>20800</v>
      </c>
      <c r="C587" s="21">
        <v>20800</v>
      </c>
      <c r="D587" s="21">
        <v>20800</v>
      </c>
      <c r="E587" s="21">
        <v>20800</v>
      </c>
      <c r="F587" s="12">
        <v>0</v>
      </c>
      <c r="G587" s="14">
        <f t="shared" si="30"/>
        <v>0</v>
      </c>
      <c r="H587" s="14">
        <v>0</v>
      </c>
      <c r="I587" s="14">
        <v>0</v>
      </c>
      <c r="J587" s="14">
        <f t="shared" si="31"/>
        <v>0</v>
      </c>
      <c r="K587" s="14">
        <v>0</v>
      </c>
      <c r="L587" s="14">
        <v>0</v>
      </c>
      <c r="M587" s="14">
        <f t="shared" si="35"/>
        <v>0</v>
      </c>
      <c r="N587" s="14">
        <f t="shared" si="35"/>
        <v>0</v>
      </c>
      <c r="O587" s="4">
        <f t="shared" si="35"/>
        <v>0</v>
      </c>
      <c r="P587" s="4">
        <f>IFERROR(SUM(L583:L587)/SUM(I583:I587),"")</f>
        <v>20619.828591018169</v>
      </c>
    </row>
    <row r="588" spans="1:16" x14ac:dyDescent="0.4">
      <c r="A588" s="16">
        <v>42884</v>
      </c>
      <c r="B588" s="21">
        <v>20900</v>
      </c>
      <c r="C588" s="21">
        <v>20900</v>
      </c>
      <c r="D588" s="21">
        <v>20800</v>
      </c>
      <c r="E588" s="21">
        <v>20800</v>
      </c>
      <c r="F588" s="12">
        <v>0</v>
      </c>
      <c r="G588" s="14">
        <f t="shared" si="30"/>
        <v>42177</v>
      </c>
      <c r="H588" s="14">
        <v>0</v>
      </c>
      <c r="I588" s="14">
        <v>42177</v>
      </c>
      <c r="J588" s="14">
        <f t="shared" si="31"/>
        <v>877712000</v>
      </c>
      <c r="K588" s="14">
        <v>0</v>
      </c>
      <c r="L588" s="14">
        <v>877712000</v>
      </c>
      <c r="M588" s="14">
        <f t="shared" si="35"/>
        <v>20810.204613889087</v>
      </c>
      <c r="N588" s="14">
        <f t="shared" si="35"/>
        <v>0</v>
      </c>
      <c r="O588" s="4">
        <f t="shared" si="35"/>
        <v>20810.204613889087</v>
      </c>
      <c r="P588" s="22"/>
    </row>
    <row r="589" spans="1:16" x14ac:dyDescent="0.4">
      <c r="A589" s="16">
        <v>42885</v>
      </c>
      <c r="B589" s="21">
        <v>20850</v>
      </c>
      <c r="C589" s="21">
        <v>20850</v>
      </c>
      <c r="D589" s="21">
        <v>20850</v>
      </c>
      <c r="E589" s="21">
        <v>20850</v>
      </c>
      <c r="F589" s="12">
        <v>0.24</v>
      </c>
      <c r="G589" s="14">
        <f t="shared" ref="G589:G652" si="36">I589-H589</f>
        <v>20500</v>
      </c>
      <c r="H589" s="14">
        <v>20000</v>
      </c>
      <c r="I589" s="14">
        <v>40500</v>
      </c>
      <c r="J589" s="14">
        <f t="shared" ref="J589:J652" si="37">L589-K589</f>
        <v>427425000</v>
      </c>
      <c r="K589" s="14">
        <v>418000000</v>
      </c>
      <c r="L589" s="14">
        <v>845425000</v>
      </c>
      <c r="M589" s="14">
        <f t="shared" si="35"/>
        <v>20850</v>
      </c>
      <c r="N589" s="14">
        <f t="shared" si="35"/>
        <v>20900</v>
      </c>
      <c r="O589" s="4">
        <f t="shared" si="35"/>
        <v>20874.691358024691</v>
      </c>
      <c r="P589" s="22"/>
    </row>
    <row r="590" spans="1:16" x14ac:dyDescent="0.4">
      <c r="A590" s="16">
        <v>42886</v>
      </c>
      <c r="B590" s="21">
        <v>20950</v>
      </c>
      <c r="C590" s="21">
        <v>20950</v>
      </c>
      <c r="D590" s="21">
        <v>20950</v>
      </c>
      <c r="E590" s="21">
        <v>20950</v>
      </c>
      <c r="F590" s="12">
        <v>0.48</v>
      </c>
      <c r="G590" s="14">
        <f t="shared" si="36"/>
        <v>0</v>
      </c>
      <c r="H590" s="14">
        <v>20000</v>
      </c>
      <c r="I590" s="14">
        <v>20000</v>
      </c>
      <c r="J590" s="14">
        <f t="shared" si="37"/>
        <v>0</v>
      </c>
      <c r="K590" s="14">
        <v>417000000</v>
      </c>
      <c r="L590" s="14">
        <v>417000000</v>
      </c>
      <c r="M590" s="14">
        <f t="shared" si="35"/>
        <v>0</v>
      </c>
      <c r="N590" s="14">
        <f t="shared" si="35"/>
        <v>20850</v>
      </c>
      <c r="O590" s="4">
        <f t="shared" si="35"/>
        <v>20850</v>
      </c>
      <c r="P590" s="22"/>
    </row>
    <row r="591" spans="1:16" x14ac:dyDescent="0.4">
      <c r="A591" s="16">
        <v>42887</v>
      </c>
      <c r="B591" s="21">
        <v>21000</v>
      </c>
      <c r="C591" s="21">
        <v>21000</v>
      </c>
      <c r="D591" s="21">
        <v>20950</v>
      </c>
      <c r="E591" s="21">
        <v>21000</v>
      </c>
      <c r="F591" s="12">
        <v>0.24</v>
      </c>
      <c r="G591" s="14">
        <f t="shared" si="36"/>
        <v>27470</v>
      </c>
      <c r="H591" s="14">
        <v>403107</v>
      </c>
      <c r="I591" s="14">
        <v>430577</v>
      </c>
      <c r="J591" s="14">
        <f t="shared" si="37"/>
        <v>576404000</v>
      </c>
      <c r="K591" s="14">
        <v>8440300000</v>
      </c>
      <c r="L591" s="14">
        <v>9016704000</v>
      </c>
      <c r="M591" s="14">
        <f t="shared" si="35"/>
        <v>20983.036039315619</v>
      </c>
      <c r="N591" s="14">
        <f t="shared" si="35"/>
        <v>20938.113205674919</v>
      </c>
      <c r="O591" s="4">
        <f t="shared" si="35"/>
        <v>20940.979197681252</v>
      </c>
      <c r="P591" s="22"/>
    </row>
    <row r="592" spans="1:16" x14ac:dyDescent="0.4">
      <c r="A592" s="16">
        <v>42888</v>
      </c>
      <c r="B592" s="21">
        <v>20500</v>
      </c>
      <c r="C592" s="21">
        <v>20500</v>
      </c>
      <c r="D592" s="21">
        <v>20500</v>
      </c>
      <c r="E592" s="21">
        <v>20500</v>
      </c>
      <c r="F592" s="12">
        <v>-2.38</v>
      </c>
      <c r="G592" s="14">
        <f t="shared" si="36"/>
        <v>10000</v>
      </c>
      <c r="H592" s="14">
        <v>728008</v>
      </c>
      <c r="I592" s="14">
        <v>738008</v>
      </c>
      <c r="J592" s="14">
        <f t="shared" si="37"/>
        <v>205000000</v>
      </c>
      <c r="K592" s="14">
        <v>15184014000</v>
      </c>
      <c r="L592" s="14">
        <v>15389014000</v>
      </c>
      <c r="M592" s="14">
        <f t="shared" si="35"/>
        <v>20500</v>
      </c>
      <c r="N592" s="14">
        <f t="shared" si="35"/>
        <v>20856.932890847354</v>
      </c>
      <c r="O592" s="4">
        <f t="shared" si="35"/>
        <v>20852.096454238977</v>
      </c>
      <c r="P592" s="4">
        <f>IFERROR(SUM(L588:L592)/SUM(I588:I592),"")</f>
        <v>20881.498070421359</v>
      </c>
    </row>
    <row r="593" spans="1:16" x14ac:dyDescent="0.4">
      <c r="A593" s="16">
        <v>42891</v>
      </c>
      <c r="B593" s="21">
        <v>20500</v>
      </c>
      <c r="C593" s="21">
        <v>20600</v>
      </c>
      <c r="D593" s="21">
        <v>20500</v>
      </c>
      <c r="E593" s="21">
        <v>20600</v>
      </c>
      <c r="F593" s="12">
        <v>0.49</v>
      </c>
      <c r="G593" s="14">
        <f t="shared" si="36"/>
        <v>18350</v>
      </c>
      <c r="H593" s="14">
        <v>0</v>
      </c>
      <c r="I593" s="14">
        <v>18350</v>
      </c>
      <c r="J593" s="14">
        <f t="shared" si="37"/>
        <v>376815000</v>
      </c>
      <c r="K593" s="14">
        <v>0</v>
      </c>
      <c r="L593" s="14">
        <v>376815000</v>
      </c>
      <c r="M593" s="14">
        <f t="shared" si="35"/>
        <v>20534.877384196185</v>
      </c>
      <c r="N593" s="14">
        <f t="shared" si="35"/>
        <v>0</v>
      </c>
      <c r="O593" s="4">
        <f t="shared" si="35"/>
        <v>20534.877384196185</v>
      </c>
      <c r="P593" s="22"/>
    </row>
    <row r="594" spans="1:16" x14ac:dyDescent="0.4">
      <c r="A594" s="16">
        <v>42893</v>
      </c>
      <c r="B594" s="21">
        <v>20500</v>
      </c>
      <c r="C594" s="21">
        <v>20600</v>
      </c>
      <c r="D594" s="21">
        <v>20500</v>
      </c>
      <c r="E594" s="21">
        <v>20500</v>
      </c>
      <c r="F594" s="12">
        <v>-0.49</v>
      </c>
      <c r="G594" s="14">
        <f t="shared" si="36"/>
        <v>39004</v>
      </c>
      <c r="H594" s="14">
        <v>23536</v>
      </c>
      <c r="I594" s="14">
        <v>62540</v>
      </c>
      <c r="J594" s="14">
        <f t="shared" si="37"/>
        <v>799832000</v>
      </c>
      <c r="K594" s="14">
        <v>482488000</v>
      </c>
      <c r="L594" s="14">
        <v>1282320000</v>
      </c>
      <c r="M594" s="14">
        <f t="shared" si="35"/>
        <v>20506.409599015486</v>
      </c>
      <c r="N594" s="14">
        <f t="shared" si="35"/>
        <v>20500</v>
      </c>
      <c r="O594" s="4">
        <f t="shared" si="35"/>
        <v>20503.997441637352</v>
      </c>
      <c r="P594" s="22"/>
    </row>
    <row r="595" spans="1:16" x14ac:dyDescent="0.4">
      <c r="A595" s="16">
        <v>42894</v>
      </c>
      <c r="B595" s="21">
        <v>20500</v>
      </c>
      <c r="C595" s="21">
        <v>20500</v>
      </c>
      <c r="D595" s="21">
        <v>20500</v>
      </c>
      <c r="E595" s="21">
        <v>20500</v>
      </c>
      <c r="F595" s="12">
        <v>0</v>
      </c>
      <c r="G595" s="14">
        <f t="shared" si="36"/>
        <v>30084</v>
      </c>
      <c r="H595" s="14">
        <v>341805</v>
      </c>
      <c r="I595" s="14">
        <v>371889</v>
      </c>
      <c r="J595" s="14">
        <f t="shared" si="37"/>
        <v>616722000</v>
      </c>
      <c r="K595" s="14">
        <v>7007003000</v>
      </c>
      <c r="L595" s="14">
        <v>7623725000</v>
      </c>
      <c r="M595" s="14">
        <f t="shared" si="35"/>
        <v>20500</v>
      </c>
      <c r="N595" s="14">
        <f t="shared" si="35"/>
        <v>20500.001462822369</v>
      </c>
      <c r="O595" s="4">
        <f t="shared" si="35"/>
        <v>20500.001344487198</v>
      </c>
      <c r="P595" s="22"/>
    </row>
    <row r="596" spans="1:16" x14ac:dyDescent="0.4">
      <c r="A596" s="16">
        <v>42895</v>
      </c>
      <c r="B596" s="21">
        <v>20600</v>
      </c>
      <c r="C596" s="21">
        <v>20600</v>
      </c>
      <c r="D596" s="21">
        <v>20200</v>
      </c>
      <c r="E596" s="21">
        <v>20500</v>
      </c>
      <c r="F596" s="12">
        <v>0</v>
      </c>
      <c r="G596" s="14">
        <f t="shared" si="36"/>
        <v>96271</v>
      </c>
      <c r="H596" s="14">
        <v>174896</v>
      </c>
      <c r="I596" s="14">
        <v>271167</v>
      </c>
      <c r="J596" s="14">
        <f t="shared" si="37"/>
        <v>1974457000</v>
      </c>
      <c r="K596" s="14">
        <v>3585368000</v>
      </c>
      <c r="L596" s="14">
        <v>5559825000</v>
      </c>
      <c r="M596" s="14">
        <f t="shared" si="35"/>
        <v>20509.364190670087</v>
      </c>
      <c r="N596" s="14">
        <f t="shared" si="35"/>
        <v>20500</v>
      </c>
      <c r="O596" s="4">
        <f t="shared" si="35"/>
        <v>20503.324519576498</v>
      </c>
      <c r="P596" s="4">
        <f>IFERROR(SUM(L593:L596)/SUM(I593:I596),"")</f>
        <v>20502.475322745067</v>
      </c>
    </row>
    <row r="597" spans="1:16" x14ac:dyDescent="0.4">
      <c r="A597" s="16">
        <v>42898</v>
      </c>
      <c r="B597" s="21">
        <v>20500</v>
      </c>
      <c r="C597" s="21">
        <v>20600</v>
      </c>
      <c r="D597" s="21">
        <v>20250</v>
      </c>
      <c r="E597" s="21">
        <v>20250</v>
      </c>
      <c r="F597" s="12">
        <v>-1.22</v>
      </c>
      <c r="G597" s="14">
        <f t="shared" si="36"/>
        <v>132855</v>
      </c>
      <c r="H597" s="14">
        <v>0</v>
      </c>
      <c r="I597" s="14">
        <v>132855</v>
      </c>
      <c r="J597" s="14">
        <f t="shared" si="37"/>
        <v>2708636000</v>
      </c>
      <c r="K597" s="14">
        <v>0</v>
      </c>
      <c r="L597" s="14">
        <v>2708636000</v>
      </c>
      <c r="M597" s="14">
        <f t="shared" si="35"/>
        <v>20387.911632983327</v>
      </c>
      <c r="N597" s="14">
        <f t="shared" si="35"/>
        <v>0</v>
      </c>
      <c r="O597" s="4">
        <f t="shared" si="35"/>
        <v>20387.911632983327</v>
      </c>
      <c r="P597" s="22"/>
    </row>
    <row r="598" spans="1:16" x14ac:dyDescent="0.4">
      <c r="A598" s="16">
        <v>42899</v>
      </c>
      <c r="B598" s="21">
        <v>20250</v>
      </c>
      <c r="C598" s="21">
        <v>20500</v>
      </c>
      <c r="D598" s="21">
        <v>20200</v>
      </c>
      <c r="E598" s="21">
        <v>20500</v>
      </c>
      <c r="F598" s="12">
        <v>1.23</v>
      </c>
      <c r="G598" s="14">
        <f t="shared" si="36"/>
        <v>52816</v>
      </c>
      <c r="H598" s="14">
        <v>6900</v>
      </c>
      <c r="I598" s="14">
        <v>59716</v>
      </c>
      <c r="J598" s="14">
        <f t="shared" si="37"/>
        <v>1074003000</v>
      </c>
      <c r="K598" s="14">
        <v>139725000</v>
      </c>
      <c r="L598" s="14">
        <v>1213728000</v>
      </c>
      <c r="M598" s="14">
        <f t="shared" si="35"/>
        <v>20334.803847318995</v>
      </c>
      <c r="N598" s="14">
        <f t="shared" si="35"/>
        <v>20250</v>
      </c>
      <c r="O598" s="4">
        <f t="shared" si="35"/>
        <v>20325.00502377922</v>
      </c>
      <c r="P598" s="22"/>
    </row>
    <row r="599" spans="1:16" x14ac:dyDescent="0.4">
      <c r="A599" s="16">
        <v>42900</v>
      </c>
      <c r="B599" s="21">
        <v>20500</v>
      </c>
      <c r="C599" s="21">
        <v>20550</v>
      </c>
      <c r="D599" s="21">
        <v>20500</v>
      </c>
      <c r="E599" s="21">
        <v>20550</v>
      </c>
      <c r="F599" s="12">
        <v>0.24</v>
      </c>
      <c r="G599" s="14">
        <f t="shared" si="36"/>
        <v>3184</v>
      </c>
      <c r="H599" s="14">
        <v>0</v>
      </c>
      <c r="I599" s="14">
        <v>3184</v>
      </c>
      <c r="J599" s="14">
        <f t="shared" si="37"/>
        <v>65386000</v>
      </c>
      <c r="K599" s="14">
        <v>0</v>
      </c>
      <c r="L599" s="14">
        <v>65386000</v>
      </c>
      <c r="M599" s="14">
        <f t="shared" si="35"/>
        <v>20535.804020100502</v>
      </c>
      <c r="N599" s="14">
        <f t="shared" si="35"/>
        <v>0</v>
      </c>
      <c r="O599" s="4">
        <f t="shared" si="35"/>
        <v>20535.804020100502</v>
      </c>
      <c r="P599" s="22"/>
    </row>
    <row r="600" spans="1:16" x14ac:dyDescent="0.4">
      <c r="A600" s="16">
        <v>42901</v>
      </c>
      <c r="B600" s="21">
        <v>20600</v>
      </c>
      <c r="C600" s="21">
        <v>20600</v>
      </c>
      <c r="D600" s="21">
        <v>20300</v>
      </c>
      <c r="E600" s="21">
        <v>20300</v>
      </c>
      <c r="F600" s="12">
        <v>-1.22</v>
      </c>
      <c r="G600" s="14">
        <f t="shared" si="36"/>
        <v>33080</v>
      </c>
      <c r="H600" s="14">
        <v>0</v>
      </c>
      <c r="I600" s="14">
        <v>33080</v>
      </c>
      <c r="J600" s="14">
        <f t="shared" si="37"/>
        <v>676332000</v>
      </c>
      <c r="K600" s="14">
        <v>0</v>
      </c>
      <c r="L600" s="14">
        <v>676332000</v>
      </c>
      <c r="M600" s="14">
        <f t="shared" si="35"/>
        <v>20445.344619105199</v>
      </c>
      <c r="N600" s="14">
        <f t="shared" si="35"/>
        <v>0</v>
      </c>
      <c r="O600" s="4">
        <f t="shared" si="35"/>
        <v>20445.344619105199</v>
      </c>
      <c r="P600" s="22"/>
    </row>
    <row r="601" spans="1:16" x14ac:dyDescent="0.4">
      <c r="A601" s="16">
        <v>42902</v>
      </c>
      <c r="B601" s="21">
        <v>21000</v>
      </c>
      <c r="C601" s="21">
        <v>21000</v>
      </c>
      <c r="D601" s="21">
        <v>21000</v>
      </c>
      <c r="E601" s="21">
        <v>21000</v>
      </c>
      <c r="F601" s="12">
        <v>3.45</v>
      </c>
      <c r="G601" s="14">
        <f t="shared" si="36"/>
        <v>17721</v>
      </c>
      <c r="H601" s="14">
        <v>0</v>
      </c>
      <c r="I601" s="14">
        <v>17721</v>
      </c>
      <c r="J601" s="14">
        <f t="shared" si="37"/>
        <v>372141000</v>
      </c>
      <c r="K601" s="14">
        <v>0</v>
      </c>
      <c r="L601" s="14">
        <v>372141000</v>
      </c>
      <c r="M601" s="14">
        <f t="shared" si="35"/>
        <v>21000</v>
      </c>
      <c r="N601" s="14">
        <f t="shared" si="35"/>
        <v>0</v>
      </c>
      <c r="O601" s="4">
        <f t="shared" si="35"/>
        <v>21000</v>
      </c>
      <c r="P601" s="4">
        <f>IFERROR(SUM(L597:L601)/SUM(I597:I601),"")</f>
        <v>20426.284495205957</v>
      </c>
    </row>
    <row r="602" spans="1:16" x14ac:dyDescent="0.4">
      <c r="A602" s="16">
        <v>42905</v>
      </c>
      <c r="B602" s="21">
        <v>21000</v>
      </c>
      <c r="C602" s="21">
        <v>21000</v>
      </c>
      <c r="D602" s="21">
        <v>21000</v>
      </c>
      <c r="E602" s="21">
        <v>21000</v>
      </c>
      <c r="F602" s="12">
        <v>0</v>
      </c>
      <c r="G602" s="14">
        <f t="shared" si="36"/>
        <v>0</v>
      </c>
      <c r="H602" s="14">
        <v>0</v>
      </c>
      <c r="I602" s="14">
        <v>0</v>
      </c>
      <c r="J602" s="14">
        <f t="shared" si="37"/>
        <v>0</v>
      </c>
      <c r="K602" s="14">
        <v>0</v>
      </c>
      <c r="L602" s="14">
        <v>0</v>
      </c>
      <c r="M602" s="14">
        <f t="shared" si="35"/>
        <v>0</v>
      </c>
      <c r="N602" s="14">
        <f t="shared" si="35"/>
        <v>0</v>
      </c>
      <c r="O602" s="4">
        <f t="shared" si="35"/>
        <v>0</v>
      </c>
      <c r="P602" s="22"/>
    </row>
    <row r="603" spans="1:16" x14ac:dyDescent="0.4">
      <c r="A603" s="16">
        <v>42906</v>
      </c>
      <c r="B603" s="21">
        <v>21000</v>
      </c>
      <c r="C603" s="21">
        <v>21000</v>
      </c>
      <c r="D603" s="21">
        <v>21000</v>
      </c>
      <c r="E603" s="21">
        <v>21000</v>
      </c>
      <c r="F603" s="12">
        <v>0</v>
      </c>
      <c r="G603" s="14">
        <f t="shared" si="36"/>
        <v>0</v>
      </c>
      <c r="H603" s="14">
        <v>0</v>
      </c>
      <c r="I603" s="14">
        <v>0</v>
      </c>
      <c r="J603" s="14">
        <f t="shared" si="37"/>
        <v>0</v>
      </c>
      <c r="K603" s="14">
        <v>0</v>
      </c>
      <c r="L603" s="14">
        <v>0</v>
      </c>
      <c r="M603" s="14">
        <f t="shared" si="35"/>
        <v>0</v>
      </c>
      <c r="N603" s="14">
        <f t="shared" si="35"/>
        <v>0</v>
      </c>
      <c r="O603" s="4">
        <f t="shared" si="35"/>
        <v>0</v>
      </c>
      <c r="P603" s="22"/>
    </row>
    <row r="604" spans="1:16" x14ac:dyDescent="0.4">
      <c r="A604" s="16">
        <v>42907</v>
      </c>
      <c r="B604" s="21">
        <v>21000</v>
      </c>
      <c r="C604" s="21">
        <v>21000</v>
      </c>
      <c r="D604" s="21">
        <v>21000</v>
      </c>
      <c r="E604" s="21">
        <v>21000</v>
      </c>
      <c r="F604" s="12">
        <v>0</v>
      </c>
      <c r="G604" s="14">
        <f t="shared" si="36"/>
        <v>15000</v>
      </c>
      <c r="H604" s="14">
        <v>0</v>
      </c>
      <c r="I604" s="14">
        <v>15000</v>
      </c>
      <c r="J604" s="14">
        <f t="shared" si="37"/>
        <v>315000000</v>
      </c>
      <c r="K604" s="14">
        <v>0</v>
      </c>
      <c r="L604" s="14">
        <v>315000000</v>
      </c>
      <c r="M604" s="14">
        <f t="shared" si="35"/>
        <v>21000</v>
      </c>
      <c r="N604" s="14">
        <f t="shared" si="35"/>
        <v>0</v>
      </c>
      <c r="O604" s="4">
        <f t="shared" si="35"/>
        <v>21000</v>
      </c>
      <c r="P604" s="22"/>
    </row>
    <row r="605" spans="1:16" x14ac:dyDescent="0.4">
      <c r="A605" s="16">
        <v>42908</v>
      </c>
      <c r="B605" s="21">
        <v>21000</v>
      </c>
      <c r="C605" s="21">
        <v>21000</v>
      </c>
      <c r="D605" s="21">
        <v>21000</v>
      </c>
      <c r="E605" s="21">
        <v>21000</v>
      </c>
      <c r="F605" s="12">
        <v>0</v>
      </c>
      <c r="G605" s="14">
        <f t="shared" si="36"/>
        <v>11196</v>
      </c>
      <c r="H605" s="14">
        <v>10200</v>
      </c>
      <c r="I605" s="14">
        <v>21396</v>
      </c>
      <c r="J605" s="14">
        <f t="shared" si="37"/>
        <v>235116000</v>
      </c>
      <c r="K605" s="14">
        <v>214200000</v>
      </c>
      <c r="L605" s="14">
        <v>449316000</v>
      </c>
      <c r="M605" s="14">
        <f t="shared" si="35"/>
        <v>21000</v>
      </c>
      <c r="N605" s="14">
        <f t="shared" si="35"/>
        <v>21000</v>
      </c>
      <c r="O605" s="4">
        <f t="shared" si="35"/>
        <v>21000</v>
      </c>
      <c r="P605" s="22"/>
    </row>
    <row r="606" spans="1:16" x14ac:dyDescent="0.4">
      <c r="A606" s="16">
        <v>42909</v>
      </c>
      <c r="B606" s="21">
        <v>21000</v>
      </c>
      <c r="C606" s="21">
        <v>21000</v>
      </c>
      <c r="D606" s="21">
        <v>20200</v>
      </c>
      <c r="E606" s="21">
        <v>20200</v>
      </c>
      <c r="F606" s="12">
        <v>-3.81</v>
      </c>
      <c r="G606" s="14">
        <f t="shared" si="36"/>
        <v>19641</v>
      </c>
      <c r="H606" s="14">
        <v>0</v>
      </c>
      <c r="I606" s="14">
        <v>19641</v>
      </c>
      <c r="J606" s="14">
        <f t="shared" si="37"/>
        <v>409578000</v>
      </c>
      <c r="K606" s="14">
        <v>0</v>
      </c>
      <c r="L606" s="14">
        <v>409578000</v>
      </c>
      <c r="M606" s="14">
        <f t="shared" si="35"/>
        <v>20853.215213074691</v>
      </c>
      <c r="N606" s="14">
        <f t="shared" si="35"/>
        <v>0</v>
      </c>
      <c r="O606" s="4">
        <f t="shared" si="35"/>
        <v>20853.215213074691</v>
      </c>
      <c r="P606" s="4">
        <f>IFERROR(SUM(L602:L606)/SUM(I602:I606),"")</f>
        <v>20948.551849670752</v>
      </c>
    </row>
    <row r="607" spans="1:16" x14ac:dyDescent="0.4">
      <c r="A607" s="16">
        <v>42912</v>
      </c>
      <c r="B607" s="21">
        <v>21000</v>
      </c>
      <c r="C607" s="21">
        <v>21000</v>
      </c>
      <c r="D607" s="21">
        <v>21000</v>
      </c>
      <c r="E607" s="21">
        <v>21000</v>
      </c>
      <c r="F607" s="12">
        <v>3.96</v>
      </c>
      <c r="G607" s="14">
        <f t="shared" si="36"/>
        <v>2993</v>
      </c>
      <c r="H607" s="14">
        <v>42365</v>
      </c>
      <c r="I607" s="14">
        <v>45358</v>
      </c>
      <c r="J607" s="14">
        <f t="shared" si="37"/>
        <v>62853000</v>
      </c>
      <c r="K607" s="14">
        <v>855773000</v>
      </c>
      <c r="L607" s="14">
        <v>918626000</v>
      </c>
      <c r="M607" s="14">
        <f t="shared" si="35"/>
        <v>21000</v>
      </c>
      <c r="N607" s="14">
        <f t="shared" si="35"/>
        <v>20200</v>
      </c>
      <c r="O607" s="4">
        <f t="shared" si="35"/>
        <v>20252.788923673885</v>
      </c>
      <c r="P607" s="22"/>
    </row>
    <row r="608" spans="1:16" x14ac:dyDescent="0.4">
      <c r="A608" s="16">
        <v>42913</v>
      </c>
      <c r="B608" s="21">
        <v>21000</v>
      </c>
      <c r="C608" s="21">
        <v>21000</v>
      </c>
      <c r="D608" s="21">
        <v>21000</v>
      </c>
      <c r="E608" s="21">
        <v>21000</v>
      </c>
      <c r="F608" s="12">
        <v>0</v>
      </c>
      <c r="G608" s="14">
        <f t="shared" si="36"/>
        <v>0</v>
      </c>
      <c r="H608" s="14">
        <v>14501</v>
      </c>
      <c r="I608" s="14">
        <v>14501</v>
      </c>
      <c r="J608" s="14">
        <f t="shared" si="37"/>
        <v>0</v>
      </c>
      <c r="K608" s="14">
        <v>293645000</v>
      </c>
      <c r="L608" s="14">
        <v>293645000</v>
      </c>
      <c r="M608" s="14">
        <f t="shared" si="35"/>
        <v>0</v>
      </c>
      <c r="N608" s="14">
        <f t="shared" si="35"/>
        <v>20249.982759809667</v>
      </c>
      <c r="O608" s="4">
        <f t="shared" si="35"/>
        <v>20249.982759809667</v>
      </c>
      <c r="P608" s="22"/>
    </row>
    <row r="609" spans="1:16" x14ac:dyDescent="0.4">
      <c r="A609" s="16">
        <v>42914</v>
      </c>
      <c r="B609" s="21">
        <v>21000</v>
      </c>
      <c r="C609" s="21">
        <v>21000</v>
      </c>
      <c r="D609" s="21">
        <v>21000</v>
      </c>
      <c r="E609" s="21">
        <v>21000</v>
      </c>
      <c r="F609" s="12">
        <v>0</v>
      </c>
      <c r="G609" s="14">
        <f t="shared" si="36"/>
        <v>18781</v>
      </c>
      <c r="H609" s="14">
        <v>14450</v>
      </c>
      <c r="I609" s="14">
        <v>33231</v>
      </c>
      <c r="J609" s="14">
        <f t="shared" si="37"/>
        <v>394401000</v>
      </c>
      <c r="K609" s="14">
        <v>303450000</v>
      </c>
      <c r="L609" s="14">
        <v>697851000</v>
      </c>
      <c r="M609" s="14">
        <f t="shared" si="35"/>
        <v>21000</v>
      </c>
      <c r="N609" s="14">
        <f t="shared" si="35"/>
        <v>21000</v>
      </c>
      <c r="O609" s="4">
        <f t="shared" si="35"/>
        <v>21000</v>
      </c>
      <c r="P609" s="22"/>
    </row>
    <row r="610" spans="1:16" x14ac:dyDescent="0.4">
      <c r="A610" s="16">
        <v>42915</v>
      </c>
      <c r="B610" s="21">
        <v>21000</v>
      </c>
      <c r="C610" s="21">
        <v>21500</v>
      </c>
      <c r="D610" s="21">
        <v>21000</v>
      </c>
      <c r="E610" s="21">
        <v>21500</v>
      </c>
      <c r="F610" s="12">
        <v>2.38</v>
      </c>
      <c r="G610" s="14">
        <f t="shared" si="36"/>
        <v>11061</v>
      </c>
      <c r="H610" s="14">
        <v>0</v>
      </c>
      <c r="I610" s="14">
        <v>11061</v>
      </c>
      <c r="J610" s="14">
        <f t="shared" si="37"/>
        <v>232811000</v>
      </c>
      <c r="K610" s="14">
        <v>0</v>
      </c>
      <c r="L610" s="14">
        <v>232811000</v>
      </c>
      <c r="M610" s="14">
        <f t="shared" si="35"/>
        <v>21047.916101618299</v>
      </c>
      <c r="N610" s="14">
        <f t="shared" si="35"/>
        <v>0</v>
      </c>
      <c r="O610" s="4">
        <f t="shared" si="35"/>
        <v>21047.916101618299</v>
      </c>
      <c r="P610" s="22"/>
    </row>
    <row r="611" spans="1:16" x14ac:dyDescent="0.4">
      <c r="A611" s="16">
        <v>42916</v>
      </c>
      <c r="B611" s="21">
        <v>21500</v>
      </c>
      <c r="C611" s="21">
        <v>21500</v>
      </c>
      <c r="D611" s="21">
        <v>21500</v>
      </c>
      <c r="E611" s="21">
        <v>21500</v>
      </c>
      <c r="F611" s="12">
        <v>0</v>
      </c>
      <c r="G611" s="14">
        <f t="shared" si="36"/>
        <v>4581</v>
      </c>
      <c r="H611" s="14">
        <v>0</v>
      </c>
      <c r="I611" s="14">
        <v>4581</v>
      </c>
      <c r="J611" s="14">
        <f t="shared" si="37"/>
        <v>98491000</v>
      </c>
      <c r="K611" s="14">
        <v>0</v>
      </c>
      <c r="L611" s="14">
        <v>98491000</v>
      </c>
      <c r="M611" s="14">
        <f t="shared" si="35"/>
        <v>21499.89085352543</v>
      </c>
      <c r="N611" s="14">
        <f t="shared" si="35"/>
        <v>0</v>
      </c>
      <c r="O611" s="4">
        <f t="shared" si="35"/>
        <v>21499.89085352543</v>
      </c>
      <c r="P611" s="4">
        <f>IFERROR(SUM(L607:L611)/SUM(I607:I611),"")</f>
        <v>20614.207409042418</v>
      </c>
    </row>
    <row r="612" spans="1:16" x14ac:dyDescent="0.4">
      <c r="A612" s="16">
        <v>42919</v>
      </c>
      <c r="B612" s="11">
        <v>20350</v>
      </c>
      <c r="C612" s="11">
        <v>20350</v>
      </c>
      <c r="D612" s="11">
        <v>20350</v>
      </c>
      <c r="E612" s="11">
        <v>20350</v>
      </c>
      <c r="F612" s="12">
        <v>0</v>
      </c>
      <c r="G612" s="13">
        <f t="shared" si="36"/>
        <v>15000</v>
      </c>
      <c r="H612" s="13">
        <v>0</v>
      </c>
      <c r="I612" s="13">
        <v>15000</v>
      </c>
      <c r="J612" s="14">
        <f t="shared" si="37"/>
        <v>305250000</v>
      </c>
      <c r="K612" s="13">
        <v>0</v>
      </c>
      <c r="L612" s="13">
        <v>305250000</v>
      </c>
      <c r="M612" s="14">
        <f t="shared" ref="M612:O696" si="38">IFERROR(J612/G612,0)</f>
        <v>20350</v>
      </c>
      <c r="N612" s="14">
        <f t="shared" si="38"/>
        <v>0</v>
      </c>
      <c r="O612" s="4">
        <f t="shared" si="38"/>
        <v>20350</v>
      </c>
      <c r="P612" s="4"/>
    </row>
    <row r="613" spans="1:16" x14ac:dyDescent="0.4">
      <c r="A613" s="16">
        <v>42920</v>
      </c>
      <c r="B613" s="11">
        <v>20350</v>
      </c>
      <c r="C613" s="11">
        <v>20350</v>
      </c>
      <c r="D613" s="11">
        <v>20350</v>
      </c>
      <c r="E613" s="11">
        <v>20350</v>
      </c>
      <c r="F613" s="12">
        <v>0</v>
      </c>
      <c r="G613" s="13">
        <f t="shared" si="36"/>
        <v>10000</v>
      </c>
      <c r="H613" s="13">
        <v>0</v>
      </c>
      <c r="I613" s="13">
        <v>10000</v>
      </c>
      <c r="J613" s="13">
        <f t="shared" si="37"/>
        <v>203500000</v>
      </c>
      <c r="K613" s="13">
        <v>0</v>
      </c>
      <c r="L613" s="13">
        <v>203500000</v>
      </c>
      <c r="M613" s="14">
        <f t="shared" si="38"/>
        <v>20350</v>
      </c>
      <c r="N613" s="14">
        <f t="shared" si="38"/>
        <v>0</v>
      </c>
      <c r="O613" s="4">
        <f t="shared" si="38"/>
        <v>20350</v>
      </c>
      <c r="P613" s="4"/>
    </row>
    <row r="614" spans="1:16" x14ac:dyDescent="0.4">
      <c r="A614" s="16">
        <v>42921</v>
      </c>
      <c r="B614" s="11">
        <v>20350</v>
      </c>
      <c r="C614" s="11">
        <v>20400</v>
      </c>
      <c r="D614" s="11">
        <v>20350</v>
      </c>
      <c r="E614" s="11">
        <v>20350</v>
      </c>
      <c r="F614" s="12">
        <v>0</v>
      </c>
      <c r="G614" s="13">
        <f t="shared" si="36"/>
        <v>16500</v>
      </c>
      <c r="H614" s="13">
        <v>0</v>
      </c>
      <c r="I614" s="13">
        <v>16500</v>
      </c>
      <c r="J614" s="14">
        <f t="shared" si="37"/>
        <v>335850000</v>
      </c>
      <c r="K614" s="14">
        <v>0</v>
      </c>
      <c r="L614" s="14">
        <v>335850000</v>
      </c>
      <c r="M614" s="14">
        <f t="shared" si="38"/>
        <v>20354.545454545456</v>
      </c>
      <c r="N614" s="14">
        <f t="shared" si="38"/>
        <v>0</v>
      </c>
      <c r="O614" s="4">
        <f t="shared" si="38"/>
        <v>20354.545454545456</v>
      </c>
      <c r="P614" s="4"/>
    </row>
    <row r="615" spans="1:16" x14ac:dyDescent="0.4">
      <c r="A615" s="16">
        <v>42922</v>
      </c>
      <c r="B615" s="11">
        <v>20350</v>
      </c>
      <c r="C615" s="11">
        <v>20350</v>
      </c>
      <c r="D615" s="11">
        <v>20350</v>
      </c>
      <c r="E615" s="11">
        <v>20350</v>
      </c>
      <c r="F615" s="12">
        <v>0</v>
      </c>
      <c r="G615" s="13">
        <f t="shared" si="36"/>
        <v>20000</v>
      </c>
      <c r="H615" s="13">
        <v>0</v>
      </c>
      <c r="I615" s="13">
        <v>20000</v>
      </c>
      <c r="J615" s="14">
        <f t="shared" si="37"/>
        <v>407000000</v>
      </c>
      <c r="K615" s="13">
        <v>0</v>
      </c>
      <c r="L615" s="13">
        <v>407000000</v>
      </c>
      <c r="M615" s="14">
        <f t="shared" si="38"/>
        <v>20350</v>
      </c>
      <c r="N615" s="14">
        <f t="shared" si="38"/>
        <v>0</v>
      </c>
      <c r="O615" s="4">
        <f t="shared" si="38"/>
        <v>20350</v>
      </c>
      <c r="P615" s="4"/>
    </row>
    <row r="616" spans="1:16" x14ac:dyDescent="0.4">
      <c r="A616" s="16">
        <v>42923</v>
      </c>
      <c r="B616" s="11">
        <v>20350</v>
      </c>
      <c r="C616" s="11">
        <v>20350</v>
      </c>
      <c r="D616" s="11">
        <v>20350</v>
      </c>
      <c r="E616" s="11">
        <v>20350</v>
      </c>
      <c r="F616" s="12">
        <v>0</v>
      </c>
      <c r="G616" s="13">
        <f t="shared" si="36"/>
        <v>0</v>
      </c>
      <c r="H616" s="13">
        <v>0</v>
      </c>
      <c r="I616" s="13">
        <v>0</v>
      </c>
      <c r="J616" s="14">
        <f t="shared" si="37"/>
        <v>0</v>
      </c>
      <c r="K616" s="13">
        <v>0</v>
      </c>
      <c r="L616" s="13">
        <v>0</v>
      </c>
      <c r="M616" s="14">
        <f t="shared" si="38"/>
        <v>0</v>
      </c>
      <c r="N616" s="14">
        <f t="shared" si="38"/>
        <v>0</v>
      </c>
      <c r="O616" s="4">
        <f t="shared" si="38"/>
        <v>0</v>
      </c>
      <c r="P616" s="4">
        <f>IFERROR(SUM(L612:L616)/SUM(I612:I616),"")</f>
        <v>20351.219512195123</v>
      </c>
    </row>
    <row r="617" spans="1:16" x14ac:dyDescent="0.4">
      <c r="A617" s="16">
        <v>42926</v>
      </c>
      <c r="B617" s="11">
        <v>20350</v>
      </c>
      <c r="C617" s="11">
        <v>20350</v>
      </c>
      <c r="D617" s="11">
        <v>20350</v>
      </c>
      <c r="E617" s="11">
        <v>20350</v>
      </c>
      <c r="F617" s="12">
        <v>0</v>
      </c>
      <c r="G617" s="13">
        <f t="shared" si="36"/>
        <v>6430</v>
      </c>
      <c r="H617" s="13">
        <v>0</v>
      </c>
      <c r="I617" s="13">
        <v>6430</v>
      </c>
      <c r="J617" s="13">
        <f t="shared" si="37"/>
        <v>130851000</v>
      </c>
      <c r="K617" s="13">
        <v>0</v>
      </c>
      <c r="L617" s="13">
        <v>130851000</v>
      </c>
      <c r="M617" s="14">
        <f t="shared" si="38"/>
        <v>20350.077760497668</v>
      </c>
      <c r="N617" s="14">
        <f t="shared" si="38"/>
        <v>0</v>
      </c>
      <c r="O617" s="4">
        <f t="shared" si="38"/>
        <v>20350.077760497668</v>
      </c>
      <c r="P617" s="4"/>
    </row>
    <row r="618" spans="1:16" x14ac:dyDescent="0.4">
      <c r="A618" s="16">
        <v>42927</v>
      </c>
      <c r="B618" s="11">
        <v>20350</v>
      </c>
      <c r="C618" s="11">
        <v>20350</v>
      </c>
      <c r="D618" s="11">
        <v>20350</v>
      </c>
      <c r="E618" s="11">
        <v>20350</v>
      </c>
      <c r="F618" s="12">
        <v>0</v>
      </c>
      <c r="G618" s="13">
        <f t="shared" si="36"/>
        <v>10000</v>
      </c>
      <c r="H618" s="13">
        <v>0</v>
      </c>
      <c r="I618" s="13">
        <v>10000</v>
      </c>
      <c r="J618" s="13">
        <f t="shared" si="37"/>
        <v>203500000</v>
      </c>
      <c r="K618" s="13">
        <v>0</v>
      </c>
      <c r="L618" s="13">
        <v>203500000</v>
      </c>
      <c r="M618" s="14">
        <f t="shared" si="38"/>
        <v>20350</v>
      </c>
      <c r="N618" s="14">
        <f t="shared" si="38"/>
        <v>0</v>
      </c>
      <c r="O618" s="4">
        <f t="shared" si="38"/>
        <v>20350</v>
      </c>
      <c r="P618" s="4"/>
    </row>
    <row r="619" spans="1:16" x14ac:dyDescent="0.4">
      <c r="A619" s="16">
        <v>42928</v>
      </c>
      <c r="B619" s="11">
        <v>20350</v>
      </c>
      <c r="C619" s="11">
        <v>20350</v>
      </c>
      <c r="D619" s="11">
        <v>20350</v>
      </c>
      <c r="E619" s="11">
        <v>20350</v>
      </c>
      <c r="F619" s="12">
        <v>0</v>
      </c>
      <c r="G619" s="13">
        <f t="shared" si="36"/>
        <v>13100</v>
      </c>
      <c r="H619" s="13">
        <v>0</v>
      </c>
      <c r="I619" s="13">
        <v>13100</v>
      </c>
      <c r="J619" s="14">
        <f t="shared" si="37"/>
        <v>266585000</v>
      </c>
      <c r="K619" s="14">
        <v>0</v>
      </c>
      <c r="L619" s="14">
        <v>266585000</v>
      </c>
      <c r="M619" s="14">
        <f t="shared" si="38"/>
        <v>20350</v>
      </c>
      <c r="N619" s="14">
        <f t="shared" si="38"/>
        <v>0</v>
      </c>
      <c r="O619" s="4">
        <f t="shared" si="38"/>
        <v>20350</v>
      </c>
      <c r="P619" s="4"/>
    </row>
    <row r="620" spans="1:16" x14ac:dyDescent="0.4">
      <c r="A620" s="16">
        <v>42929</v>
      </c>
      <c r="B620" s="11">
        <v>20300</v>
      </c>
      <c r="C620" s="11">
        <v>20350</v>
      </c>
      <c r="D620" s="11">
        <v>20300</v>
      </c>
      <c r="E620" s="11">
        <v>20350</v>
      </c>
      <c r="F620" s="12">
        <v>0</v>
      </c>
      <c r="G620" s="13">
        <f t="shared" si="36"/>
        <v>19500</v>
      </c>
      <c r="H620" s="13">
        <v>0</v>
      </c>
      <c r="I620" s="13">
        <v>19500</v>
      </c>
      <c r="J620" s="14">
        <f t="shared" si="37"/>
        <v>396100000</v>
      </c>
      <c r="K620" s="13">
        <v>0</v>
      </c>
      <c r="L620" s="13">
        <v>396100000</v>
      </c>
      <c r="M620" s="14">
        <f t="shared" si="38"/>
        <v>20312.820512820512</v>
      </c>
      <c r="N620" s="14">
        <f t="shared" si="38"/>
        <v>0</v>
      </c>
      <c r="O620" s="4">
        <f t="shared" si="38"/>
        <v>20312.820512820512</v>
      </c>
      <c r="P620" s="4"/>
    </row>
    <row r="621" spans="1:16" x14ac:dyDescent="0.4">
      <c r="A621" s="16">
        <v>42930</v>
      </c>
      <c r="B621" s="11">
        <v>20350</v>
      </c>
      <c r="C621" s="11">
        <v>20350</v>
      </c>
      <c r="D621" s="11">
        <v>20350</v>
      </c>
      <c r="E621" s="11">
        <v>20350</v>
      </c>
      <c r="F621" s="12">
        <v>0</v>
      </c>
      <c r="G621" s="13">
        <f t="shared" si="36"/>
        <v>15000</v>
      </c>
      <c r="H621" s="13">
        <v>0</v>
      </c>
      <c r="I621" s="13">
        <v>15000</v>
      </c>
      <c r="J621" s="14">
        <f t="shared" si="37"/>
        <v>305250000</v>
      </c>
      <c r="K621" s="13">
        <v>0</v>
      </c>
      <c r="L621" s="13">
        <v>305250000</v>
      </c>
      <c r="M621" s="14">
        <f t="shared" si="38"/>
        <v>20350</v>
      </c>
      <c r="N621" s="14">
        <f t="shared" si="38"/>
        <v>0</v>
      </c>
      <c r="O621" s="4">
        <f t="shared" si="38"/>
        <v>20350</v>
      </c>
      <c r="P621" s="4">
        <f>IFERROR(SUM(L617:L621)/SUM(I617:I621),"")</f>
        <v>20338.684991410275</v>
      </c>
    </row>
    <row r="622" spans="1:16" x14ac:dyDescent="0.4">
      <c r="A622" s="16">
        <v>42933</v>
      </c>
      <c r="B622" s="11">
        <v>20350</v>
      </c>
      <c r="C622" s="11">
        <v>20350</v>
      </c>
      <c r="D622" s="11">
        <v>20350</v>
      </c>
      <c r="E622" s="11">
        <v>20350</v>
      </c>
      <c r="F622" s="12">
        <v>0</v>
      </c>
      <c r="G622" s="13">
        <f t="shared" si="36"/>
        <v>15000</v>
      </c>
      <c r="H622" s="13">
        <v>0</v>
      </c>
      <c r="I622" s="13">
        <v>15000</v>
      </c>
      <c r="J622" s="13">
        <f t="shared" si="37"/>
        <v>305250000</v>
      </c>
      <c r="K622" s="13">
        <v>0</v>
      </c>
      <c r="L622" s="13">
        <v>305250000</v>
      </c>
      <c r="M622" s="14">
        <f t="shared" si="38"/>
        <v>20350</v>
      </c>
      <c r="N622" s="14">
        <f t="shared" si="38"/>
        <v>0</v>
      </c>
      <c r="O622" s="4">
        <f t="shared" si="38"/>
        <v>20350</v>
      </c>
      <c r="P622" s="4"/>
    </row>
    <row r="623" spans="1:16" x14ac:dyDescent="0.4">
      <c r="A623" s="16">
        <v>42934</v>
      </c>
      <c r="B623" s="11">
        <v>20350</v>
      </c>
      <c r="C623" s="11">
        <v>20350</v>
      </c>
      <c r="D623" s="11">
        <v>20300</v>
      </c>
      <c r="E623" s="11">
        <v>20300</v>
      </c>
      <c r="F623" s="12">
        <v>-0.25</v>
      </c>
      <c r="G623" s="13">
        <f t="shared" si="36"/>
        <v>45000</v>
      </c>
      <c r="H623" s="13">
        <v>0</v>
      </c>
      <c r="I623" s="13">
        <v>45000</v>
      </c>
      <c r="J623" s="14">
        <f t="shared" si="37"/>
        <v>915522000</v>
      </c>
      <c r="K623" s="13">
        <v>0</v>
      </c>
      <c r="L623" s="13">
        <v>915522000</v>
      </c>
      <c r="M623" s="14">
        <f t="shared" si="38"/>
        <v>20344.933333333334</v>
      </c>
      <c r="N623" s="14">
        <f t="shared" si="38"/>
        <v>0</v>
      </c>
      <c r="O623" s="4">
        <f t="shared" si="38"/>
        <v>20344.933333333334</v>
      </c>
      <c r="P623" s="4"/>
    </row>
    <row r="624" spans="1:16" x14ac:dyDescent="0.4">
      <c r="A624" s="16">
        <v>42935</v>
      </c>
      <c r="B624" s="11">
        <v>20300</v>
      </c>
      <c r="C624" s="11">
        <v>20350</v>
      </c>
      <c r="D624" s="11">
        <v>20300</v>
      </c>
      <c r="E624" s="11">
        <v>20350</v>
      </c>
      <c r="F624" s="12">
        <v>0.25</v>
      </c>
      <c r="G624" s="13">
        <f t="shared" si="36"/>
        <v>10327</v>
      </c>
      <c r="H624" s="13">
        <v>30191</v>
      </c>
      <c r="I624" s="13">
        <v>40518</v>
      </c>
      <c r="J624" s="14">
        <f t="shared" si="37"/>
        <v>209655000</v>
      </c>
      <c r="K624" s="13">
        <v>612877000</v>
      </c>
      <c r="L624" s="13">
        <v>822532000</v>
      </c>
      <c r="M624" s="14">
        <f t="shared" si="38"/>
        <v>20301.636486879055</v>
      </c>
      <c r="N624" s="14">
        <f t="shared" si="38"/>
        <v>20299.990063263886</v>
      </c>
      <c r="O624" s="4">
        <f t="shared" si="38"/>
        <v>20300.409694456786</v>
      </c>
      <c r="P624" s="4"/>
    </row>
    <row r="625" spans="1:16" x14ac:dyDescent="0.4">
      <c r="A625" s="16">
        <v>42936</v>
      </c>
      <c r="B625" s="11">
        <v>20350</v>
      </c>
      <c r="C625" s="11">
        <v>20350</v>
      </c>
      <c r="D625" s="11">
        <v>20350</v>
      </c>
      <c r="E625" s="11">
        <v>20350</v>
      </c>
      <c r="F625" s="12">
        <v>0</v>
      </c>
      <c r="G625" s="13">
        <f t="shared" si="36"/>
        <v>15500</v>
      </c>
      <c r="H625" s="13">
        <v>0</v>
      </c>
      <c r="I625" s="13">
        <v>15500</v>
      </c>
      <c r="J625" s="14">
        <f t="shared" si="37"/>
        <v>315425000</v>
      </c>
      <c r="K625" s="13">
        <v>0</v>
      </c>
      <c r="L625" s="13">
        <v>315425000</v>
      </c>
      <c r="M625" s="14">
        <f t="shared" si="38"/>
        <v>20350</v>
      </c>
      <c r="N625" s="14">
        <f t="shared" si="38"/>
        <v>0</v>
      </c>
      <c r="O625" s="4">
        <f t="shared" si="38"/>
        <v>20350</v>
      </c>
      <c r="P625" s="4"/>
    </row>
    <row r="626" spans="1:16" x14ac:dyDescent="0.4">
      <c r="A626" s="16">
        <v>42937</v>
      </c>
      <c r="B626" s="11">
        <v>20350</v>
      </c>
      <c r="C626" s="11">
        <v>20350</v>
      </c>
      <c r="D626" s="11">
        <v>20350</v>
      </c>
      <c r="E626" s="11">
        <v>20350</v>
      </c>
      <c r="F626" s="12">
        <v>0</v>
      </c>
      <c r="G626" s="13">
        <f t="shared" si="36"/>
        <v>5000</v>
      </c>
      <c r="H626" s="13">
        <v>60000</v>
      </c>
      <c r="I626" s="13">
        <v>65000</v>
      </c>
      <c r="J626" s="14">
        <f t="shared" si="37"/>
        <v>101750000</v>
      </c>
      <c r="K626" s="13">
        <v>1224000000</v>
      </c>
      <c r="L626" s="13">
        <v>1325750000</v>
      </c>
      <c r="M626" s="14">
        <f t="shared" si="38"/>
        <v>20350</v>
      </c>
      <c r="N626" s="14">
        <f t="shared" si="38"/>
        <v>20400</v>
      </c>
      <c r="O626" s="4">
        <f t="shared" si="38"/>
        <v>20396.153846153848</v>
      </c>
      <c r="P626" s="4">
        <f>IFERROR(SUM(L622:L626)/SUM(I622:I626),"")</f>
        <v>20354.213393143222</v>
      </c>
    </row>
    <row r="627" spans="1:16" x14ac:dyDescent="0.4">
      <c r="A627" s="16">
        <v>42940</v>
      </c>
      <c r="B627" s="11">
        <v>20350</v>
      </c>
      <c r="C627" s="11">
        <v>20350</v>
      </c>
      <c r="D627" s="11">
        <v>20350</v>
      </c>
      <c r="E627" s="11">
        <v>20350</v>
      </c>
      <c r="F627" s="12">
        <v>0</v>
      </c>
      <c r="G627" s="13">
        <f t="shared" si="36"/>
        <v>4296</v>
      </c>
      <c r="H627" s="13">
        <v>0</v>
      </c>
      <c r="I627" s="13">
        <v>4296</v>
      </c>
      <c r="J627" s="14">
        <f t="shared" si="37"/>
        <v>87424000</v>
      </c>
      <c r="K627" s="13">
        <v>0</v>
      </c>
      <c r="L627" s="13">
        <v>87424000</v>
      </c>
      <c r="M627" s="14">
        <f t="shared" si="38"/>
        <v>20350.093109869646</v>
      </c>
      <c r="N627" s="14">
        <f t="shared" si="38"/>
        <v>0</v>
      </c>
      <c r="O627" s="4">
        <f t="shared" si="38"/>
        <v>20350.093109869646</v>
      </c>
      <c r="P627" s="4"/>
    </row>
    <row r="628" spans="1:16" x14ac:dyDescent="0.4">
      <c r="A628" s="16">
        <v>42941</v>
      </c>
      <c r="B628" s="11">
        <v>20350</v>
      </c>
      <c r="C628" s="11">
        <v>20350</v>
      </c>
      <c r="D628" s="11">
        <v>20350</v>
      </c>
      <c r="E628" s="11">
        <v>20350</v>
      </c>
      <c r="F628" s="12">
        <v>0</v>
      </c>
      <c r="G628" s="13">
        <f t="shared" si="36"/>
        <v>30000</v>
      </c>
      <c r="H628" s="13">
        <v>20000</v>
      </c>
      <c r="I628" s="13">
        <v>50000</v>
      </c>
      <c r="J628" s="13">
        <f t="shared" si="37"/>
        <v>610500000</v>
      </c>
      <c r="K628" s="13">
        <v>407000000</v>
      </c>
      <c r="L628" s="13">
        <v>1017500000</v>
      </c>
      <c r="M628" s="14">
        <f t="shared" si="38"/>
        <v>20350</v>
      </c>
      <c r="N628" s="14">
        <f t="shared" si="38"/>
        <v>20350</v>
      </c>
      <c r="O628" s="4">
        <f t="shared" si="38"/>
        <v>20350</v>
      </c>
      <c r="P628" s="4"/>
    </row>
    <row r="629" spans="1:16" x14ac:dyDescent="0.4">
      <c r="A629" s="16">
        <v>42942</v>
      </c>
      <c r="B629" s="11">
        <v>20350</v>
      </c>
      <c r="C629" s="11">
        <v>20350</v>
      </c>
      <c r="D629" s="11">
        <v>20350</v>
      </c>
      <c r="E629" s="11">
        <v>20350</v>
      </c>
      <c r="F629" s="12">
        <v>0</v>
      </c>
      <c r="G629" s="13">
        <f t="shared" si="36"/>
        <v>10547</v>
      </c>
      <c r="H629" s="13">
        <v>0</v>
      </c>
      <c r="I629" s="13">
        <v>10547</v>
      </c>
      <c r="J629" s="14">
        <f t="shared" si="37"/>
        <v>214631000</v>
      </c>
      <c r="K629" s="14">
        <v>0</v>
      </c>
      <c r="L629" s="14">
        <v>214631000</v>
      </c>
      <c r="M629" s="14">
        <f t="shared" si="38"/>
        <v>20349.957333839007</v>
      </c>
      <c r="N629" s="14">
        <f t="shared" si="38"/>
        <v>0</v>
      </c>
      <c r="O629" s="4">
        <f t="shared" si="38"/>
        <v>20349.957333839007</v>
      </c>
      <c r="P629" s="4"/>
    </row>
    <row r="630" spans="1:16" x14ac:dyDescent="0.4">
      <c r="A630" s="16">
        <v>42943</v>
      </c>
      <c r="B630" s="11">
        <v>20350</v>
      </c>
      <c r="C630" s="11">
        <v>20350</v>
      </c>
      <c r="D630" s="11">
        <v>20350</v>
      </c>
      <c r="E630" s="11">
        <v>20350</v>
      </c>
      <c r="F630" s="12">
        <v>0</v>
      </c>
      <c r="G630" s="13">
        <f t="shared" si="36"/>
        <v>9353</v>
      </c>
      <c r="H630" s="13">
        <v>9400</v>
      </c>
      <c r="I630" s="13">
        <v>18753</v>
      </c>
      <c r="J630" s="14">
        <f t="shared" si="37"/>
        <v>190334000</v>
      </c>
      <c r="K630" s="13">
        <v>191290000</v>
      </c>
      <c r="L630" s="13">
        <v>381624000</v>
      </c>
      <c r="M630" s="14">
        <f t="shared" si="38"/>
        <v>20350.048112904951</v>
      </c>
      <c r="N630" s="14">
        <f t="shared" si="38"/>
        <v>20350</v>
      </c>
      <c r="O630" s="4">
        <f t="shared" si="38"/>
        <v>20350.023996160613</v>
      </c>
      <c r="P630" s="4"/>
    </row>
    <row r="631" spans="1:16" x14ac:dyDescent="0.4">
      <c r="A631" s="16">
        <v>42944</v>
      </c>
      <c r="B631" s="11">
        <v>20350</v>
      </c>
      <c r="C631" s="11">
        <v>20350</v>
      </c>
      <c r="D631" s="11">
        <v>20350</v>
      </c>
      <c r="E631" s="11">
        <v>20350</v>
      </c>
      <c r="F631" s="12">
        <v>0</v>
      </c>
      <c r="G631" s="13">
        <f t="shared" si="36"/>
        <v>10620</v>
      </c>
      <c r="H631" s="13">
        <v>0</v>
      </c>
      <c r="I631" s="13">
        <v>10620</v>
      </c>
      <c r="J631" s="14">
        <f t="shared" si="37"/>
        <v>216117000</v>
      </c>
      <c r="K631" s="13">
        <v>0</v>
      </c>
      <c r="L631" s="13">
        <v>216117000</v>
      </c>
      <c r="M631" s="14">
        <f t="shared" si="38"/>
        <v>20350</v>
      </c>
      <c r="N631" s="14">
        <f t="shared" si="38"/>
        <v>0</v>
      </c>
      <c r="O631" s="4">
        <f t="shared" si="38"/>
        <v>20350</v>
      </c>
      <c r="P631" s="4">
        <f>IFERROR(SUM(L627:L631)/SUM(I627:I631),"")</f>
        <v>20350.004245563385</v>
      </c>
    </row>
    <row r="632" spans="1:16" x14ac:dyDescent="0.4">
      <c r="A632" s="16">
        <v>42947</v>
      </c>
      <c r="B632" s="11">
        <v>20350</v>
      </c>
      <c r="C632" s="11">
        <v>20350</v>
      </c>
      <c r="D632" s="11">
        <v>20350</v>
      </c>
      <c r="E632" s="11">
        <v>20350</v>
      </c>
      <c r="F632" s="12">
        <v>0</v>
      </c>
      <c r="G632" s="13">
        <f t="shared" si="36"/>
        <v>0</v>
      </c>
      <c r="H632" s="13">
        <v>0</v>
      </c>
      <c r="I632" s="13">
        <v>0</v>
      </c>
      <c r="J632" s="14">
        <f t="shared" si="37"/>
        <v>0</v>
      </c>
      <c r="K632" s="13">
        <v>0</v>
      </c>
      <c r="L632" s="13">
        <v>0</v>
      </c>
      <c r="M632" s="14">
        <f t="shared" si="38"/>
        <v>0</v>
      </c>
      <c r="N632" s="14">
        <f t="shared" si="38"/>
        <v>0</v>
      </c>
      <c r="O632" s="4">
        <f t="shared" si="38"/>
        <v>0</v>
      </c>
      <c r="P632" s="4"/>
    </row>
    <row r="633" spans="1:16" x14ac:dyDescent="0.4">
      <c r="A633" s="16">
        <v>42948</v>
      </c>
      <c r="B633" s="11">
        <v>20350</v>
      </c>
      <c r="C633" s="11">
        <v>20350</v>
      </c>
      <c r="D633" s="11">
        <v>20350</v>
      </c>
      <c r="E633" s="11">
        <v>20350</v>
      </c>
      <c r="F633" s="12">
        <v>0</v>
      </c>
      <c r="G633" s="13">
        <f t="shared" si="36"/>
        <v>0</v>
      </c>
      <c r="H633" s="13">
        <v>50000</v>
      </c>
      <c r="I633" s="13">
        <v>50000</v>
      </c>
      <c r="J633" s="14">
        <f t="shared" si="37"/>
        <v>0</v>
      </c>
      <c r="K633" s="13">
        <v>1017500000</v>
      </c>
      <c r="L633" s="13">
        <v>1017500000</v>
      </c>
      <c r="M633" s="14">
        <f t="shared" si="38"/>
        <v>0</v>
      </c>
      <c r="N633" s="14">
        <f t="shared" si="38"/>
        <v>20350</v>
      </c>
      <c r="O633" s="4">
        <f t="shared" si="38"/>
        <v>20350</v>
      </c>
      <c r="P633" s="4"/>
    </row>
    <row r="634" spans="1:16" x14ac:dyDescent="0.4">
      <c r="A634" s="16">
        <v>42949</v>
      </c>
      <c r="B634" s="11">
        <v>20350</v>
      </c>
      <c r="C634" s="11">
        <v>20350</v>
      </c>
      <c r="D634" s="11">
        <v>20350</v>
      </c>
      <c r="E634" s="11">
        <v>20350</v>
      </c>
      <c r="F634" s="12">
        <v>0</v>
      </c>
      <c r="G634" s="13">
        <f t="shared" si="36"/>
        <v>7400</v>
      </c>
      <c r="H634" s="13">
        <v>0</v>
      </c>
      <c r="I634" s="13">
        <v>7400</v>
      </c>
      <c r="J634" s="14">
        <f t="shared" si="37"/>
        <v>150590000</v>
      </c>
      <c r="K634" s="13">
        <v>0</v>
      </c>
      <c r="L634" s="13">
        <v>150590000</v>
      </c>
      <c r="M634" s="14">
        <f t="shared" si="38"/>
        <v>20350</v>
      </c>
      <c r="N634" s="14">
        <f t="shared" si="38"/>
        <v>0</v>
      </c>
      <c r="O634" s="4">
        <f t="shared" si="38"/>
        <v>20350</v>
      </c>
      <c r="P634" s="4"/>
    </row>
    <row r="635" spans="1:16" x14ac:dyDescent="0.4">
      <c r="A635" s="16">
        <v>42950</v>
      </c>
      <c r="B635" s="11">
        <v>20350</v>
      </c>
      <c r="C635" s="11">
        <v>20350</v>
      </c>
      <c r="D635" s="11">
        <v>20350</v>
      </c>
      <c r="E635" s="11">
        <v>20350</v>
      </c>
      <c r="F635" s="12">
        <v>0</v>
      </c>
      <c r="G635" s="13">
        <f t="shared" si="36"/>
        <v>945</v>
      </c>
      <c r="H635" s="13">
        <v>0</v>
      </c>
      <c r="I635" s="13">
        <v>945</v>
      </c>
      <c r="J635" s="14">
        <f t="shared" si="37"/>
        <v>19231000</v>
      </c>
      <c r="K635" s="13">
        <v>0</v>
      </c>
      <c r="L635" s="13">
        <v>19231000</v>
      </c>
      <c r="M635" s="14">
        <f t="shared" si="38"/>
        <v>20350.26455026455</v>
      </c>
      <c r="N635" s="14">
        <f t="shared" si="38"/>
        <v>0</v>
      </c>
      <c r="O635" s="4">
        <f t="shared" si="38"/>
        <v>20350.26455026455</v>
      </c>
      <c r="P635" s="4"/>
    </row>
    <row r="636" spans="1:16" x14ac:dyDescent="0.4">
      <c r="A636" s="16">
        <v>42951</v>
      </c>
      <c r="B636" s="11">
        <v>20350</v>
      </c>
      <c r="C636" s="11">
        <v>20350</v>
      </c>
      <c r="D636" s="11">
        <v>20350</v>
      </c>
      <c r="E636" s="11">
        <v>20350</v>
      </c>
      <c r="F636" s="12">
        <v>0</v>
      </c>
      <c r="G636" s="13">
        <f t="shared" si="36"/>
        <v>0</v>
      </c>
      <c r="H636" s="13">
        <v>0</v>
      </c>
      <c r="I636" s="13">
        <v>0</v>
      </c>
      <c r="J636" s="14">
        <f t="shared" si="37"/>
        <v>0</v>
      </c>
      <c r="K636" s="13">
        <v>0</v>
      </c>
      <c r="L636" s="13">
        <v>0</v>
      </c>
      <c r="M636" s="14">
        <f t="shared" si="38"/>
        <v>0</v>
      </c>
      <c r="N636" s="14">
        <f t="shared" si="38"/>
        <v>0</v>
      </c>
      <c r="O636" s="4">
        <f t="shared" si="38"/>
        <v>0</v>
      </c>
      <c r="P636" s="4">
        <f>IFERROR(SUM(L632:L636)/SUM(I632:I636),"")</f>
        <v>20350.004284857314</v>
      </c>
    </row>
    <row r="637" spans="1:16" x14ac:dyDescent="0.4">
      <c r="A637" s="16">
        <v>42954</v>
      </c>
      <c r="B637" s="11">
        <v>20300</v>
      </c>
      <c r="C637" s="11">
        <v>20300</v>
      </c>
      <c r="D637" s="11">
        <v>20300</v>
      </c>
      <c r="E637" s="11">
        <v>20300</v>
      </c>
      <c r="F637" s="12">
        <v>-0.25</v>
      </c>
      <c r="G637" s="13">
        <f t="shared" si="36"/>
        <v>0</v>
      </c>
      <c r="H637" s="13">
        <v>38234</v>
      </c>
      <c r="I637" s="13">
        <v>38234</v>
      </c>
      <c r="J637" s="14">
        <f t="shared" si="37"/>
        <v>0</v>
      </c>
      <c r="K637" s="13">
        <v>778062000</v>
      </c>
      <c r="L637" s="13">
        <v>778062000</v>
      </c>
      <c r="M637" s="14">
        <f t="shared" si="38"/>
        <v>0</v>
      </c>
      <c r="N637" s="14">
        <f t="shared" si="38"/>
        <v>20350.002615473139</v>
      </c>
      <c r="O637" s="4">
        <f t="shared" si="38"/>
        <v>20350.002615473139</v>
      </c>
      <c r="P637" s="4"/>
    </row>
    <row r="638" spans="1:16" x14ac:dyDescent="0.4">
      <c r="A638" s="16">
        <v>42955</v>
      </c>
      <c r="B638" s="11">
        <v>20300</v>
      </c>
      <c r="C638" s="11">
        <v>20300</v>
      </c>
      <c r="D638" s="11">
        <v>20300</v>
      </c>
      <c r="E638" s="11">
        <v>20300</v>
      </c>
      <c r="F638" s="12">
        <v>0</v>
      </c>
      <c r="G638" s="13">
        <f t="shared" si="36"/>
        <v>20000</v>
      </c>
      <c r="H638" s="13">
        <v>0</v>
      </c>
      <c r="I638" s="13">
        <v>20000</v>
      </c>
      <c r="J638" s="14">
        <f t="shared" si="37"/>
        <v>406000000</v>
      </c>
      <c r="K638" s="13">
        <v>0</v>
      </c>
      <c r="L638" s="13">
        <v>406000000</v>
      </c>
      <c r="M638" s="14">
        <f t="shared" si="38"/>
        <v>20300</v>
      </c>
      <c r="N638" s="14">
        <f t="shared" si="38"/>
        <v>0</v>
      </c>
      <c r="O638" s="4">
        <f t="shared" si="38"/>
        <v>20300</v>
      </c>
      <c r="P638" s="4"/>
    </row>
    <row r="639" spans="1:16" x14ac:dyDescent="0.4">
      <c r="A639" s="16">
        <v>42956</v>
      </c>
      <c r="B639" s="11">
        <v>20300</v>
      </c>
      <c r="C639" s="11">
        <v>20300</v>
      </c>
      <c r="D639" s="11">
        <v>20300</v>
      </c>
      <c r="E639" s="11">
        <v>20300</v>
      </c>
      <c r="F639" s="12">
        <v>0</v>
      </c>
      <c r="G639" s="13">
        <f t="shared" si="36"/>
        <v>4400</v>
      </c>
      <c r="H639" s="13">
        <v>0</v>
      </c>
      <c r="I639" s="13">
        <v>4400</v>
      </c>
      <c r="J639" s="14">
        <f t="shared" si="37"/>
        <v>89320000</v>
      </c>
      <c r="K639" s="13">
        <v>0</v>
      </c>
      <c r="L639" s="13">
        <v>89320000</v>
      </c>
      <c r="M639" s="14">
        <f t="shared" si="38"/>
        <v>20300</v>
      </c>
      <c r="N639" s="14">
        <f t="shared" si="38"/>
        <v>0</v>
      </c>
      <c r="O639" s="4">
        <f t="shared" si="38"/>
        <v>20300</v>
      </c>
      <c r="P639" s="4"/>
    </row>
    <row r="640" spans="1:16" x14ac:dyDescent="0.4">
      <c r="A640" s="16">
        <v>42957</v>
      </c>
      <c r="B640" s="11">
        <v>20300</v>
      </c>
      <c r="C640" s="11">
        <v>20300</v>
      </c>
      <c r="D640" s="11">
        <v>20300</v>
      </c>
      <c r="E640" s="11">
        <v>20300</v>
      </c>
      <c r="F640" s="12">
        <v>0</v>
      </c>
      <c r="G640" s="13">
        <f t="shared" si="36"/>
        <v>19931</v>
      </c>
      <c r="H640" s="13">
        <v>0</v>
      </c>
      <c r="I640" s="13">
        <v>19931</v>
      </c>
      <c r="J640" s="14">
        <f t="shared" si="37"/>
        <v>404599000</v>
      </c>
      <c r="K640" s="13">
        <v>0</v>
      </c>
      <c r="L640" s="13">
        <v>404599000</v>
      </c>
      <c r="M640" s="14">
        <f t="shared" si="38"/>
        <v>20299.984948070844</v>
      </c>
      <c r="N640" s="14">
        <f t="shared" si="38"/>
        <v>0</v>
      </c>
      <c r="O640" s="4">
        <f t="shared" si="38"/>
        <v>20299.984948070844</v>
      </c>
      <c r="P640" s="4"/>
    </row>
    <row r="641" spans="1:16" x14ac:dyDescent="0.4">
      <c r="A641" s="16">
        <v>42958</v>
      </c>
      <c r="B641" s="11">
        <v>20300</v>
      </c>
      <c r="C641" s="11">
        <v>20300</v>
      </c>
      <c r="D641" s="11">
        <v>20200</v>
      </c>
      <c r="E641" s="11">
        <v>20300</v>
      </c>
      <c r="F641" s="12">
        <v>0</v>
      </c>
      <c r="G641" s="13">
        <f t="shared" si="36"/>
        <v>51669</v>
      </c>
      <c r="H641" s="13">
        <v>0</v>
      </c>
      <c r="I641" s="13">
        <v>51669</v>
      </c>
      <c r="J641" s="14">
        <f t="shared" si="37"/>
        <v>1047556000</v>
      </c>
      <c r="K641" s="13">
        <v>0</v>
      </c>
      <c r="L641" s="13">
        <v>1047556000</v>
      </c>
      <c r="M641" s="14">
        <f t="shared" si="38"/>
        <v>20274.361803015348</v>
      </c>
      <c r="N641" s="14">
        <f t="shared" si="38"/>
        <v>0</v>
      </c>
      <c r="O641" s="4">
        <f t="shared" si="38"/>
        <v>20274.361803015348</v>
      </c>
      <c r="P641" s="4">
        <f>IFERROR(SUM(L637:L641)/SUM(I637:I641),"")</f>
        <v>20304.371470715319</v>
      </c>
    </row>
    <row r="642" spans="1:16" x14ac:dyDescent="0.4">
      <c r="A642" s="16">
        <v>42961</v>
      </c>
      <c r="B642" s="11">
        <v>20300</v>
      </c>
      <c r="C642" s="11">
        <v>20300</v>
      </c>
      <c r="D642" s="11">
        <v>20300</v>
      </c>
      <c r="E642" s="11">
        <v>20300</v>
      </c>
      <c r="F642" s="12">
        <v>0</v>
      </c>
      <c r="G642" s="13">
        <f t="shared" si="36"/>
        <v>0</v>
      </c>
      <c r="H642" s="13">
        <v>115000</v>
      </c>
      <c r="I642" s="13">
        <v>115000</v>
      </c>
      <c r="J642" s="13">
        <f t="shared" si="37"/>
        <v>0</v>
      </c>
      <c r="K642" s="13">
        <v>2334500000</v>
      </c>
      <c r="L642" s="13">
        <v>2334500000</v>
      </c>
      <c r="M642" s="14">
        <f t="shared" si="38"/>
        <v>0</v>
      </c>
      <c r="N642" s="14">
        <f t="shared" si="38"/>
        <v>20300</v>
      </c>
      <c r="O642" s="4">
        <f t="shared" si="38"/>
        <v>20300</v>
      </c>
      <c r="P642" s="4"/>
    </row>
    <row r="643" spans="1:16" x14ac:dyDescent="0.4">
      <c r="A643" s="16">
        <v>42963</v>
      </c>
      <c r="B643" s="11">
        <v>20200</v>
      </c>
      <c r="C643" s="11">
        <v>20300</v>
      </c>
      <c r="D643" s="11">
        <v>20200</v>
      </c>
      <c r="E643" s="11">
        <v>20200</v>
      </c>
      <c r="F643" s="12">
        <v>-0.49</v>
      </c>
      <c r="G643" s="13">
        <f t="shared" si="36"/>
        <v>42500</v>
      </c>
      <c r="H643" s="13">
        <v>0</v>
      </c>
      <c r="I643" s="13">
        <v>42500</v>
      </c>
      <c r="J643" s="14">
        <f t="shared" si="37"/>
        <v>861250000</v>
      </c>
      <c r="K643" s="14">
        <v>0</v>
      </c>
      <c r="L643" s="14">
        <v>861250000</v>
      </c>
      <c r="M643" s="14">
        <f t="shared" si="38"/>
        <v>20264.705882352941</v>
      </c>
      <c r="N643" s="14">
        <f t="shared" si="38"/>
        <v>0</v>
      </c>
      <c r="O643" s="4">
        <f t="shared" si="38"/>
        <v>20264.705882352941</v>
      </c>
      <c r="P643" s="4"/>
    </row>
    <row r="644" spans="1:16" x14ac:dyDescent="0.4">
      <c r="A644" s="16">
        <v>42964</v>
      </c>
      <c r="B644" s="11">
        <v>20100</v>
      </c>
      <c r="C644" s="11">
        <v>20200</v>
      </c>
      <c r="D644" s="11">
        <v>20100</v>
      </c>
      <c r="E644" s="11">
        <v>20100</v>
      </c>
      <c r="F644" s="12">
        <v>-0.5</v>
      </c>
      <c r="G644" s="13">
        <f t="shared" si="36"/>
        <v>13500</v>
      </c>
      <c r="H644" s="13">
        <v>0</v>
      </c>
      <c r="I644" s="13">
        <v>13500</v>
      </c>
      <c r="J644" s="14">
        <f t="shared" si="37"/>
        <v>272050000</v>
      </c>
      <c r="K644" s="13">
        <v>0</v>
      </c>
      <c r="L644" s="13">
        <v>272050000</v>
      </c>
      <c r="M644" s="14">
        <f t="shared" si="38"/>
        <v>20151.85185185185</v>
      </c>
      <c r="N644" s="14">
        <f t="shared" si="38"/>
        <v>0</v>
      </c>
      <c r="O644" s="4">
        <f t="shared" si="38"/>
        <v>20151.85185185185</v>
      </c>
      <c r="P644" s="4"/>
    </row>
    <row r="645" spans="1:16" x14ac:dyDescent="0.4">
      <c r="A645" s="16">
        <v>42965</v>
      </c>
      <c r="B645" s="11">
        <v>20000</v>
      </c>
      <c r="C645" s="11">
        <v>20000</v>
      </c>
      <c r="D645" s="11">
        <v>20000</v>
      </c>
      <c r="E645" s="11">
        <v>20000</v>
      </c>
      <c r="F645" s="12">
        <v>-0.5</v>
      </c>
      <c r="G645" s="13">
        <f t="shared" si="36"/>
        <v>5000</v>
      </c>
      <c r="H645" s="13">
        <v>0</v>
      </c>
      <c r="I645" s="13">
        <v>5000</v>
      </c>
      <c r="J645" s="14">
        <f t="shared" si="37"/>
        <v>100000000</v>
      </c>
      <c r="K645" s="13">
        <v>0</v>
      </c>
      <c r="L645" s="13">
        <v>100000000</v>
      </c>
      <c r="M645" s="14">
        <f t="shared" si="38"/>
        <v>20000</v>
      </c>
      <c r="N645" s="14">
        <f t="shared" si="38"/>
        <v>0</v>
      </c>
      <c r="O645" s="4">
        <f t="shared" si="38"/>
        <v>20000</v>
      </c>
      <c r="P645" s="4">
        <f>IFERROR(SUM(L642:L645)/SUM(I642:I645),"")</f>
        <v>20271.590909090908</v>
      </c>
    </row>
    <row r="646" spans="1:16" x14ac:dyDescent="0.4">
      <c r="A646" s="16">
        <v>42968</v>
      </c>
      <c r="B646" s="11">
        <v>20050</v>
      </c>
      <c r="C646" s="11">
        <v>20050</v>
      </c>
      <c r="D646" s="11">
        <v>20050</v>
      </c>
      <c r="E646" s="11">
        <v>20050</v>
      </c>
      <c r="F646" s="12">
        <v>0.25</v>
      </c>
      <c r="G646" s="13">
        <f t="shared" si="36"/>
        <v>0</v>
      </c>
      <c r="H646" s="13">
        <v>0</v>
      </c>
      <c r="I646" s="13">
        <v>0</v>
      </c>
      <c r="J646" s="13">
        <f t="shared" si="37"/>
        <v>0</v>
      </c>
      <c r="K646" s="13">
        <v>0</v>
      </c>
      <c r="L646" s="13">
        <v>0</v>
      </c>
      <c r="M646" s="14">
        <f t="shared" si="38"/>
        <v>0</v>
      </c>
      <c r="N646" s="14">
        <f t="shared" si="38"/>
        <v>0</v>
      </c>
      <c r="O646" s="4">
        <f t="shared" si="38"/>
        <v>0</v>
      </c>
      <c r="P646" s="4"/>
    </row>
    <row r="647" spans="1:16" x14ac:dyDescent="0.4">
      <c r="A647" s="16">
        <v>42969</v>
      </c>
      <c r="B647" s="11">
        <v>20050</v>
      </c>
      <c r="C647" s="11">
        <v>20050</v>
      </c>
      <c r="D647" s="11">
        <v>20050</v>
      </c>
      <c r="E647" s="11">
        <v>20050</v>
      </c>
      <c r="F647" s="12">
        <v>0</v>
      </c>
      <c r="G647" s="13">
        <f t="shared" si="36"/>
        <v>3000</v>
      </c>
      <c r="H647" s="13">
        <v>0</v>
      </c>
      <c r="I647" s="13">
        <v>3000</v>
      </c>
      <c r="J647" s="14">
        <f t="shared" si="37"/>
        <v>60150000</v>
      </c>
      <c r="K647" s="14">
        <v>0</v>
      </c>
      <c r="L647" s="14">
        <v>60150000</v>
      </c>
      <c r="M647" s="14">
        <f t="shared" si="38"/>
        <v>20050</v>
      </c>
      <c r="N647" s="14">
        <f t="shared" si="38"/>
        <v>0</v>
      </c>
      <c r="O647" s="4">
        <f t="shared" si="38"/>
        <v>20050</v>
      </c>
      <c r="P647" s="4"/>
    </row>
    <row r="648" spans="1:16" x14ac:dyDescent="0.4">
      <c r="A648" s="16">
        <v>42970</v>
      </c>
      <c r="B648" s="11">
        <v>20050</v>
      </c>
      <c r="C648" s="11">
        <v>20300</v>
      </c>
      <c r="D648" s="11">
        <v>20050</v>
      </c>
      <c r="E648" s="11">
        <v>20300</v>
      </c>
      <c r="F648" s="12">
        <v>1.25</v>
      </c>
      <c r="G648" s="13">
        <f t="shared" si="36"/>
        <v>42500</v>
      </c>
      <c r="H648" s="13">
        <v>0</v>
      </c>
      <c r="I648" s="13">
        <v>42500</v>
      </c>
      <c r="J648" s="14">
        <f t="shared" si="37"/>
        <v>853750000</v>
      </c>
      <c r="K648" s="13">
        <v>0</v>
      </c>
      <c r="L648" s="13">
        <v>853750000</v>
      </c>
      <c r="M648" s="14">
        <f t="shared" si="38"/>
        <v>20088.235294117647</v>
      </c>
      <c r="N648" s="14">
        <f t="shared" si="38"/>
        <v>0</v>
      </c>
      <c r="O648" s="4">
        <f t="shared" si="38"/>
        <v>20088.235294117647</v>
      </c>
      <c r="P648" s="4"/>
    </row>
    <row r="649" spans="1:16" x14ac:dyDescent="0.4">
      <c r="A649" s="16">
        <v>42971</v>
      </c>
      <c r="B649" s="11">
        <v>20300</v>
      </c>
      <c r="C649" s="11">
        <v>20300</v>
      </c>
      <c r="D649" s="11">
        <v>20300</v>
      </c>
      <c r="E649" s="11">
        <v>20300</v>
      </c>
      <c r="F649" s="12">
        <v>0</v>
      </c>
      <c r="G649" s="13">
        <f t="shared" si="36"/>
        <v>10000</v>
      </c>
      <c r="H649" s="13">
        <v>0</v>
      </c>
      <c r="I649" s="13">
        <v>10000</v>
      </c>
      <c r="J649" s="14">
        <f t="shared" si="37"/>
        <v>203000000</v>
      </c>
      <c r="K649" s="13">
        <v>0</v>
      </c>
      <c r="L649" s="13">
        <v>203000000</v>
      </c>
      <c r="M649" s="14">
        <f t="shared" si="38"/>
        <v>20300</v>
      </c>
      <c r="N649" s="14">
        <f t="shared" si="38"/>
        <v>0</v>
      </c>
      <c r="O649" s="4">
        <f t="shared" si="38"/>
        <v>20300</v>
      </c>
      <c r="P649" s="4"/>
    </row>
    <row r="650" spans="1:16" x14ac:dyDescent="0.4">
      <c r="A650" s="16">
        <v>42972</v>
      </c>
      <c r="B650" s="11">
        <v>20300</v>
      </c>
      <c r="C650" s="11">
        <v>20300</v>
      </c>
      <c r="D650" s="11">
        <v>20300</v>
      </c>
      <c r="E650" s="11">
        <v>20300</v>
      </c>
      <c r="F650" s="12">
        <v>0</v>
      </c>
      <c r="G650" s="13">
        <f t="shared" si="36"/>
        <v>10000</v>
      </c>
      <c r="H650" s="13">
        <v>0</v>
      </c>
      <c r="I650" s="13">
        <v>10000</v>
      </c>
      <c r="J650" s="14">
        <f t="shared" si="37"/>
        <v>203000000</v>
      </c>
      <c r="K650" s="13">
        <v>0</v>
      </c>
      <c r="L650" s="13">
        <v>203000000</v>
      </c>
      <c r="M650" s="14">
        <f t="shared" si="38"/>
        <v>20300</v>
      </c>
      <c r="N650" s="14">
        <f t="shared" si="38"/>
        <v>0</v>
      </c>
      <c r="O650" s="4">
        <f t="shared" si="38"/>
        <v>20300</v>
      </c>
      <c r="P650" s="4">
        <f>IFERROR(SUM(L646:L650)/SUM(I646:I650),"")</f>
        <v>20151.145038167939</v>
      </c>
    </row>
    <row r="651" spans="1:16" x14ac:dyDescent="0.4">
      <c r="A651" s="16">
        <v>42975</v>
      </c>
      <c r="B651" s="11">
        <v>20300</v>
      </c>
      <c r="C651" s="11">
        <v>20300</v>
      </c>
      <c r="D651" s="11">
        <v>20300</v>
      </c>
      <c r="E651" s="11">
        <v>20300</v>
      </c>
      <c r="F651" s="12">
        <v>0</v>
      </c>
      <c r="G651" s="13">
        <f t="shared" si="36"/>
        <v>22307</v>
      </c>
      <c r="H651" s="13">
        <v>0</v>
      </c>
      <c r="I651" s="13">
        <v>22307</v>
      </c>
      <c r="J651" s="14">
        <f t="shared" si="37"/>
        <v>452832000</v>
      </c>
      <c r="K651" s="13">
        <v>0</v>
      </c>
      <c r="L651" s="13">
        <v>452832000</v>
      </c>
      <c r="M651" s="14">
        <f t="shared" si="38"/>
        <v>20299.995517102256</v>
      </c>
      <c r="N651" s="14">
        <f t="shared" si="38"/>
        <v>0</v>
      </c>
      <c r="O651" s="4">
        <f t="shared" si="38"/>
        <v>20299.995517102256</v>
      </c>
      <c r="P651" s="4"/>
    </row>
    <row r="652" spans="1:16" x14ac:dyDescent="0.4">
      <c r="A652" s="16">
        <v>42976</v>
      </c>
      <c r="B652" s="11">
        <v>20300</v>
      </c>
      <c r="C652" s="11">
        <v>20300</v>
      </c>
      <c r="D652" s="11">
        <v>20300</v>
      </c>
      <c r="E652" s="11">
        <v>20300</v>
      </c>
      <c r="F652" s="12">
        <v>0</v>
      </c>
      <c r="G652" s="13">
        <f t="shared" si="36"/>
        <v>0</v>
      </c>
      <c r="H652" s="13">
        <v>0</v>
      </c>
      <c r="I652" s="13">
        <v>0</v>
      </c>
      <c r="J652" s="14">
        <f t="shared" si="37"/>
        <v>0</v>
      </c>
      <c r="K652" s="13">
        <v>0</v>
      </c>
      <c r="L652" s="13">
        <v>0</v>
      </c>
      <c r="M652" s="14">
        <f t="shared" si="38"/>
        <v>0</v>
      </c>
      <c r="N652" s="14">
        <f t="shared" si="38"/>
        <v>0</v>
      </c>
      <c r="O652" s="4">
        <f t="shared" si="38"/>
        <v>0</v>
      </c>
      <c r="P652" s="4"/>
    </row>
    <row r="653" spans="1:16" x14ac:dyDescent="0.4">
      <c r="A653" s="16">
        <v>42977</v>
      </c>
      <c r="B653" s="11">
        <v>20300</v>
      </c>
      <c r="C653" s="11">
        <v>20300</v>
      </c>
      <c r="D653" s="11">
        <v>20300</v>
      </c>
      <c r="E653" s="11">
        <v>20300</v>
      </c>
      <c r="F653" s="12">
        <v>0</v>
      </c>
      <c r="G653" s="13">
        <f t="shared" ref="G653:G700" si="39">I653-H653</f>
        <v>10000</v>
      </c>
      <c r="H653" s="13">
        <v>0</v>
      </c>
      <c r="I653" s="13">
        <v>10000</v>
      </c>
      <c r="J653" s="14">
        <f t="shared" ref="J653:J700" si="40">L653-K653</f>
        <v>203000000</v>
      </c>
      <c r="K653" s="13">
        <v>0</v>
      </c>
      <c r="L653" s="13">
        <v>203000000</v>
      </c>
      <c r="M653" s="14">
        <f t="shared" si="38"/>
        <v>20300</v>
      </c>
      <c r="N653" s="14">
        <f t="shared" si="38"/>
        <v>0</v>
      </c>
      <c r="O653" s="4">
        <f t="shared" si="38"/>
        <v>20300</v>
      </c>
      <c r="P653" s="4"/>
    </row>
    <row r="654" spans="1:16" x14ac:dyDescent="0.4">
      <c r="A654" s="16">
        <v>42978</v>
      </c>
      <c r="B654" s="11">
        <v>20300</v>
      </c>
      <c r="C654" s="11">
        <v>20300</v>
      </c>
      <c r="D654" s="11">
        <v>20300</v>
      </c>
      <c r="E654" s="11">
        <v>20300</v>
      </c>
      <c r="F654" s="12">
        <v>0</v>
      </c>
      <c r="G654" s="13">
        <f t="shared" si="39"/>
        <v>10000</v>
      </c>
      <c r="H654" s="13">
        <v>0</v>
      </c>
      <c r="I654" s="13">
        <v>10000</v>
      </c>
      <c r="J654" s="14">
        <f t="shared" si="40"/>
        <v>203000000</v>
      </c>
      <c r="K654" s="13">
        <v>0</v>
      </c>
      <c r="L654" s="13">
        <v>203000000</v>
      </c>
      <c r="M654" s="14">
        <f t="shared" si="38"/>
        <v>20300</v>
      </c>
      <c r="N654" s="14">
        <f t="shared" si="38"/>
        <v>0</v>
      </c>
      <c r="O654" s="4">
        <f t="shared" si="38"/>
        <v>20300</v>
      </c>
      <c r="P654" s="4"/>
    </row>
    <row r="655" spans="1:16" x14ac:dyDescent="0.4">
      <c r="A655" s="16">
        <v>42979</v>
      </c>
      <c r="B655" s="11">
        <v>20300</v>
      </c>
      <c r="C655" s="11">
        <v>20300</v>
      </c>
      <c r="D655" s="11">
        <v>20300</v>
      </c>
      <c r="E655" s="11">
        <v>20300</v>
      </c>
      <c r="F655" s="12">
        <v>0</v>
      </c>
      <c r="G655" s="13">
        <f t="shared" si="39"/>
        <v>0</v>
      </c>
      <c r="H655" s="13">
        <v>5000</v>
      </c>
      <c r="I655" s="13">
        <v>5000</v>
      </c>
      <c r="J655" s="13">
        <f t="shared" si="40"/>
        <v>0</v>
      </c>
      <c r="K655" s="13">
        <v>101500000</v>
      </c>
      <c r="L655" s="13">
        <v>101500000</v>
      </c>
      <c r="M655" s="14">
        <f t="shared" si="38"/>
        <v>0</v>
      </c>
      <c r="N655" s="14">
        <f t="shared" si="38"/>
        <v>20300</v>
      </c>
      <c r="O655" s="4">
        <f t="shared" si="38"/>
        <v>20300</v>
      </c>
      <c r="P655" s="4">
        <f>IFERROR(SUM(L651:L655)/SUM(I651:I655),"")</f>
        <v>20299.997886147929</v>
      </c>
    </row>
    <row r="656" spans="1:16" x14ac:dyDescent="0.4">
      <c r="A656" s="16">
        <v>42982</v>
      </c>
      <c r="B656" s="11">
        <v>20300</v>
      </c>
      <c r="C656" s="11">
        <v>20300</v>
      </c>
      <c r="D656" s="11">
        <v>20300</v>
      </c>
      <c r="E656" s="11">
        <v>20300</v>
      </c>
      <c r="F656" s="12">
        <v>0</v>
      </c>
      <c r="G656" s="13">
        <f t="shared" si="39"/>
        <v>6150</v>
      </c>
      <c r="H656" s="13">
        <v>25710</v>
      </c>
      <c r="I656" s="13">
        <v>31860</v>
      </c>
      <c r="J656" s="14">
        <f t="shared" si="40"/>
        <v>124845000</v>
      </c>
      <c r="K656" s="13">
        <v>521913000</v>
      </c>
      <c r="L656" s="13">
        <v>646758000</v>
      </c>
      <c r="M656" s="14">
        <f t="shared" si="38"/>
        <v>20300</v>
      </c>
      <c r="N656" s="14">
        <f t="shared" si="38"/>
        <v>20300</v>
      </c>
      <c r="O656" s="4">
        <f t="shared" si="38"/>
        <v>20300</v>
      </c>
      <c r="P656" s="4"/>
    </row>
    <row r="657" spans="1:16" x14ac:dyDescent="0.4">
      <c r="A657" s="16">
        <v>42983</v>
      </c>
      <c r="B657" s="11">
        <v>20300</v>
      </c>
      <c r="C657" s="11">
        <v>20300</v>
      </c>
      <c r="D657" s="11">
        <v>20300</v>
      </c>
      <c r="E657" s="11">
        <v>20300</v>
      </c>
      <c r="F657" s="12">
        <v>0</v>
      </c>
      <c r="G657" s="13">
        <f t="shared" si="39"/>
        <v>0</v>
      </c>
      <c r="H657" s="13">
        <v>0</v>
      </c>
      <c r="I657" s="13">
        <v>0</v>
      </c>
      <c r="J657" s="13">
        <f t="shared" si="40"/>
        <v>0</v>
      </c>
      <c r="K657" s="13">
        <v>0</v>
      </c>
      <c r="L657" s="13">
        <v>0</v>
      </c>
      <c r="M657" s="14">
        <f t="shared" si="38"/>
        <v>0</v>
      </c>
      <c r="N657" s="14">
        <f t="shared" si="38"/>
        <v>0</v>
      </c>
      <c r="O657" s="4">
        <f t="shared" si="38"/>
        <v>0</v>
      </c>
      <c r="P657" s="4"/>
    </row>
    <row r="658" spans="1:16" x14ac:dyDescent="0.4">
      <c r="A658" s="16">
        <v>42984</v>
      </c>
      <c r="B658" s="11">
        <v>20300</v>
      </c>
      <c r="C658" s="11">
        <v>20300</v>
      </c>
      <c r="D658" s="11">
        <v>20300</v>
      </c>
      <c r="E658" s="11">
        <v>20300</v>
      </c>
      <c r="F658" s="12">
        <v>0</v>
      </c>
      <c r="G658" s="13">
        <f t="shared" si="39"/>
        <v>20000</v>
      </c>
      <c r="H658" s="13">
        <v>44000</v>
      </c>
      <c r="I658" s="13">
        <v>64000</v>
      </c>
      <c r="J658" s="14">
        <f t="shared" si="40"/>
        <v>406000000</v>
      </c>
      <c r="K658" s="13">
        <v>880000000</v>
      </c>
      <c r="L658" s="13">
        <v>1286000000</v>
      </c>
      <c r="M658" s="14">
        <f t="shared" si="38"/>
        <v>20300</v>
      </c>
      <c r="N658" s="14">
        <f t="shared" si="38"/>
        <v>20000</v>
      </c>
      <c r="O658" s="4">
        <f t="shared" si="38"/>
        <v>20093.75</v>
      </c>
      <c r="P658" s="4"/>
    </row>
    <row r="659" spans="1:16" x14ac:dyDescent="0.4">
      <c r="A659" s="16">
        <v>42985</v>
      </c>
      <c r="B659" s="11">
        <v>20300</v>
      </c>
      <c r="C659" s="11">
        <v>20300</v>
      </c>
      <c r="D659" s="11">
        <v>20300</v>
      </c>
      <c r="E659" s="11">
        <v>20300</v>
      </c>
      <c r="F659" s="12">
        <v>0</v>
      </c>
      <c r="G659" s="13">
        <f t="shared" si="39"/>
        <v>125000</v>
      </c>
      <c r="H659" s="13">
        <v>0</v>
      </c>
      <c r="I659" s="13">
        <v>125000</v>
      </c>
      <c r="J659" s="14">
        <f t="shared" si="40"/>
        <v>2537500000</v>
      </c>
      <c r="K659" s="13">
        <v>0</v>
      </c>
      <c r="L659" s="13">
        <v>2537500000</v>
      </c>
      <c r="M659" s="14">
        <f t="shared" si="38"/>
        <v>20300</v>
      </c>
      <c r="N659" s="14">
        <f t="shared" si="38"/>
        <v>0</v>
      </c>
      <c r="O659" s="4">
        <f t="shared" si="38"/>
        <v>20300</v>
      </c>
      <c r="P659" s="4"/>
    </row>
    <row r="660" spans="1:16" x14ac:dyDescent="0.4">
      <c r="A660" s="16">
        <v>42986</v>
      </c>
      <c r="B660" s="11">
        <v>20300</v>
      </c>
      <c r="C660" s="11">
        <v>20300</v>
      </c>
      <c r="D660" s="11">
        <v>20300</v>
      </c>
      <c r="E660" s="11">
        <v>20300</v>
      </c>
      <c r="F660" s="12">
        <v>0</v>
      </c>
      <c r="G660" s="13">
        <f t="shared" si="39"/>
        <v>10000</v>
      </c>
      <c r="H660" s="13">
        <v>0</v>
      </c>
      <c r="I660" s="13">
        <v>10000</v>
      </c>
      <c r="J660" s="14">
        <f t="shared" si="40"/>
        <v>203000000</v>
      </c>
      <c r="K660" s="13">
        <v>0</v>
      </c>
      <c r="L660" s="13">
        <v>203000000</v>
      </c>
      <c r="M660" s="14">
        <f t="shared" si="38"/>
        <v>20300</v>
      </c>
      <c r="N660" s="14">
        <f t="shared" si="38"/>
        <v>0</v>
      </c>
      <c r="O660" s="4">
        <f t="shared" si="38"/>
        <v>20300</v>
      </c>
      <c r="P660" s="4">
        <f>IFERROR(SUM(L656:L660)/SUM(I656:I660),"")</f>
        <v>20242.822489820672</v>
      </c>
    </row>
    <row r="661" spans="1:16" x14ac:dyDescent="0.4">
      <c r="A661" s="16">
        <v>42989</v>
      </c>
      <c r="B661" s="11">
        <v>20300</v>
      </c>
      <c r="C661" s="11">
        <v>20300</v>
      </c>
      <c r="D661" s="11">
        <v>20300</v>
      </c>
      <c r="E661" s="11">
        <v>20300</v>
      </c>
      <c r="F661" s="12">
        <v>0</v>
      </c>
      <c r="G661" s="13">
        <f t="shared" si="39"/>
        <v>62500</v>
      </c>
      <c r="H661" s="13">
        <v>0</v>
      </c>
      <c r="I661" s="13">
        <v>62500</v>
      </c>
      <c r="J661" s="14">
        <f t="shared" si="40"/>
        <v>1268750000</v>
      </c>
      <c r="K661" s="13">
        <v>0</v>
      </c>
      <c r="L661" s="13">
        <v>1268750000</v>
      </c>
      <c r="M661" s="14">
        <f t="shared" si="38"/>
        <v>20300</v>
      </c>
      <c r="N661" s="14">
        <f t="shared" si="38"/>
        <v>0</v>
      </c>
      <c r="O661" s="4">
        <f t="shared" si="38"/>
        <v>20300</v>
      </c>
      <c r="P661" s="4"/>
    </row>
    <row r="662" spans="1:16" x14ac:dyDescent="0.4">
      <c r="A662" s="16">
        <v>42990</v>
      </c>
      <c r="B662" s="11">
        <v>20300</v>
      </c>
      <c r="C662" s="11">
        <v>20300</v>
      </c>
      <c r="D662" s="11">
        <v>20300</v>
      </c>
      <c r="E662" s="11">
        <v>20300</v>
      </c>
      <c r="F662" s="12">
        <v>0</v>
      </c>
      <c r="G662" s="13">
        <f t="shared" si="39"/>
        <v>2680</v>
      </c>
      <c r="H662" s="13">
        <v>0</v>
      </c>
      <c r="I662" s="13">
        <v>2680</v>
      </c>
      <c r="J662" s="14">
        <f t="shared" si="40"/>
        <v>54404000</v>
      </c>
      <c r="K662" s="13">
        <v>0</v>
      </c>
      <c r="L662" s="13">
        <v>54404000</v>
      </c>
      <c r="M662" s="14">
        <f t="shared" si="38"/>
        <v>20300</v>
      </c>
      <c r="N662" s="14">
        <f t="shared" si="38"/>
        <v>0</v>
      </c>
      <c r="O662" s="4">
        <f t="shared" si="38"/>
        <v>20300</v>
      </c>
      <c r="P662" s="4"/>
    </row>
    <row r="663" spans="1:16" x14ac:dyDescent="0.4">
      <c r="A663" s="16">
        <v>42991</v>
      </c>
      <c r="B663" s="11">
        <v>20300</v>
      </c>
      <c r="C663" s="11">
        <v>20300</v>
      </c>
      <c r="D663" s="11">
        <v>20300</v>
      </c>
      <c r="E663" s="11">
        <v>20300</v>
      </c>
      <c r="F663" s="12">
        <v>0</v>
      </c>
      <c r="G663" s="13">
        <f t="shared" si="39"/>
        <v>10000</v>
      </c>
      <c r="H663" s="13">
        <v>20000</v>
      </c>
      <c r="I663" s="13">
        <v>30000</v>
      </c>
      <c r="J663" s="14">
        <f t="shared" si="40"/>
        <v>203000000</v>
      </c>
      <c r="K663" s="13">
        <v>406000000</v>
      </c>
      <c r="L663" s="13">
        <v>609000000</v>
      </c>
      <c r="M663" s="14">
        <f t="shared" si="38"/>
        <v>20300</v>
      </c>
      <c r="N663" s="14">
        <f t="shared" si="38"/>
        <v>20300</v>
      </c>
      <c r="O663" s="4">
        <f t="shared" si="38"/>
        <v>20300</v>
      </c>
      <c r="P663" s="4"/>
    </row>
    <row r="664" spans="1:16" x14ac:dyDescent="0.4">
      <c r="A664" s="16">
        <v>42992</v>
      </c>
      <c r="B664" s="11">
        <v>20300</v>
      </c>
      <c r="C664" s="11">
        <v>20300</v>
      </c>
      <c r="D664" s="11">
        <v>20300</v>
      </c>
      <c r="E664" s="11">
        <v>20300</v>
      </c>
      <c r="F664" s="12">
        <v>0</v>
      </c>
      <c r="G664" s="13">
        <f t="shared" si="39"/>
        <v>6574</v>
      </c>
      <c r="H664" s="13">
        <v>0</v>
      </c>
      <c r="I664" s="13">
        <v>6574</v>
      </c>
      <c r="J664" s="14">
        <f t="shared" si="40"/>
        <v>133452000</v>
      </c>
      <c r="K664" s="13">
        <v>0</v>
      </c>
      <c r="L664" s="13">
        <v>133452000</v>
      </c>
      <c r="M664" s="14">
        <f t="shared" si="38"/>
        <v>20299.969577121996</v>
      </c>
      <c r="N664" s="14">
        <f t="shared" si="38"/>
        <v>0</v>
      </c>
      <c r="O664" s="4">
        <f t="shared" si="38"/>
        <v>20299.969577121996</v>
      </c>
      <c r="P664" s="4"/>
    </row>
    <row r="665" spans="1:16" x14ac:dyDescent="0.4">
      <c r="A665" s="16">
        <v>42993</v>
      </c>
      <c r="B665" s="11">
        <v>20300</v>
      </c>
      <c r="C665" s="11">
        <v>20300</v>
      </c>
      <c r="D665" s="11">
        <v>20300</v>
      </c>
      <c r="E665" s="11">
        <v>20300</v>
      </c>
      <c r="F665" s="12">
        <v>0</v>
      </c>
      <c r="G665" s="13">
        <f t="shared" si="39"/>
        <v>0</v>
      </c>
      <c r="H665" s="13">
        <v>0</v>
      </c>
      <c r="I665" s="13">
        <v>0</v>
      </c>
      <c r="J665" s="14">
        <f t="shared" si="40"/>
        <v>0</v>
      </c>
      <c r="K665" s="13">
        <v>0</v>
      </c>
      <c r="L665" s="13">
        <v>0</v>
      </c>
      <c r="M665" s="14">
        <f t="shared" si="38"/>
        <v>0</v>
      </c>
      <c r="N665" s="14">
        <f t="shared" si="38"/>
        <v>0</v>
      </c>
      <c r="O665" s="4">
        <f t="shared" si="38"/>
        <v>0</v>
      </c>
      <c r="P665" s="4">
        <f>IFERROR(SUM(L661:L665)/SUM(I661:I665),"")</f>
        <v>20299.998034475302</v>
      </c>
    </row>
    <row r="666" spans="1:16" x14ac:dyDescent="0.4">
      <c r="A666" s="16">
        <v>42996</v>
      </c>
      <c r="B666" s="11">
        <v>20500</v>
      </c>
      <c r="C666" s="11">
        <v>20500</v>
      </c>
      <c r="D666" s="11">
        <v>20500</v>
      </c>
      <c r="E666" s="11">
        <v>20500</v>
      </c>
      <c r="F666" s="12">
        <v>0.99</v>
      </c>
      <c r="G666" s="13">
        <f t="shared" si="39"/>
        <v>4000</v>
      </c>
      <c r="H666" s="13">
        <v>0</v>
      </c>
      <c r="I666" s="13">
        <v>4000</v>
      </c>
      <c r="J666" s="14">
        <f t="shared" si="40"/>
        <v>82000000</v>
      </c>
      <c r="K666" s="13">
        <v>0</v>
      </c>
      <c r="L666" s="13">
        <v>82000000</v>
      </c>
      <c r="M666" s="14">
        <f t="shared" si="38"/>
        <v>20500</v>
      </c>
      <c r="N666" s="14">
        <f t="shared" si="38"/>
        <v>0</v>
      </c>
      <c r="O666" s="4">
        <f t="shared" si="38"/>
        <v>20500</v>
      </c>
      <c r="P666" s="4"/>
    </row>
    <row r="667" spans="1:16" x14ac:dyDescent="0.4">
      <c r="A667" s="16">
        <v>42997</v>
      </c>
      <c r="B667" s="11">
        <v>20500</v>
      </c>
      <c r="C667" s="11">
        <v>20500</v>
      </c>
      <c r="D667" s="11">
        <v>20500</v>
      </c>
      <c r="E667" s="11">
        <v>20500</v>
      </c>
      <c r="F667" s="12">
        <v>0</v>
      </c>
      <c r="G667" s="13">
        <f t="shared" si="39"/>
        <v>0</v>
      </c>
      <c r="H667" s="13">
        <v>0</v>
      </c>
      <c r="I667" s="13">
        <v>0</v>
      </c>
      <c r="J667" s="14">
        <f t="shared" si="40"/>
        <v>0</v>
      </c>
      <c r="K667" s="13">
        <v>0</v>
      </c>
      <c r="L667" s="13">
        <v>0</v>
      </c>
      <c r="M667" s="14">
        <f t="shared" si="38"/>
        <v>0</v>
      </c>
      <c r="N667" s="14">
        <f t="shared" si="38"/>
        <v>0</v>
      </c>
      <c r="O667" s="4">
        <f t="shared" si="38"/>
        <v>0</v>
      </c>
      <c r="P667" s="4"/>
    </row>
    <row r="668" spans="1:16" x14ac:dyDescent="0.4">
      <c r="A668" s="16">
        <v>42998</v>
      </c>
      <c r="B668" s="11">
        <v>20650</v>
      </c>
      <c r="C668" s="11">
        <v>20650</v>
      </c>
      <c r="D668" s="11">
        <v>20650</v>
      </c>
      <c r="E668" s="11">
        <v>20650</v>
      </c>
      <c r="F668" s="12">
        <v>0.73</v>
      </c>
      <c r="G668" s="13">
        <f t="shared" si="39"/>
        <v>500</v>
      </c>
      <c r="H668" s="13">
        <v>50000</v>
      </c>
      <c r="I668" s="13">
        <v>50500</v>
      </c>
      <c r="J668" s="14">
        <f t="shared" si="40"/>
        <v>10325000</v>
      </c>
      <c r="K668" s="13">
        <v>1025000000</v>
      </c>
      <c r="L668" s="13">
        <v>1035325000</v>
      </c>
      <c r="M668" s="14">
        <f t="shared" si="38"/>
        <v>20650</v>
      </c>
      <c r="N668" s="14">
        <f t="shared" si="38"/>
        <v>20500</v>
      </c>
      <c r="O668" s="4">
        <f t="shared" si="38"/>
        <v>20501.48514851485</v>
      </c>
      <c r="P668" s="4"/>
    </row>
    <row r="669" spans="1:16" x14ac:dyDescent="0.4">
      <c r="A669" s="16">
        <v>42999</v>
      </c>
      <c r="B669" s="11">
        <v>20650</v>
      </c>
      <c r="C669" s="11">
        <v>20650</v>
      </c>
      <c r="D669" s="11">
        <v>20650</v>
      </c>
      <c r="E669" s="11">
        <v>20650</v>
      </c>
      <c r="F669" s="12">
        <v>0</v>
      </c>
      <c r="G669" s="13">
        <f t="shared" si="39"/>
        <v>0</v>
      </c>
      <c r="H669" s="13">
        <v>0</v>
      </c>
      <c r="I669" s="13">
        <v>0</v>
      </c>
      <c r="J669" s="14">
        <f t="shared" si="40"/>
        <v>0</v>
      </c>
      <c r="K669" s="13">
        <v>0</v>
      </c>
      <c r="L669" s="13">
        <v>0</v>
      </c>
      <c r="M669" s="14">
        <f t="shared" si="38"/>
        <v>0</v>
      </c>
      <c r="N669" s="14">
        <f t="shared" si="38"/>
        <v>0</v>
      </c>
      <c r="O669" s="4">
        <f t="shared" si="38"/>
        <v>0</v>
      </c>
      <c r="P669" s="4"/>
    </row>
    <row r="670" spans="1:16" x14ac:dyDescent="0.4">
      <c r="A670" s="16">
        <v>43000</v>
      </c>
      <c r="B670" s="11">
        <v>20650</v>
      </c>
      <c r="C670" s="11">
        <v>20650</v>
      </c>
      <c r="D670" s="11">
        <v>20650</v>
      </c>
      <c r="E670" s="11">
        <v>20650</v>
      </c>
      <c r="F670" s="12">
        <v>0</v>
      </c>
      <c r="G670" s="13">
        <f t="shared" si="39"/>
        <v>0</v>
      </c>
      <c r="H670" s="13">
        <v>0</v>
      </c>
      <c r="I670" s="13">
        <v>0</v>
      </c>
      <c r="J670" s="14">
        <f t="shared" si="40"/>
        <v>0</v>
      </c>
      <c r="K670" s="13">
        <v>0</v>
      </c>
      <c r="L670" s="13">
        <v>0</v>
      </c>
      <c r="M670" s="14">
        <f t="shared" si="38"/>
        <v>0</v>
      </c>
      <c r="N670" s="14">
        <f t="shared" si="38"/>
        <v>0</v>
      </c>
      <c r="O670" s="4">
        <f t="shared" si="38"/>
        <v>0</v>
      </c>
      <c r="P670" s="4">
        <f>IFERROR(SUM(L666:L670)/SUM(I666:I670),"")</f>
        <v>20501.376146788993</v>
      </c>
    </row>
    <row r="671" spans="1:16" x14ac:dyDescent="0.4">
      <c r="A671" s="16">
        <v>43003</v>
      </c>
      <c r="B671" s="11">
        <v>20650</v>
      </c>
      <c r="C671" s="11">
        <v>20650</v>
      </c>
      <c r="D671" s="11">
        <v>20650</v>
      </c>
      <c r="E671" s="11">
        <v>20650</v>
      </c>
      <c r="F671" s="12">
        <v>0</v>
      </c>
      <c r="G671" s="13">
        <f t="shared" si="39"/>
        <v>0</v>
      </c>
      <c r="H671" s="13">
        <v>0</v>
      </c>
      <c r="I671" s="13">
        <v>0</v>
      </c>
      <c r="J671" s="14">
        <f t="shared" si="40"/>
        <v>0</v>
      </c>
      <c r="K671" s="13">
        <v>0</v>
      </c>
      <c r="L671" s="13">
        <v>0</v>
      </c>
      <c r="M671" s="14">
        <f t="shared" si="38"/>
        <v>0</v>
      </c>
      <c r="N671" s="14">
        <f t="shared" si="38"/>
        <v>0</v>
      </c>
      <c r="O671" s="4">
        <f t="shared" si="38"/>
        <v>0</v>
      </c>
      <c r="P671" s="4"/>
    </row>
    <row r="672" spans="1:16" x14ac:dyDescent="0.4">
      <c r="A672" s="16">
        <v>43004</v>
      </c>
      <c r="B672" s="11">
        <v>20650</v>
      </c>
      <c r="C672" s="11">
        <v>20650</v>
      </c>
      <c r="D672" s="11">
        <v>20650</v>
      </c>
      <c r="E672" s="11">
        <v>20650</v>
      </c>
      <c r="F672" s="12">
        <v>0</v>
      </c>
      <c r="G672" s="13">
        <f t="shared" si="39"/>
        <v>0</v>
      </c>
      <c r="H672" s="13">
        <v>185000</v>
      </c>
      <c r="I672" s="13">
        <v>185000</v>
      </c>
      <c r="J672" s="14">
        <f t="shared" si="40"/>
        <v>0</v>
      </c>
      <c r="K672" s="13">
        <v>3820250000</v>
      </c>
      <c r="L672" s="13">
        <v>3820250000</v>
      </c>
      <c r="M672" s="14">
        <f t="shared" si="38"/>
        <v>0</v>
      </c>
      <c r="N672" s="14">
        <f t="shared" si="38"/>
        <v>20650</v>
      </c>
      <c r="O672" s="4">
        <f t="shared" si="38"/>
        <v>20650</v>
      </c>
      <c r="P672" s="4"/>
    </row>
    <row r="673" spans="1:16" x14ac:dyDescent="0.4">
      <c r="A673" s="16">
        <v>43005</v>
      </c>
      <c r="B673" s="11">
        <v>20650</v>
      </c>
      <c r="C673" s="11">
        <v>20650</v>
      </c>
      <c r="D673" s="11">
        <v>20650</v>
      </c>
      <c r="E673" s="11">
        <v>20650</v>
      </c>
      <c r="F673" s="12">
        <v>0</v>
      </c>
      <c r="G673" s="13">
        <f t="shared" si="39"/>
        <v>0</v>
      </c>
      <c r="H673" s="13">
        <v>0</v>
      </c>
      <c r="I673" s="13">
        <v>0</v>
      </c>
      <c r="J673" s="14">
        <f t="shared" si="40"/>
        <v>0</v>
      </c>
      <c r="K673" s="13">
        <v>0</v>
      </c>
      <c r="L673" s="13">
        <v>0</v>
      </c>
      <c r="M673" s="14">
        <f t="shared" si="38"/>
        <v>0</v>
      </c>
      <c r="N673" s="14">
        <f t="shared" si="38"/>
        <v>0</v>
      </c>
      <c r="O673" s="4">
        <f t="shared" si="38"/>
        <v>0</v>
      </c>
      <c r="P673" s="4"/>
    </row>
    <row r="674" spans="1:16" x14ac:dyDescent="0.4">
      <c r="A674" s="16">
        <v>43006</v>
      </c>
      <c r="B674" s="11">
        <v>20700</v>
      </c>
      <c r="C674" s="11">
        <v>20700</v>
      </c>
      <c r="D674" s="11">
        <v>20700</v>
      </c>
      <c r="E674" s="11">
        <v>20700</v>
      </c>
      <c r="F674" s="12">
        <v>0.24</v>
      </c>
      <c r="G674" s="13">
        <f t="shared" si="39"/>
        <v>1000</v>
      </c>
      <c r="H674" s="13">
        <v>0</v>
      </c>
      <c r="I674" s="13">
        <v>1000</v>
      </c>
      <c r="J674" s="14">
        <f t="shared" si="40"/>
        <v>20700000</v>
      </c>
      <c r="K674" s="13">
        <v>0</v>
      </c>
      <c r="L674" s="13">
        <v>20700000</v>
      </c>
      <c r="M674" s="14">
        <f t="shared" si="38"/>
        <v>20700</v>
      </c>
      <c r="N674" s="14">
        <f t="shared" si="38"/>
        <v>0</v>
      </c>
      <c r="O674" s="4">
        <f t="shared" si="38"/>
        <v>20700</v>
      </c>
      <c r="P674" s="4"/>
    </row>
    <row r="675" spans="1:16" x14ac:dyDescent="0.4">
      <c r="A675" s="16"/>
      <c r="B675" s="11"/>
      <c r="C675" s="11"/>
      <c r="D675" s="11"/>
      <c r="E675" s="13"/>
      <c r="F675" s="19"/>
      <c r="G675" s="13"/>
      <c r="H675" s="13"/>
      <c r="I675" s="13"/>
      <c r="J675" s="14"/>
      <c r="K675" s="13"/>
      <c r="L675" s="13"/>
      <c r="M675" s="14"/>
      <c r="N675" s="14"/>
      <c r="O675" s="4"/>
      <c r="P675" s="4"/>
    </row>
    <row r="676" spans="1:16" x14ac:dyDescent="0.4">
      <c r="A676" s="16"/>
      <c r="B676" s="11"/>
      <c r="C676" s="11"/>
      <c r="D676" s="11"/>
      <c r="E676" s="13"/>
      <c r="F676" s="19"/>
      <c r="G676" s="13"/>
      <c r="H676" s="13"/>
      <c r="I676" s="13"/>
      <c r="J676" s="14"/>
      <c r="K676" s="13"/>
      <c r="L676" s="13"/>
      <c r="M676" s="14"/>
      <c r="N676" s="14"/>
      <c r="O676" s="4"/>
      <c r="P676" s="4"/>
    </row>
    <row r="677" spans="1:16" x14ac:dyDescent="0.4">
      <c r="A677" s="16"/>
      <c r="B677" s="11"/>
      <c r="C677" s="11"/>
      <c r="D677" s="11"/>
      <c r="E677" s="13"/>
      <c r="F677" s="19"/>
      <c r="G677" s="13"/>
      <c r="H677" s="13"/>
      <c r="I677" s="13"/>
      <c r="J677" s="14"/>
      <c r="K677" s="13"/>
      <c r="L677" s="13"/>
      <c r="M677" s="14"/>
      <c r="N677" s="14"/>
      <c r="O677" s="4"/>
      <c r="P677" s="4"/>
    </row>
    <row r="678" spans="1:16" x14ac:dyDescent="0.4">
      <c r="A678" s="16"/>
      <c r="B678" s="11"/>
      <c r="C678" s="11"/>
      <c r="D678" s="11"/>
      <c r="E678" s="13"/>
      <c r="F678" s="19"/>
      <c r="G678" s="13"/>
      <c r="H678" s="13"/>
      <c r="I678" s="13"/>
      <c r="J678" s="14"/>
      <c r="K678" s="13"/>
      <c r="L678" s="13"/>
      <c r="M678" s="14"/>
      <c r="N678" s="14"/>
      <c r="O678" s="4"/>
      <c r="P678" s="4"/>
    </row>
    <row r="679" spans="1:16" x14ac:dyDescent="0.4">
      <c r="A679" s="16"/>
      <c r="B679" s="11"/>
      <c r="C679" s="11"/>
      <c r="D679" s="11"/>
      <c r="E679" s="13"/>
      <c r="F679" s="19"/>
      <c r="G679" s="13"/>
      <c r="H679" s="13"/>
      <c r="I679" s="13"/>
      <c r="J679" s="14"/>
      <c r="K679" s="13"/>
      <c r="L679" s="13"/>
      <c r="M679" s="14"/>
      <c r="N679" s="14"/>
      <c r="O679" s="4"/>
      <c r="P679" s="4"/>
    </row>
    <row r="680" spans="1:16" x14ac:dyDescent="0.4">
      <c r="A680" s="16"/>
      <c r="B680" s="13"/>
      <c r="C680" s="20"/>
      <c r="D680" s="13"/>
      <c r="E680" s="13"/>
      <c r="F680" s="19"/>
      <c r="G680" s="13"/>
      <c r="H680" s="13"/>
      <c r="I680" s="13"/>
      <c r="J680" s="14"/>
      <c r="K680" s="13"/>
      <c r="L680" s="13"/>
      <c r="M680" s="14"/>
      <c r="N680" s="14"/>
      <c r="O680" s="4"/>
      <c r="P680" s="4"/>
    </row>
    <row r="681" spans="1:16" x14ac:dyDescent="0.4">
      <c r="A681" s="16"/>
      <c r="B681" s="13"/>
      <c r="C681" s="20"/>
      <c r="D681" s="13"/>
      <c r="E681" s="13"/>
      <c r="F681" s="19"/>
      <c r="G681" s="13"/>
      <c r="H681" s="13"/>
      <c r="I681" s="13"/>
      <c r="J681" s="14"/>
      <c r="K681" s="13"/>
      <c r="L681" s="13"/>
      <c r="M681" s="14"/>
      <c r="N681" s="14"/>
      <c r="O681" s="4"/>
      <c r="P681" s="4"/>
    </row>
    <row r="682" spans="1:16" x14ac:dyDescent="0.4">
      <c r="A682" s="16"/>
      <c r="B682" s="13"/>
      <c r="C682" s="20"/>
      <c r="D682" s="13"/>
      <c r="E682" s="13"/>
      <c r="F682" s="19"/>
      <c r="G682" s="13"/>
      <c r="H682" s="13"/>
      <c r="I682" s="13"/>
      <c r="J682" s="14"/>
      <c r="K682" s="13"/>
      <c r="L682" s="13"/>
      <c r="M682" s="14"/>
      <c r="N682" s="14"/>
      <c r="O682" s="4"/>
      <c r="P682" s="4"/>
    </row>
    <row r="683" spans="1:16" x14ac:dyDescent="0.4">
      <c r="A683" s="16"/>
      <c r="B683" s="13"/>
      <c r="C683" s="20"/>
      <c r="D683" s="13"/>
      <c r="E683" s="13"/>
      <c r="F683" s="19"/>
      <c r="G683" s="13"/>
      <c r="H683" s="13"/>
      <c r="I683" s="13"/>
      <c r="J683" s="14"/>
      <c r="K683" s="13"/>
      <c r="L683" s="13"/>
      <c r="M683" s="14"/>
      <c r="N683" s="14"/>
      <c r="O683" s="4"/>
      <c r="P683" s="4"/>
    </row>
    <row r="684" spans="1:16" x14ac:dyDescent="0.4">
      <c r="A684" s="16"/>
      <c r="B684" s="13"/>
      <c r="C684" s="20"/>
      <c r="D684" s="13"/>
      <c r="E684" s="13"/>
      <c r="F684" s="19"/>
      <c r="G684" s="13"/>
      <c r="H684" s="13"/>
      <c r="I684" s="13"/>
      <c r="J684" s="14"/>
      <c r="K684" s="13"/>
      <c r="L684" s="13"/>
      <c r="M684" s="14"/>
      <c r="N684" s="14"/>
      <c r="O684" s="4"/>
      <c r="P684" s="4"/>
    </row>
    <row r="685" spans="1:16" x14ac:dyDescent="0.4">
      <c r="A685" s="16"/>
      <c r="B685" s="13"/>
      <c r="C685" s="20"/>
      <c r="D685" s="13"/>
      <c r="E685" s="13"/>
      <c r="F685" s="19"/>
      <c r="G685" s="13"/>
      <c r="H685" s="13"/>
      <c r="I685" s="13"/>
      <c r="J685" s="14"/>
      <c r="K685" s="13"/>
      <c r="L685" s="13"/>
      <c r="M685" s="14"/>
      <c r="N685" s="14"/>
      <c r="O685" s="4"/>
      <c r="P685" s="4"/>
    </row>
    <row r="686" spans="1:16" x14ac:dyDescent="0.4">
      <c r="A686" s="16"/>
      <c r="B686" s="13"/>
      <c r="C686" s="20"/>
      <c r="D686" s="13"/>
      <c r="E686" s="13"/>
      <c r="F686" s="19"/>
      <c r="G686" s="13"/>
      <c r="H686" s="13"/>
      <c r="I686" s="13"/>
      <c r="J686" s="14"/>
      <c r="K686" s="13"/>
      <c r="L686" s="13"/>
      <c r="M686" s="14"/>
      <c r="N686" s="14"/>
      <c r="O686" s="4"/>
      <c r="P686" s="4"/>
    </row>
    <row r="687" spans="1:16" x14ac:dyDescent="0.4">
      <c r="A687" s="16"/>
      <c r="B687" s="13"/>
      <c r="C687" s="20"/>
      <c r="D687" s="13"/>
      <c r="E687" s="13"/>
      <c r="F687" s="19"/>
      <c r="G687" s="13"/>
      <c r="H687" s="13"/>
      <c r="I687" s="13"/>
      <c r="J687" s="14"/>
      <c r="K687" s="13"/>
      <c r="L687" s="13"/>
      <c r="M687" s="14"/>
      <c r="N687" s="14"/>
      <c r="O687" s="4"/>
      <c r="P687" s="4"/>
    </row>
    <row r="688" spans="1:16" x14ac:dyDescent="0.4">
      <c r="A688" s="16"/>
      <c r="B688" s="13"/>
      <c r="C688" s="20"/>
      <c r="D688" s="13"/>
      <c r="E688" s="11"/>
      <c r="F688" s="12"/>
      <c r="G688" s="13"/>
      <c r="H688" s="13"/>
      <c r="I688" s="13"/>
      <c r="J688" s="14"/>
      <c r="K688" s="13"/>
      <c r="L688" s="13"/>
      <c r="M688" s="14"/>
      <c r="N688" s="14"/>
      <c r="O688" s="4"/>
      <c r="P688" s="4"/>
    </row>
    <row r="689" spans="1:16" x14ac:dyDescent="0.4">
      <c r="A689" s="16"/>
      <c r="B689" s="13"/>
      <c r="C689" s="20"/>
      <c r="D689" s="13"/>
      <c r="E689" s="11"/>
      <c r="F689" s="12"/>
      <c r="G689" s="13"/>
      <c r="H689" s="13"/>
      <c r="I689" s="13"/>
      <c r="J689" s="14"/>
      <c r="K689" s="13"/>
      <c r="L689" s="13"/>
      <c r="M689" s="14"/>
      <c r="N689" s="14"/>
      <c r="O689" s="4"/>
      <c r="P689" s="4"/>
    </row>
    <row r="690" spans="1:16" x14ac:dyDescent="0.4">
      <c r="A690" s="16"/>
      <c r="B690" s="13"/>
      <c r="C690" s="20"/>
      <c r="D690" s="13"/>
      <c r="E690" s="11"/>
      <c r="F690" s="12"/>
      <c r="G690" s="13"/>
      <c r="H690" s="13"/>
      <c r="I690" s="13"/>
      <c r="J690" s="14"/>
      <c r="K690" s="13"/>
      <c r="L690" s="13"/>
      <c r="M690" s="14"/>
      <c r="N690" s="14"/>
      <c r="O690" s="4"/>
      <c r="P690" s="4"/>
    </row>
    <row r="691" spans="1:16" x14ac:dyDescent="0.4">
      <c r="A691" s="16"/>
      <c r="B691" s="13"/>
      <c r="C691" s="20"/>
      <c r="D691" s="13"/>
      <c r="E691" s="11"/>
      <c r="F691" s="12"/>
      <c r="G691" s="13"/>
      <c r="H691" s="13"/>
      <c r="I691" s="13"/>
      <c r="J691" s="14"/>
      <c r="K691" s="13"/>
      <c r="L691" s="13"/>
      <c r="M691" s="14"/>
      <c r="N691" s="14"/>
      <c r="O691" s="4"/>
      <c r="P691" s="4"/>
    </row>
    <row r="692" spans="1:16" x14ac:dyDescent="0.4">
      <c r="A692" s="16"/>
      <c r="B692" s="13"/>
      <c r="C692" s="20"/>
      <c r="D692" s="13"/>
      <c r="E692" s="11"/>
      <c r="F692" s="12"/>
      <c r="G692" s="13"/>
      <c r="H692" s="13"/>
      <c r="I692" s="13"/>
      <c r="J692" s="14"/>
      <c r="K692" s="13"/>
      <c r="L692" s="13"/>
      <c r="M692" s="14"/>
      <c r="N692" s="14"/>
      <c r="O692" s="4"/>
      <c r="P692" s="4"/>
    </row>
    <row r="693" spans="1:16" x14ac:dyDescent="0.4">
      <c r="A693" s="16"/>
      <c r="B693" s="13"/>
      <c r="C693" s="20"/>
      <c r="D693" s="13"/>
      <c r="E693" s="11"/>
      <c r="F693" s="12"/>
      <c r="G693" s="13"/>
      <c r="H693" s="13"/>
      <c r="I693" s="13"/>
      <c r="J693" s="14"/>
      <c r="K693" s="13"/>
      <c r="L693" s="13"/>
      <c r="M693" s="14"/>
      <c r="N693" s="14"/>
      <c r="O693" s="4"/>
      <c r="P693" s="4"/>
    </row>
    <row r="694" spans="1:16" x14ac:dyDescent="0.4">
      <c r="A694" s="16"/>
      <c r="B694" s="13"/>
      <c r="C694" s="20"/>
      <c r="D694" s="13"/>
      <c r="E694" s="11"/>
      <c r="F694" s="12"/>
      <c r="G694" s="13"/>
      <c r="H694" s="13"/>
      <c r="I694" s="13"/>
      <c r="J694" s="14"/>
      <c r="K694" s="13"/>
      <c r="L694" s="13"/>
      <c r="M694" s="14"/>
      <c r="N694" s="14"/>
      <c r="O694" s="4"/>
      <c r="P694" s="4"/>
    </row>
    <row r="695" spans="1:16" x14ac:dyDescent="0.4">
      <c r="A695" s="16"/>
      <c r="B695" s="13"/>
      <c r="C695" s="20"/>
      <c r="D695" s="13"/>
      <c r="E695" s="11"/>
      <c r="F695" s="12"/>
      <c r="G695" s="14"/>
      <c r="H695" s="13"/>
      <c r="I695" s="14"/>
      <c r="J695" s="14"/>
      <c r="K695" s="13"/>
      <c r="L695" s="14"/>
      <c r="M695" s="14"/>
      <c r="N695" s="14"/>
      <c r="O695" s="4"/>
      <c r="P695" s="4"/>
    </row>
    <row r="696" spans="1:16" x14ac:dyDescent="0.4">
      <c r="A696" s="16"/>
      <c r="B696" s="13"/>
      <c r="C696" s="20"/>
      <c r="D696" s="13"/>
      <c r="E696" s="11"/>
      <c r="F696" s="12"/>
      <c r="G696" s="13"/>
      <c r="H696" s="13"/>
      <c r="I696" s="13"/>
      <c r="J696" s="14"/>
      <c r="K696" s="13"/>
      <c r="L696" s="13"/>
      <c r="M696" s="14"/>
      <c r="N696" s="14"/>
      <c r="O696" s="4"/>
      <c r="P696" s="4"/>
    </row>
    <row r="697" spans="1:16" x14ac:dyDescent="0.4">
      <c r="A697" s="16"/>
      <c r="B697" s="21"/>
      <c r="C697" s="21"/>
      <c r="D697" s="21"/>
      <c r="E697" s="21"/>
      <c r="F697" s="12"/>
      <c r="G697" s="13"/>
      <c r="H697" s="13"/>
      <c r="I697" s="13"/>
      <c r="J697" s="14"/>
      <c r="K697" s="13"/>
      <c r="L697" s="13"/>
      <c r="M697" s="14"/>
      <c r="N697" s="14"/>
      <c r="O697" s="4"/>
      <c r="P697" s="22"/>
    </row>
    <row r="698" spans="1:16" x14ac:dyDescent="0.4">
      <c r="A698" s="16"/>
      <c r="B698" s="21"/>
      <c r="C698" s="21"/>
      <c r="D698" s="21"/>
      <c r="E698" s="21"/>
      <c r="F698" s="12"/>
      <c r="G698" s="13"/>
      <c r="H698" s="13"/>
      <c r="I698" s="13"/>
      <c r="J698" s="14"/>
      <c r="K698" s="13"/>
      <c r="L698" s="13"/>
      <c r="M698" s="14"/>
      <c r="N698" s="14"/>
      <c r="O698" s="4"/>
      <c r="P698" s="22"/>
    </row>
    <row r="699" spans="1:16" x14ac:dyDescent="0.4">
      <c r="A699" s="16"/>
      <c r="B699" s="21"/>
      <c r="C699" s="21"/>
      <c r="D699" s="21"/>
      <c r="E699" s="21"/>
      <c r="F699" s="12"/>
      <c r="G699" s="13"/>
      <c r="H699" s="13"/>
      <c r="I699" s="13"/>
      <c r="J699" s="14"/>
      <c r="K699" s="13"/>
      <c r="L699" s="13"/>
      <c r="M699" s="14"/>
      <c r="N699" s="14"/>
      <c r="O699" s="4"/>
      <c r="P699" s="22"/>
    </row>
    <row r="700" spans="1:16" x14ac:dyDescent="0.4">
      <c r="A700" s="16"/>
      <c r="B700" s="21"/>
      <c r="C700" s="21"/>
      <c r="D700" s="21"/>
      <c r="E700" s="21"/>
      <c r="F700" s="12"/>
      <c r="G700" s="13"/>
      <c r="H700" s="13"/>
      <c r="I700" s="13"/>
      <c r="J700" s="14"/>
      <c r="K700" s="13"/>
      <c r="L700" s="13"/>
      <c r="M700" s="14"/>
      <c r="N700" s="14"/>
      <c r="O700" s="4"/>
      <c r="P700" s="22"/>
    </row>
  </sheetData>
  <phoneticPr fontId="1" type="noConversion"/>
  <conditionalFormatting sqref="F441">
    <cfRule type="iconSet" priority="172">
      <iconSet iconSet="3Arrows">
        <cfvo type="percent" val="0"/>
        <cfvo type="num" val="0"/>
        <cfvo type="num" val="0" gte="0"/>
      </iconSet>
    </cfRule>
  </conditionalFormatting>
  <conditionalFormatting sqref="F442">
    <cfRule type="iconSet" priority="171">
      <iconSet iconSet="3Arrows">
        <cfvo type="percent" val="0"/>
        <cfvo type="num" val="0"/>
        <cfvo type="num" val="0" gte="0"/>
      </iconSet>
    </cfRule>
  </conditionalFormatting>
  <conditionalFormatting sqref="F443">
    <cfRule type="iconSet" priority="170">
      <iconSet iconSet="3Arrows">
        <cfvo type="percent" val="0"/>
        <cfvo type="num" val="0"/>
        <cfvo type="num" val="0" gte="0"/>
      </iconSet>
    </cfRule>
  </conditionalFormatting>
  <conditionalFormatting sqref="F444">
    <cfRule type="iconSet" priority="169">
      <iconSet iconSet="3Arrows">
        <cfvo type="percent" val="0"/>
        <cfvo type="num" val="0"/>
        <cfvo type="num" val="0" gte="0"/>
      </iconSet>
    </cfRule>
  </conditionalFormatting>
  <conditionalFormatting sqref="F445">
    <cfRule type="iconSet" priority="168">
      <iconSet iconSet="3Arrows">
        <cfvo type="percent" val="0"/>
        <cfvo type="num" val="0"/>
        <cfvo type="num" val="0" gte="0"/>
      </iconSet>
    </cfRule>
  </conditionalFormatting>
  <conditionalFormatting sqref="F446">
    <cfRule type="iconSet" priority="167">
      <iconSet iconSet="3Arrows">
        <cfvo type="percent" val="0"/>
        <cfvo type="num" val="0"/>
        <cfvo type="num" val="0" gte="0"/>
      </iconSet>
    </cfRule>
  </conditionalFormatting>
  <conditionalFormatting sqref="F447">
    <cfRule type="iconSet" priority="166">
      <iconSet iconSet="3Arrows">
        <cfvo type="percent" val="0"/>
        <cfvo type="num" val="0"/>
        <cfvo type="num" val="0" gte="0"/>
      </iconSet>
    </cfRule>
  </conditionalFormatting>
  <conditionalFormatting sqref="F448">
    <cfRule type="iconSet" priority="165">
      <iconSet iconSet="3Arrows">
        <cfvo type="percent" val="0"/>
        <cfvo type="num" val="0"/>
        <cfvo type="num" val="0" gte="0"/>
      </iconSet>
    </cfRule>
  </conditionalFormatting>
  <conditionalFormatting sqref="F449">
    <cfRule type="iconSet" priority="164">
      <iconSet iconSet="3Arrows">
        <cfvo type="percent" val="0"/>
        <cfvo type="num" val="0"/>
        <cfvo type="num" val="0" gte="0"/>
      </iconSet>
    </cfRule>
  </conditionalFormatting>
  <conditionalFormatting sqref="F450">
    <cfRule type="iconSet" priority="163">
      <iconSet iconSet="3Arrows">
        <cfvo type="percent" val="0"/>
        <cfvo type="num" val="0"/>
        <cfvo type="num" val="0" gte="0"/>
      </iconSet>
    </cfRule>
  </conditionalFormatting>
  <conditionalFormatting sqref="F451">
    <cfRule type="iconSet" priority="162">
      <iconSet iconSet="3Arrows">
        <cfvo type="percent" val="0"/>
        <cfvo type="num" val="0"/>
        <cfvo type="num" val="0" gte="0"/>
      </iconSet>
    </cfRule>
  </conditionalFormatting>
  <conditionalFormatting sqref="F452">
    <cfRule type="iconSet" priority="161">
      <iconSet iconSet="3Arrows">
        <cfvo type="percent" val="0"/>
        <cfvo type="num" val="0"/>
        <cfvo type="num" val="0" gte="0"/>
      </iconSet>
    </cfRule>
  </conditionalFormatting>
  <conditionalFormatting sqref="F453">
    <cfRule type="iconSet" priority="160">
      <iconSet iconSet="3Arrows">
        <cfvo type="percent" val="0"/>
        <cfvo type="num" val="0"/>
        <cfvo type="num" val="0" gte="0"/>
      </iconSet>
    </cfRule>
  </conditionalFormatting>
  <conditionalFormatting sqref="F454">
    <cfRule type="iconSet" priority="159">
      <iconSet iconSet="3Arrows">
        <cfvo type="percent" val="0"/>
        <cfvo type="num" val="0"/>
        <cfvo type="num" val="0" gte="0"/>
      </iconSet>
    </cfRule>
  </conditionalFormatting>
  <conditionalFormatting sqref="F455">
    <cfRule type="iconSet" priority="158">
      <iconSet iconSet="3Arrows">
        <cfvo type="percent" val="0"/>
        <cfvo type="num" val="0"/>
        <cfvo type="num" val="0" gte="0"/>
      </iconSet>
    </cfRule>
  </conditionalFormatting>
  <conditionalFormatting sqref="F456">
    <cfRule type="iconSet" priority="157">
      <iconSet iconSet="3Arrows">
        <cfvo type="percent" val="0"/>
        <cfvo type="num" val="0"/>
        <cfvo type="num" val="0" gte="0"/>
      </iconSet>
    </cfRule>
  </conditionalFormatting>
  <conditionalFormatting sqref="F457">
    <cfRule type="iconSet" priority="156">
      <iconSet iconSet="3Arrows">
        <cfvo type="percent" val="0"/>
        <cfvo type="num" val="0"/>
        <cfvo type="num" val="0" gte="0"/>
      </iconSet>
    </cfRule>
  </conditionalFormatting>
  <conditionalFormatting sqref="F458">
    <cfRule type="iconSet" priority="155">
      <iconSet iconSet="3Arrows">
        <cfvo type="percent" val="0"/>
        <cfvo type="num" val="0"/>
        <cfvo type="num" val="0" gte="0"/>
      </iconSet>
    </cfRule>
  </conditionalFormatting>
  <conditionalFormatting sqref="F459">
    <cfRule type="iconSet" priority="154">
      <iconSet iconSet="3Arrows">
        <cfvo type="percent" val="0"/>
        <cfvo type="num" val="0"/>
        <cfvo type="num" val="0" gte="0"/>
      </iconSet>
    </cfRule>
  </conditionalFormatting>
  <conditionalFormatting sqref="F460">
    <cfRule type="iconSet" priority="153">
      <iconSet iconSet="3Arrows">
        <cfvo type="percent" val="0"/>
        <cfvo type="num" val="0"/>
        <cfvo type="num" val="0" gte="0"/>
      </iconSet>
    </cfRule>
  </conditionalFormatting>
  <conditionalFormatting sqref="F461">
    <cfRule type="iconSet" priority="152">
      <iconSet iconSet="3Arrows">
        <cfvo type="percent" val="0"/>
        <cfvo type="num" val="0"/>
        <cfvo type="num" val="0" gte="0"/>
      </iconSet>
    </cfRule>
  </conditionalFormatting>
  <conditionalFormatting sqref="F462">
    <cfRule type="iconSet" priority="151">
      <iconSet iconSet="3Arrows">
        <cfvo type="percent" val="0"/>
        <cfvo type="num" val="0"/>
        <cfvo type="num" val="0" gte="0"/>
      </iconSet>
    </cfRule>
  </conditionalFormatting>
  <conditionalFormatting sqref="F463">
    <cfRule type="iconSet" priority="150">
      <iconSet iconSet="3Arrows">
        <cfvo type="percent" val="0"/>
        <cfvo type="num" val="0"/>
        <cfvo type="num" val="0" gte="0"/>
      </iconSet>
    </cfRule>
  </conditionalFormatting>
  <conditionalFormatting sqref="F464">
    <cfRule type="iconSet" priority="149">
      <iconSet iconSet="3Arrows">
        <cfvo type="percent" val="0"/>
        <cfvo type="num" val="0"/>
        <cfvo type="num" val="0" gte="0"/>
      </iconSet>
    </cfRule>
  </conditionalFormatting>
  <conditionalFormatting sqref="F465">
    <cfRule type="iconSet" priority="148">
      <iconSet iconSet="3Arrows">
        <cfvo type="percent" val="0"/>
        <cfvo type="num" val="0"/>
        <cfvo type="num" val="0" gte="0"/>
      </iconSet>
    </cfRule>
  </conditionalFormatting>
  <conditionalFormatting sqref="F466">
    <cfRule type="iconSet" priority="147">
      <iconSet iconSet="3Arrows">
        <cfvo type="percent" val="0"/>
        <cfvo type="num" val="0"/>
        <cfvo type="num" val="0" gte="0"/>
      </iconSet>
    </cfRule>
  </conditionalFormatting>
  <conditionalFormatting sqref="F468">
    <cfRule type="iconSet" priority="146">
      <iconSet iconSet="3Arrows">
        <cfvo type="percent" val="0"/>
        <cfvo type="num" val="0"/>
        <cfvo type="num" val="0" gte="0"/>
      </iconSet>
    </cfRule>
  </conditionalFormatting>
  <conditionalFormatting sqref="F467">
    <cfRule type="iconSet" priority="145">
      <iconSet iconSet="3Arrows">
        <cfvo type="percent" val="0"/>
        <cfvo type="num" val="0"/>
        <cfvo type="num" val="0" gte="0"/>
      </iconSet>
    </cfRule>
  </conditionalFormatting>
  <conditionalFormatting sqref="F469">
    <cfRule type="iconSet" priority="144">
      <iconSet iconSet="3Arrows">
        <cfvo type="percent" val="0"/>
        <cfvo type="num" val="0"/>
        <cfvo type="num" val="0" gte="0"/>
      </iconSet>
    </cfRule>
  </conditionalFormatting>
  <conditionalFormatting sqref="F470">
    <cfRule type="iconSet" priority="143">
      <iconSet iconSet="3Arrows">
        <cfvo type="percent" val="0"/>
        <cfvo type="num" val="0"/>
        <cfvo type="num" val="0" gte="0"/>
      </iconSet>
    </cfRule>
  </conditionalFormatting>
  <conditionalFormatting sqref="F471">
    <cfRule type="iconSet" priority="142">
      <iconSet iconSet="3Arrows">
        <cfvo type="percent" val="0"/>
        <cfvo type="num" val="0"/>
        <cfvo type="num" val="0" gte="0"/>
      </iconSet>
    </cfRule>
  </conditionalFormatting>
  <conditionalFormatting sqref="F472">
    <cfRule type="iconSet" priority="141">
      <iconSet iconSet="3Arrows">
        <cfvo type="percent" val="0"/>
        <cfvo type="num" val="0"/>
        <cfvo type="num" val="0" gte="0"/>
      </iconSet>
    </cfRule>
  </conditionalFormatting>
  <conditionalFormatting sqref="F473">
    <cfRule type="iconSet" priority="140">
      <iconSet iconSet="3Arrows">
        <cfvo type="percent" val="0"/>
        <cfvo type="num" val="0"/>
        <cfvo type="num" val="0" gte="0"/>
      </iconSet>
    </cfRule>
  </conditionalFormatting>
  <conditionalFormatting sqref="F474">
    <cfRule type="iconSet" priority="139">
      <iconSet iconSet="3Arrows">
        <cfvo type="percent" val="0"/>
        <cfvo type="num" val="0"/>
        <cfvo type="num" val="0" gte="0"/>
      </iconSet>
    </cfRule>
  </conditionalFormatting>
  <conditionalFormatting sqref="F475">
    <cfRule type="iconSet" priority="138">
      <iconSet iconSet="3Arrows">
        <cfvo type="percent" val="0"/>
        <cfvo type="num" val="0"/>
        <cfvo type="num" val="0" gte="0"/>
      </iconSet>
    </cfRule>
  </conditionalFormatting>
  <conditionalFormatting sqref="F476">
    <cfRule type="iconSet" priority="137">
      <iconSet iconSet="3Arrows">
        <cfvo type="percent" val="0"/>
        <cfvo type="num" val="0"/>
        <cfvo type="num" val="0" gte="0"/>
      </iconSet>
    </cfRule>
  </conditionalFormatting>
  <conditionalFormatting sqref="F477">
    <cfRule type="iconSet" priority="136">
      <iconSet iconSet="3Arrows">
        <cfvo type="percent" val="0"/>
        <cfvo type="num" val="0"/>
        <cfvo type="num" val="0" gte="0"/>
      </iconSet>
    </cfRule>
  </conditionalFormatting>
  <conditionalFormatting sqref="F478">
    <cfRule type="iconSet" priority="135">
      <iconSet iconSet="3Arrows">
        <cfvo type="percent" val="0"/>
        <cfvo type="num" val="0"/>
        <cfvo type="num" val="0" gte="0"/>
      </iconSet>
    </cfRule>
  </conditionalFormatting>
  <conditionalFormatting sqref="F479">
    <cfRule type="iconSet" priority="134">
      <iconSet iconSet="3Arrows">
        <cfvo type="percent" val="0"/>
        <cfvo type="num" val="0"/>
        <cfvo type="num" val="0" gte="0"/>
      </iconSet>
    </cfRule>
  </conditionalFormatting>
  <conditionalFormatting sqref="F480">
    <cfRule type="iconSet" priority="133">
      <iconSet iconSet="3Arrows">
        <cfvo type="percent" val="0"/>
        <cfvo type="num" val="0"/>
        <cfvo type="num" val="0" gte="0"/>
      </iconSet>
    </cfRule>
  </conditionalFormatting>
  <conditionalFormatting sqref="F481">
    <cfRule type="iconSet" priority="132">
      <iconSet iconSet="3Arrows">
        <cfvo type="percent" val="0"/>
        <cfvo type="num" val="0"/>
        <cfvo type="num" val="0" gte="0"/>
      </iconSet>
    </cfRule>
  </conditionalFormatting>
  <conditionalFormatting sqref="F482">
    <cfRule type="iconSet" priority="131">
      <iconSet iconSet="3Arrows">
        <cfvo type="percent" val="0"/>
        <cfvo type="num" val="0"/>
        <cfvo type="num" val="0" gte="0"/>
      </iconSet>
    </cfRule>
  </conditionalFormatting>
  <conditionalFormatting sqref="F483">
    <cfRule type="iconSet" priority="130">
      <iconSet iconSet="3Arrows">
        <cfvo type="percent" val="0"/>
        <cfvo type="num" val="0"/>
        <cfvo type="num" val="0" gte="0"/>
      </iconSet>
    </cfRule>
  </conditionalFormatting>
  <conditionalFormatting sqref="F484">
    <cfRule type="iconSet" priority="129">
      <iconSet iconSet="3Arrows">
        <cfvo type="percent" val="0"/>
        <cfvo type="num" val="0"/>
        <cfvo type="num" val="0" gte="0"/>
      </iconSet>
    </cfRule>
  </conditionalFormatting>
  <conditionalFormatting sqref="F485">
    <cfRule type="iconSet" priority="128">
      <iconSet iconSet="3Arrows">
        <cfvo type="percent" val="0"/>
        <cfvo type="num" val="0"/>
        <cfvo type="num" val="0" gte="0"/>
      </iconSet>
    </cfRule>
  </conditionalFormatting>
  <conditionalFormatting sqref="F486">
    <cfRule type="iconSet" priority="127">
      <iconSet iconSet="3Arrows">
        <cfvo type="percent" val="0"/>
        <cfvo type="num" val="0"/>
        <cfvo type="num" val="0" gte="0"/>
      </iconSet>
    </cfRule>
  </conditionalFormatting>
  <conditionalFormatting sqref="F487">
    <cfRule type="iconSet" priority="126">
      <iconSet iconSet="3Arrows">
        <cfvo type="percent" val="0"/>
        <cfvo type="num" val="0"/>
        <cfvo type="num" val="0" gte="0"/>
      </iconSet>
    </cfRule>
  </conditionalFormatting>
  <conditionalFormatting sqref="F488">
    <cfRule type="iconSet" priority="125">
      <iconSet iconSet="3Arrows">
        <cfvo type="percent" val="0"/>
        <cfvo type="num" val="0"/>
        <cfvo type="num" val="0" gte="0"/>
      </iconSet>
    </cfRule>
  </conditionalFormatting>
  <conditionalFormatting sqref="F489">
    <cfRule type="iconSet" priority="124">
      <iconSet iconSet="3Arrows">
        <cfvo type="percent" val="0"/>
        <cfvo type="num" val="0"/>
        <cfvo type="num" val="0" gte="0"/>
      </iconSet>
    </cfRule>
  </conditionalFormatting>
  <conditionalFormatting sqref="F490">
    <cfRule type="iconSet" priority="123">
      <iconSet iconSet="3Arrows">
        <cfvo type="percent" val="0"/>
        <cfvo type="num" val="0"/>
        <cfvo type="num" val="0" gte="0"/>
      </iconSet>
    </cfRule>
  </conditionalFormatting>
  <conditionalFormatting sqref="F491">
    <cfRule type="iconSet" priority="122">
      <iconSet iconSet="3Arrows">
        <cfvo type="percent" val="0"/>
        <cfvo type="num" val="0"/>
        <cfvo type="num" val="0" gte="0"/>
      </iconSet>
    </cfRule>
  </conditionalFormatting>
  <conditionalFormatting sqref="F492">
    <cfRule type="iconSet" priority="121">
      <iconSet iconSet="3Arrows">
        <cfvo type="percent" val="0"/>
        <cfvo type="num" val="0"/>
        <cfvo type="num" val="0" gte="0"/>
      </iconSet>
    </cfRule>
  </conditionalFormatting>
  <conditionalFormatting sqref="F493">
    <cfRule type="iconSet" priority="120">
      <iconSet iconSet="3Arrows">
        <cfvo type="percent" val="0"/>
        <cfvo type="num" val="0"/>
        <cfvo type="num" val="0" gte="0"/>
      </iconSet>
    </cfRule>
  </conditionalFormatting>
  <conditionalFormatting sqref="F494">
    <cfRule type="iconSet" priority="119">
      <iconSet iconSet="3Arrows">
        <cfvo type="percent" val="0"/>
        <cfvo type="num" val="0"/>
        <cfvo type="num" val="0" gte="0"/>
      </iconSet>
    </cfRule>
  </conditionalFormatting>
  <conditionalFormatting sqref="F495">
    <cfRule type="iconSet" priority="118">
      <iconSet iconSet="3Arrows">
        <cfvo type="percent" val="0"/>
        <cfvo type="num" val="0"/>
        <cfvo type="num" val="0" gte="0"/>
      </iconSet>
    </cfRule>
  </conditionalFormatting>
  <conditionalFormatting sqref="F496">
    <cfRule type="iconSet" priority="117">
      <iconSet iconSet="3Arrows">
        <cfvo type="percent" val="0"/>
        <cfvo type="num" val="0"/>
        <cfvo type="num" val="0" gte="0"/>
      </iconSet>
    </cfRule>
  </conditionalFormatting>
  <conditionalFormatting sqref="F497">
    <cfRule type="iconSet" priority="116">
      <iconSet iconSet="3Arrows">
        <cfvo type="percent" val="0"/>
        <cfvo type="num" val="0"/>
        <cfvo type="num" val="0" gte="0"/>
      </iconSet>
    </cfRule>
  </conditionalFormatting>
  <conditionalFormatting sqref="F498">
    <cfRule type="iconSet" priority="115">
      <iconSet iconSet="3Arrows">
        <cfvo type="percent" val="0"/>
        <cfvo type="num" val="0"/>
        <cfvo type="num" val="0" gte="0"/>
      </iconSet>
    </cfRule>
  </conditionalFormatting>
  <conditionalFormatting sqref="F499">
    <cfRule type="iconSet" priority="114">
      <iconSet iconSet="3Arrows">
        <cfvo type="percent" val="0"/>
        <cfvo type="num" val="0"/>
        <cfvo type="num" val="0" gte="0"/>
      </iconSet>
    </cfRule>
  </conditionalFormatting>
  <conditionalFormatting sqref="F500">
    <cfRule type="iconSet" priority="113">
      <iconSet iconSet="3Arrows">
        <cfvo type="percent" val="0"/>
        <cfvo type="num" val="0"/>
        <cfvo type="num" val="0" gte="0"/>
      </iconSet>
    </cfRule>
  </conditionalFormatting>
  <conditionalFormatting sqref="F501">
    <cfRule type="iconSet" priority="112">
      <iconSet iconSet="3Arrows">
        <cfvo type="percent" val="0"/>
        <cfvo type="num" val="0"/>
        <cfvo type="num" val="0" gte="0"/>
      </iconSet>
    </cfRule>
  </conditionalFormatting>
  <conditionalFormatting sqref="F502">
    <cfRule type="iconSet" priority="111">
      <iconSet iconSet="3Arrows">
        <cfvo type="percent" val="0"/>
        <cfvo type="num" val="0"/>
        <cfvo type="num" val="0" gte="0"/>
      </iconSet>
    </cfRule>
  </conditionalFormatting>
  <conditionalFormatting sqref="F503">
    <cfRule type="iconSet" priority="110">
      <iconSet iconSet="3Arrows">
        <cfvo type="percent" val="0"/>
        <cfvo type="num" val="0"/>
        <cfvo type="num" val="0" gte="0"/>
      </iconSet>
    </cfRule>
  </conditionalFormatting>
  <conditionalFormatting sqref="F504">
    <cfRule type="iconSet" priority="109">
      <iconSet iconSet="3Arrows">
        <cfvo type="percent" val="0"/>
        <cfvo type="num" val="0"/>
        <cfvo type="num" val="0" gte="0"/>
      </iconSet>
    </cfRule>
  </conditionalFormatting>
  <conditionalFormatting sqref="F505">
    <cfRule type="iconSet" priority="108">
      <iconSet iconSet="3Arrows">
        <cfvo type="percent" val="0"/>
        <cfvo type="num" val="0"/>
        <cfvo type="num" val="0" gte="0"/>
      </iconSet>
    </cfRule>
  </conditionalFormatting>
  <conditionalFormatting sqref="F506">
    <cfRule type="iconSet" priority="107">
      <iconSet iconSet="3Arrows">
        <cfvo type="percent" val="0"/>
        <cfvo type="num" val="0"/>
        <cfvo type="num" val="0" gte="0"/>
      </iconSet>
    </cfRule>
  </conditionalFormatting>
  <conditionalFormatting sqref="F507">
    <cfRule type="iconSet" priority="106">
      <iconSet iconSet="3Arrows">
        <cfvo type="percent" val="0"/>
        <cfvo type="num" val="0"/>
        <cfvo type="num" val="0" gte="0"/>
      </iconSet>
    </cfRule>
  </conditionalFormatting>
  <conditionalFormatting sqref="F508">
    <cfRule type="iconSet" priority="105">
      <iconSet iconSet="3Arrows">
        <cfvo type="percent" val="0"/>
        <cfvo type="num" val="0"/>
        <cfvo type="num" val="0" gte="0"/>
      </iconSet>
    </cfRule>
  </conditionalFormatting>
  <conditionalFormatting sqref="F509">
    <cfRule type="iconSet" priority="104">
      <iconSet iconSet="3Arrows">
        <cfvo type="percent" val="0"/>
        <cfvo type="num" val="0"/>
        <cfvo type="num" val="0" gte="0"/>
      </iconSet>
    </cfRule>
  </conditionalFormatting>
  <conditionalFormatting sqref="F510:F512">
    <cfRule type="iconSet" priority="103">
      <iconSet iconSet="3Arrows">
        <cfvo type="percent" val="0"/>
        <cfvo type="num" val="0"/>
        <cfvo type="num" val="0" gte="0"/>
      </iconSet>
    </cfRule>
  </conditionalFormatting>
  <conditionalFormatting sqref="F513">
    <cfRule type="iconSet" priority="102">
      <iconSet iconSet="3Arrows">
        <cfvo type="percent" val="0"/>
        <cfvo type="num" val="0"/>
        <cfvo type="num" val="0" gte="0"/>
      </iconSet>
    </cfRule>
  </conditionalFormatting>
  <conditionalFormatting sqref="F514:F519 F521:F522 F526:F540 F542:F563 F567:F568">
    <cfRule type="iconSet" priority="101">
      <iconSet iconSet="3Arrows">
        <cfvo type="percent" val="0"/>
        <cfvo type="num" val="0"/>
        <cfvo type="num" val="0" gte="0"/>
      </iconSet>
    </cfRule>
  </conditionalFormatting>
  <conditionalFormatting sqref="F520">
    <cfRule type="iconSet" priority="100">
      <iconSet iconSet="3Arrows">
        <cfvo type="percent" val="0"/>
        <cfvo type="num" val="0"/>
        <cfvo type="num" val="0" gte="0"/>
      </iconSet>
    </cfRule>
  </conditionalFormatting>
  <conditionalFormatting sqref="F523">
    <cfRule type="iconSet" priority="99">
      <iconSet iconSet="3Arrows">
        <cfvo type="percent" val="0"/>
        <cfvo type="num" val="0"/>
        <cfvo type="num" val="0" gte="0"/>
      </iconSet>
    </cfRule>
  </conditionalFormatting>
  <conditionalFormatting sqref="F524">
    <cfRule type="iconSet" priority="98">
      <iconSet iconSet="3Arrows">
        <cfvo type="percent" val="0"/>
        <cfvo type="num" val="0"/>
        <cfvo type="num" val="0" gte="0"/>
      </iconSet>
    </cfRule>
  </conditionalFormatting>
  <conditionalFormatting sqref="F525">
    <cfRule type="iconSet" priority="97">
      <iconSet iconSet="3Arrows">
        <cfvo type="percent" val="0"/>
        <cfvo type="num" val="0"/>
        <cfvo type="num" val="0" gte="0"/>
      </iconSet>
    </cfRule>
  </conditionalFormatting>
  <conditionalFormatting sqref="F541">
    <cfRule type="iconSet" priority="96">
      <iconSet iconSet="3Arrows">
        <cfvo type="percent" val="0"/>
        <cfvo type="num" val="0"/>
        <cfvo type="num" val="0" gte="0"/>
      </iconSet>
    </cfRule>
  </conditionalFormatting>
  <conditionalFormatting sqref="F564">
    <cfRule type="iconSet" priority="95">
      <iconSet iconSet="3Arrows">
        <cfvo type="percent" val="0"/>
        <cfvo type="num" val="0"/>
        <cfvo type="num" val="0" gte="0"/>
      </iconSet>
    </cfRule>
  </conditionalFormatting>
  <conditionalFormatting sqref="F565">
    <cfRule type="iconSet" priority="94">
      <iconSet iconSet="3Arrows">
        <cfvo type="percent" val="0"/>
        <cfvo type="num" val="0"/>
        <cfvo type="num" val="0" gte="0"/>
      </iconSet>
    </cfRule>
  </conditionalFormatting>
  <conditionalFormatting sqref="F566">
    <cfRule type="iconSet" priority="93">
      <iconSet iconSet="3Arrows">
        <cfvo type="percent" val="0"/>
        <cfvo type="num" val="0"/>
        <cfvo type="num" val="0" gte="0"/>
      </iconSet>
    </cfRule>
  </conditionalFormatting>
  <conditionalFormatting sqref="F569">
    <cfRule type="iconSet" priority="92">
      <iconSet iconSet="3Arrows">
        <cfvo type="percent" val="0"/>
        <cfvo type="num" val="0"/>
        <cfvo type="num" val="0" gte="0"/>
      </iconSet>
    </cfRule>
  </conditionalFormatting>
  <conditionalFormatting sqref="F570">
    <cfRule type="iconSet" priority="91">
      <iconSet iconSet="3Arrows">
        <cfvo type="percent" val="0"/>
        <cfvo type="num" val="0"/>
        <cfvo type="num" val="0" gte="0"/>
      </iconSet>
    </cfRule>
  </conditionalFormatting>
  <conditionalFormatting sqref="F571">
    <cfRule type="iconSet" priority="90">
      <iconSet iconSet="3Arrows">
        <cfvo type="percent" val="0"/>
        <cfvo type="num" val="0"/>
        <cfvo type="num" val="0" gte="0"/>
      </iconSet>
    </cfRule>
  </conditionalFormatting>
  <conditionalFormatting sqref="F572">
    <cfRule type="iconSet" priority="89">
      <iconSet iconSet="3Arrows">
        <cfvo type="percent" val="0"/>
        <cfvo type="num" val="0"/>
        <cfvo type="num" val="0" gte="0"/>
      </iconSet>
    </cfRule>
  </conditionalFormatting>
  <conditionalFormatting sqref="F573">
    <cfRule type="iconSet" priority="88">
      <iconSet iconSet="3Arrows">
        <cfvo type="percent" val="0"/>
        <cfvo type="num" val="0"/>
        <cfvo type="num" val="0" gte="0"/>
      </iconSet>
    </cfRule>
  </conditionalFormatting>
  <conditionalFormatting sqref="F574">
    <cfRule type="iconSet" priority="87">
      <iconSet iconSet="3Arrows">
        <cfvo type="percent" val="0"/>
        <cfvo type="num" val="0"/>
        <cfvo type="num" val="0" gte="0"/>
      </iconSet>
    </cfRule>
  </conditionalFormatting>
  <conditionalFormatting sqref="F575">
    <cfRule type="iconSet" priority="86">
      <iconSet iconSet="3Arrows">
        <cfvo type="percent" val="0"/>
        <cfvo type="num" val="0"/>
        <cfvo type="num" val="0" gte="0"/>
      </iconSet>
    </cfRule>
  </conditionalFormatting>
  <conditionalFormatting sqref="F576">
    <cfRule type="iconSet" priority="85">
      <iconSet iconSet="3Arrows">
        <cfvo type="percent" val="0"/>
        <cfvo type="num" val="0"/>
        <cfvo type="num" val="0" gte="0"/>
      </iconSet>
    </cfRule>
  </conditionalFormatting>
  <conditionalFormatting sqref="F577">
    <cfRule type="iconSet" priority="84">
      <iconSet iconSet="3Arrows">
        <cfvo type="percent" val="0"/>
        <cfvo type="num" val="0"/>
        <cfvo type="num" val="0" gte="0"/>
      </iconSet>
    </cfRule>
  </conditionalFormatting>
  <conditionalFormatting sqref="F578">
    <cfRule type="iconSet" priority="83">
      <iconSet iconSet="3Arrows">
        <cfvo type="percent" val="0"/>
        <cfvo type="num" val="0"/>
        <cfvo type="num" val="0" gte="0"/>
      </iconSet>
    </cfRule>
  </conditionalFormatting>
  <conditionalFormatting sqref="F579">
    <cfRule type="iconSet" priority="82">
      <iconSet iconSet="3Arrows">
        <cfvo type="percent" val="0"/>
        <cfvo type="num" val="0"/>
        <cfvo type="num" val="0" gte="0"/>
      </iconSet>
    </cfRule>
  </conditionalFormatting>
  <conditionalFormatting sqref="F580">
    <cfRule type="iconSet" priority="81">
      <iconSet iconSet="3Arrows">
        <cfvo type="percent" val="0"/>
        <cfvo type="num" val="0"/>
        <cfvo type="num" val="0" gte="0"/>
      </iconSet>
    </cfRule>
  </conditionalFormatting>
  <conditionalFormatting sqref="F581">
    <cfRule type="iconSet" priority="80">
      <iconSet iconSet="3Arrows">
        <cfvo type="percent" val="0"/>
        <cfvo type="num" val="0"/>
        <cfvo type="num" val="0" gte="0"/>
      </iconSet>
    </cfRule>
  </conditionalFormatting>
  <conditionalFormatting sqref="F582">
    <cfRule type="iconSet" priority="79">
      <iconSet iconSet="3Arrows">
        <cfvo type="percent" val="0"/>
        <cfvo type="num" val="0"/>
        <cfvo type="num" val="0" gte="0"/>
      </iconSet>
    </cfRule>
  </conditionalFormatting>
  <conditionalFormatting sqref="F583">
    <cfRule type="iconSet" priority="78">
      <iconSet iconSet="3Arrows">
        <cfvo type="percent" val="0"/>
        <cfvo type="num" val="0"/>
        <cfvo type="num" val="0" gte="0"/>
      </iconSet>
    </cfRule>
  </conditionalFormatting>
  <conditionalFormatting sqref="F584">
    <cfRule type="iconSet" priority="77">
      <iconSet iconSet="3Arrows">
        <cfvo type="percent" val="0"/>
        <cfvo type="num" val="0"/>
        <cfvo type="num" val="0" gte="0"/>
      </iconSet>
    </cfRule>
  </conditionalFormatting>
  <conditionalFormatting sqref="F585">
    <cfRule type="iconSet" priority="76">
      <iconSet iconSet="3Arrows">
        <cfvo type="percent" val="0"/>
        <cfvo type="num" val="0"/>
        <cfvo type="num" val="0" gte="0"/>
      </iconSet>
    </cfRule>
  </conditionalFormatting>
  <conditionalFormatting sqref="F586">
    <cfRule type="iconSet" priority="75">
      <iconSet iconSet="3Arrows">
        <cfvo type="percent" val="0"/>
        <cfvo type="num" val="0"/>
        <cfvo type="num" val="0" gte="0"/>
      </iconSet>
    </cfRule>
  </conditionalFormatting>
  <conditionalFormatting sqref="F587">
    <cfRule type="iconSet" priority="74">
      <iconSet iconSet="3Arrows">
        <cfvo type="percent" val="0"/>
        <cfvo type="num" val="0"/>
        <cfvo type="num" val="0" gte="0"/>
      </iconSet>
    </cfRule>
  </conditionalFormatting>
  <conditionalFormatting sqref="F588">
    <cfRule type="iconSet" priority="73">
      <iconSet iconSet="3Arrows">
        <cfvo type="percent" val="0"/>
        <cfvo type="num" val="0"/>
        <cfvo type="num" val="0" gte="0"/>
      </iconSet>
    </cfRule>
  </conditionalFormatting>
  <conditionalFormatting sqref="F589">
    <cfRule type="iconSet" priority="72">
      <iconSet iconSet="3Arrows">
        <cfvo type="percent" val="0"/>
        <cfvo type="num" val="0"/>
        <cfvo type="num" val="0" gte="0"/>
      </iconSet>
    </cfRule>
  </conditionalFormatting>
  <conditionalFormatting sqref="F590">
    <cfRule type="iconSet" priority="71">
      <iconSet iconSet="3Arrows">
        <cfvo type="percent" val="0"/>
        <cfvo type="num" val="0"/>
        <cfvo type="num" val="0" gte="0"/>
      </iconSet>
    </cfRule>
  </conditionalFormatting>
  <conditionalFormatting sqref="F591">
    <cfRule type="iconSet" priority="70">
      <iconSet iconSet="3Arrows">
        <cfvo type="percent" val="0"/>
        <cfvo type="num" val="0"/>
        <cfvo type="num" val="0" gte="0"/>
      </iconSet>
    </cfRule>
  </conditionalFormatting>
  <conditionalFormatting sqref="F592">
    <cfRule type="iconSet" priority="69">
      <iconSet iconSet="3Arrows">
        <cfvo type="percent" val="0"/>
        <cfvo type="num" val="0"/>
        <cfvo type="num" val="0" gte="0"/>
      </iconSet>
    </cfRule>
  </conditionalFormatting>
  <conditionalFormatting sqref="F593">
    <cfRule type="iconSet" priority="68">
      <iconSet iconSet="3Arrows">
        <cfvo type="percent" val="0"/>
        <cfvo type="num" val="0"/>
        <cfvo type="num" val="0" gte="0"/>
      </iconSet>
    </cfRule>
  </conditionalFormatting>
  <conditionalFormatting sqref="F594">
    <cfRule type="iconSet" priority="67">
      <iconSet iconSet="3Arrows">
        <cfvo type="percent" val="0"/>
        <cfvo type="num" val="0"/>
        <cfvo type="num" val="0" gte="0"/>
      </iconSet>
    </cfRule>
  </conditionalFormatting>
  <conditionalFormatting sqref="F595">
    <cfRule type="iconSet" priority="66">
      <iconSet iconSet="3Arrows">
        <cfvo type="percent" val="0"/>
        <cfvo type="num" val="0"/>
        <cfvo type="num" val="0" gte="0"/>
      </iconSet>
    </cfRule>
  </conditionalFormatting>
  <conditionalFormatting sqref="F596">
    <cfRule type="iconSet" priority="65">
      <iconSet iconSet="3Arrows">
        <cfvo type="percent" val="0"/>
        <cfvo type="num" val="0"/>
        <cfvo type="num" val="0" gte="0"/>
      </iconSet>
    </cfRule>
  </conditionalFormatting>
  <conditionalFormatting sqref="F597">
    <cfRule type="iconSet" priority="64">
      <iconSet iconSet="3Arrows">
        <cfvo type="percent" val="0"/>
        <cfvo type="num" val="0"/>
        <cfvo type="num" val="0" gte="0"/>
      </iconSet>
    </cfRule>
  </conditionalFormatting>
  <conditionalFormatting sqref="F598">
    <cfRule type="iconSet" priority="63">
      <iconSet iconSet="3Arrows">
        <cfvo type="percent" val="0"/>
        <cfvo type="num" val="0"/>
        <cfvo type="num" val="0" gte="0"/>
      </iconSet>
    </cfRule>
  </conditionalFormatting>
  <conditionalFormatting sqref="F599">
    <cfRule type="iconSet" priority="62">
      <iconSet iconSet="3Arrows">
        <cfvo type="percent" val="0"/>
        <cfvo type="num" val="0"/>
        <cfvo type="num" val="0" gte="0"/>
      </iconSet>
    </cfRule>
  </conditionalFormatting>
  <conditionalFormatting sqref="F600">
    <cfRule type="iconSet" priority="61">
      <iconSet iconSet="3Arrows">
        <cfvo type="percent" val="0"/>
        <cfvo type="num" val="0"/>
        <cfvo type="num" val="0" gte="0"/>
      </iconSet>
    </cfRule>
  </conditionalFormatting>
  <conditionalFormatting sqref="F601">
    <cfRule type="iconSet" priority="60">
      <iconSet iconSet="3Arrows">
        <cfvo type="percent" val="0"/>
        <cfvo type="num" val="0"/>
        <cfvo type="num" val="0" gte="0"/>
      </iconSet>
    </cfRule>
  </conditionalFormatting>
  <conditionalFormatting sqref="F602">
    <cfRule type="iconSet" priority="59">
      <iconSet iconSet="3Arrows">
        <cfvo type="percent" val="0"/>
        <cfvo type="num" val="0"/>
        <cfvo type="num" val="0" gte="0"/>
      </iconSet>
    </cfRule>
  </conditionalFormatting>
  <conditionalFormatting sqref="F603">
    <cfRule type="iconSet" priority="58">
      <iconSet iconSet="3Arrows">
        <cfvo type="percent" val="0"/>
        <cfvo type="num" val="0"/>
        <cfvo type="num" val="0" gte="0"/>
      </iconSet>
    </cfRule>
  </conditionalFormatting>
  <conditionalFormatting sqref="F604">
    <cfRule type="iconSet" priority="57">
      <iconSet iconSet="3Arrows">
        <cfvo type="percent" val="0"/>
        <cfvo type="num" val="0"/>
        <cfvo type="num" val="0" gte="0"/>
      </iconSet>
    </cfRule>
  </conditionalFormatting>
  <conditionalFormatting sqref="F605">
    <cfRule type="iconSet" priority="56">
      <iconSet iconSet="3Arrows">
        <cfvo type="percent" val="0"/>
        <cfvo type="num" val="0"/>
        <cfvo type="num" val="0" gte="0"/>
      </iconSet>
    </cfRule>
  </conditionalFormatting>
  <conditionalFormatting sqref="F606">
    <cfRule type="iconSet" priority="55">
      <iconSet iconSet="3Arrows">
        <cfvo type="percent" val="0"/>
        <cfvo type="num" val="0"/>
        <cfvo type="num" val="0" gte="0"/>
      </iconSet>
    </cfRule>
  </conditionalFormatting>
  <conditionalFormatting sqref="F607">
    <cfRule type="iconSet" priority="54">
      <iconSet iconSet="3Arrows">
        <cfvo type="percent" val="0"/>
        <cfvo type="num" val="0"/>
        <cfvo type="num" val="0" gte="0"/>
      </iconSet>
    </cfRule>
  </conditionalFormatting>
  <conditionalFormatting sqref="F608">
    <cfRule type="iconSet" priority="53">
      <iconSet iconSet="3Arrows">
        <cfvo type="percent" val="0"/>
        <cfvo type="num" val="0"/>
        <cfvo type="num" val="0" gte="0"/>
      </iconSet>
    </cfRule>
  </conditionalFormatting>
  <conditionalFormatting sqref="F609">
    <cfRule type="iconSet" priority="52">
      <iconSet iconSet="3Arrows">
        <cfvo type="percent" val="0"/>
        <cfvo type="num" val="0"/>
        <cfvo type="num" val="0" gte="0"/>
      </iconSet>
    </cfRule>
  </conditionalFormatting>
  <conditionalFormatting sqref="F610">
    <cfRule type="iconSet" priority="51">
      <iconSet iconSet="3Arrows">
        <cfvo type="percent" val="0"/>
        <cfvo type="num" val="0"/>
        <cfvo type="num" val="0" gte="0"/>
      </iconSet>
    </cfRule>
  </conditionalFormatting>
  <conditionalFormatting sqref="F611">
    <cfRule type="iconSet" priority="50">
      <iconSet iconSet="3Arrows">
        <cfvo type="percent" val="0"/>
        <cfvo type="num" val="0"/>
        <cfvo type="num" val="0" gte="0"/>
      </iconSet>
    </cfRule>
  </conditionalFormatting>
  <conditionalFormatting sqref="F2:F364">
    <cfRule type="iconSet" priority="49">
      <iconSet iconSet="3Arrows">
        <cfvo type="percent" val="0"/>
        <cfvo type="num" val="0"/>
        <cfvo type="num" val="0" gte="0"/>
      </iconSet>
    </cfRule>
  </conditionalFormatting>
  <conditionalFormatting sqref="F365:F440">
    <cfRule type="iconSet" priority="261">
      <iconSet iconSet="3Arrows">
        <cfvo type="percent" val="0"/>
        <cfvo type="num" val="0"/>
        <cfvo type="num" val="0" gte="0"/>
      </iconSet>
    </cfRule>
  </conditionalFormatting>
  <conditionalFormatting sqref="F612 F619:F621 F624:F626 F629 F642:F649 F675:F700">
    <cfRule type="iconSet" priority="48">
      <iconSet iconSet="3Arrows">
        <cfvo type="percent" val="0"/>
        <cfvo type="num" val="0"/>
        <cfvo type="num" val="0" gte="0"/>
      </iconSet>
    </cfRule>
  </conditionalFormatting>
  <conditionalFormatting sqref="F613">
    <cfRule type="iconSet" priority="47">
      <iconSet iconSet="3Arrows">
        <cfvo type="percent" val="0"/>
        <cfvo type="num" val="0"/>
        <cfvo type="num" val="0" gte="0"/>
      </iconSet>
    </cfRule>
  </conditionalFormatting>
  <conditionalFormatting sqref="F614">
    <cfRule type="iconSet" priority="46">
      <iconSet iconSet="3Arrows">
        <cfvo type="percent" val="0"/>
        <cfvo type="num" val="0"/>
        <cfvo type="num" val="0" gte="0"/>
      </iconSet>
    </cfRule>
  </conditionalFormatting>
  <conditionalFormatting sqref="F615">
    <cfRule type="iconSet" priority="45">
      <iconSet iconSet="3Arrows">
        <cfvo type="percent" val="0"/>
        <cfvo type="num" val="0"/>
        <cfvo type="num" val="0" gte="0"/>
      </iconSet>
    </cfRule>
  </conditionalFormatting>
  <conditionalFormatting sqref="F616">
    <cfRule type="iconSet" priority="44">
      <iconSet iconSet="3Arrows">
        <cfvo type="percent" val="0"/>
        <cfvo type="num" val="0"/>
        <cfvo type="num" val="0" gte="0"/>
      </iconSet>
    </cfRule>
  </conditionalFormatting>
  <conditionalFormatting sqref="F617">
    <cfRule type="iconSet" priority="43">
      <iconSet iconSet="3Arrows">
        <cfvo type="percent" val="0"/>
        <cfvo type="num" val="0"/>
        <cfvo type="num" val="0" gte="0"/>
      </iconSet>
    </cfRule>
  </conditionalFormatting>
  <conditionalFormatting sqref="F618">
    <cfRule type="iconSet" priority="42">
      <iconSet iconSet="3Arrows">
        <cfvo type="percent" val="0"/>
        <cfvo type="num" val="0"/>
        <cfvo type="num" val="0" gte="0"/>
      </iconSet>
    </cfRule>
  </conditionalFormatting>
  <conditionalFormatting sqref="F622">
    <cfRule type="iconSet" priority="41">
      <iconSet iconSet="3Arrows">
        <cfvo type="percent" val="0"/>
        <cfvo type="num" val="0"/>
        <cfvo type="num" val="0" gte="0"/>
      </iconSet>
    </cfRule>
  </conditionalFormatting>
  <conditionalFormatting sqref="F623">
    <cfRule type="iconSet" priority="40">
      <iconSet iconSet="3Arrows">
        <cfvo type="percent" val="0"/>
        <cfvo type="num" val="0"/>
        <cfvo type="num" val="0" gte="0"/>
      </iconSet>
    </cfRule>
  </conditionalFormatting>
  <conditionalFormatting sqref="F627">
    <cfRule type="iconSet" priority="39">
      <iconSet iconSet="3Arrows">
        <cfvo type="percent" val="0"/>
        <cfvo type="num" val="0"/>
        <cfvo type="num" val="0" gte="0"/>
      </iconSet>
    </cfRule>
  </conditionalFormatting>
  <conditionalFormatting sqref="F628">
    <cfRule type="iconSet" priority="38">
      <iconSet iconSet="3Arrows">
        <cfvo type="percent" val="0"/>
        <cfvo type="num" val="0"/>
        <cfvo type="num" val="0" gte="0"/>
      </iconSet>
    </cfRule>
  </conditionalFormatting>
  <conditionalFormatting sqref="F630">
    <cfRule type="iconSet" priority="37">
      <iconSet iconSet="3Arrows">
        <cfvo type="percent" val="0"/>
        <cfvo type="num" val="0"/>
        <cfvo type="num" val="0" gte="0"/>
      </iconSet>
    </cfRule>
  </conditionalFormatting>
  <conditionalFormatting sqref="F631">
    <cfRule type="iconSet" priority="36">
      <iconSet iconSet="3Arrows">
        <cfvo type="percent" val="0"/>
        <cfvo type="num" val="0"/>
        <cfvo type="num" val="0" gte="0"/>
      </iconSet>
    </cfRule>
  </conditionalFormatting>
  <conditionalFormatting sqref="F632">
    <cfRule type="iconSet" priority="35">
      <iconSet iconSet="3Arrows">
        <cfvo type="percent" val="0"/>
        <cfvo type="num" val="0"/>
        <cfvo type="num" val="0" gte="0"/>
      </iconSet>
    </cfRule>
  </conditionalFormatting>
  <conditionalFormatting sqref="F633">
    <cfRule type="iconSet" priority="34">
      <iconSet iconSet="3Arrows">
        <cfvo type="percent" val="0"/>
        <cfvo type="num" val="0"/>
        <cfvo type="num" val="0" gte="0"/>
      </iconSet>
    </cfRule>
  </conditionalFormatting>
  <conditionalFormatting sqref="F634">
    <cfRule type="iconSet" priority="33">
      <iconSet iconSet="3Arrows">
        <cfvo type="percent" val="0"/>
        <cfvo type="num" val="0"/>
        <cfvo type="num" val="0" gte="0"/>
      </iconSet>
    </cfRule>
  </conditionalFormatting>
  <conditionalFormatting sqref="F635">
    <cfRule type="iconSet" priority="32">
      <iconSet iconSet="3Arrows">
        <cfvo type="percent" val="0"/>
        <cfvo type="num" val="0"/>
        <cfvo type="num" val="0" gte="0"/>
      </iconSet>
    </cfRule>
  </conditionalFormatting>
  <conditionalFormatting sqref="F636">
    <cfRule type="iconSet" priority="31">
      <iconSet iconSet="3Arrows">
        <cfvo type="percent" val="0"/>
        <cfvo type="num" val="0"/>
        <cfvo type="num" val="0" gte="0"/>
      </iconSet>
    </cfRule>
  </conditionalFormatting>
  <conditionalFormatting sqref="F637">
    <cfRule type="iconSet" priority="30">
      <iconSet iconSet="3Arrows">
        <cfvo type="percent" val="0"/>
        <cfvo type="num" val="0"/>
        <cfvo type="num" val="0" gte="0"/>
      </iconSet>
    </cfRule>
  </conditionalFormatting>
  <conditionalFormatting sqref="F638">
    <cfRule type="iconSet" priority="29">
      <iconSet iconSet="3Arrows">
        <cfvo type="percent" val="0"/>
        <cfvo type="num" val="0"/>
        <cfvo type="num" val="0" gte="0"/>
      </iconSet>
    </cfRule>
  </conditionalFormatting>
  <conditionalFormatting sqref="F639">
    <cfRule type="iconSet" priority="28">
      <iconSet iconSet="3Arrows">
        <cfvo type="percent" val="0"/>
        <cfvo type="num" val="0"/>
        <cfvo type="num" val="0" gte="0"/>
      </iconSet>
    </cfRule>
  </conditionalFormatting>
  <conditionalFormatting sqref="F640">
    <cfRule type="iconSet" priority="27">
      <iconSet iconSet="3Arrows">
        <cfvo type="percent" val="0"/>
        <cfvo type="num" val="0"/>
        <cfvo type="num" val="0" gte="0"/>
      </iconSet>
    </cfRule>
  </conditionalFormatting>
  <conditionalFormatting sqref="F641">
    <cfRule type="iconSet" priority="26">
      <iconSet iconSet="3Arrows">
        <cfvo type="percent" val="0"/>
        <cfvo type="num" val="0"/>
        <cfvo type="num" val="0" gte="0"/>
      </iconSet>
    </cfRule>
  </conditionalFormatting>
  <conditionalFormatting sqref="F650">
    <cfRule type="iconSet" priority="25">
      <iconSet iconSet="3Arrows">
        <cfvo type="percent" val="0"/>
        <cfvo type="num" val="0"/>
        <cfvo type="num" val="0" gte="0"/>
      </iconSet>
    </cfRule>
  </conditionalFormatting>
  <conditionalFormatting sqref="F651">
    <cfRule type="iconSet" priority="24">
      <iconSet iconSet="3Arrows">
        <cfvo type="percent" val="0"/>
        <cfvo type="num" val="0"/>
        <cfvo type="num" val="0" gte="0"/>
      </iconSet>
    </cfRule>
  </conditionalFormatting>
  <conditionalFormatting sqref="F652">
    <cfRule type="iconSet" priority="23">
      <iconSet iconSet="3Arrows">
        <cfvo type="percent" val="0"/>
        <cfvo type="num" val="0"/>
        <cfvo type="num" val="0" gte="0"/>
      </iconSet>
    </cfRule>
  </conditionalFormatting>
  <conditionalFormatting sqref="F653">
    <cfRule type="iconSet" priority="22">
      <iconSet iconSet="3Arrows">
        <cfvo type="percent" val="0"/>
        <cfvo type="num" val="0"/>
        <cfvo type="num" val="0" gte="0"/>
      </iconSet>
    </cfRule>
  </conditionalFormatting>
  <conditionalFormatting sqref="F654">
    <cfRule type="iconSet" priority="21">
      <iconSet iconSet="3Arrows">
        <cfvo type="percent" val="0"/>
        <cfvo type="num" val="0"/>
        <cfvo type="num" val="0" gte="0"/>
      </iconSet>
    </cfRule>
  </conditionalFormatting>
  <conditionalFormatting sqref="F655">
    <cfRule type="iconSet" priority="20">
      <iconSet iconSet="3Arrows">
        <cfvo type="percent" val="0"/>
        <cfvo type="num" val="0"/>
        <cfvo type="num" val="0" gte="0"/>
      </iconSet>
    </cfRule>
  </conditionalFormatting>
  <conditionalFormatting sqref="F656">
    <cfRule type="iconSet" priority="19">
      <iconSet iconSet="3Arrows">
        <cfvo type="percent" val="0"/>
        <cfvo type="num" val="0"/>
        <cfvo type="num" val="0" gte="0"/>
      </iconSet>
    </cfRule>
  </conditionalFormatting>
  <conditionalFormatting sqref="F657">
    <cfRule type="iconSet" priority="18">
      <iconSet iconSet="3Arrows">
        <cfvo type="percent" val="0"/>
        <cfvo type="num" val="0"/>
        <cfvo type="num" val="0" gte="0"/>
      </iconSet>
    </cfRule>
  </conditionalFormatting>
  <conditionalFormatting sqref="F658">
    <cfRule type="iconSet" priority="17">
      <iconSet iconSet="3Arrows">
        <cfvo type="percent" val="0"/>
        <cfvo type="num" val="0"/>
        <cfvo type="num" val="0" gte="0"/>
      </iconSet>
    </cfRule>
  </conditionalFormatting>
  <conditionalFormatting sqref="F659">
    <cfRule type="iconSet" priority="16">
      <iconSet iconSet="3Arrows">
        <cfvo type="percent" val="0"/>
        <cfvo type="num" val="0"/>
        <cfvo type="num" val="0" gte="0"/>
      </iconSet>
    </cfRule>
  </conditionalFormatting>
  <conditionalFormatting sqref="F660">
    <cfRule type="iconSet" priority="15">
      <iconSet iconSet="3Arrows">
        <cfvo type="percent" val="0"/>
        <cfvo type="num" val="0"/>
        <cfvo type="num" val="0" gte="0"/>
      </iconSet>
    </cfRule>
  </conditionalFormatting>
  <conditionalFormatting sqref="F661">
    <cfRule type="iconSet" priority="14">
      <iconSet iconSet="3Arrows">
        <cfvo type="percent" val="0"/>
        <cfvo type="num" val="0"/>
        <cfvo type="num" val="0" gte="0"/>
      </iconSet>
    </cfRule>
  </conditionalFormatting>
  <conditionalFormatting sqref="F662">
    <cfRule type="iconSet" priority="13">
      <iconSet iconSet="3Arrows">
        <cfvo type="percent" val="0"/>
        <cfvo type="num" val="0"/>
        <cfvo type="num" val="0" gte="0"/>
      </iconSet>
    </cfRule>
  </conditionalFormatting>
  <conditionalFormatting sqref="F663">
    <cfRule type="iconSet" priority="12">
      <iconSet iconSet="3Arrows">
        <cfvo type="percent" val="0"/>
        <cfvo type="num" val="0"/>
        <cfvo type="num" val="0" gte="0"/>
      </iconSet>
    </cfRule>
  </conditionalFormatting>
  <conditionalFormatting sqref="F664">
    <cfRule type="iconSet" priority="11">
      <iconSet iconSet="3Arrows">
        <cfvo type="percent" val="0"/>
        <cfvo type="num" val="0"/>
        <cfvo type="num" val="0" gte="0"/>
      </iconSet>
    </cfRule>
  </conditionalFormatting>
  <conditionalFormatting sqref="F665">
    <cfRule type="iconSet" priority="10">
      <iconSet iconSet="3Arrows">
        <cfvo type="percent" val="0"/>
        <cfvo type="num" val="0"/>
        <cfvo type="num" val="0" gte="0"/>
      </iconSet>
    </cfRule>
  </conditionalFormatting>
  <conditionalFormatting sqref="F666">
    <cfRule type="iconSet" priority="9">
      <iconSet iconSet="3Arrows">
        <cfvo type="percent" val="0"/>
        <cfvo type="num" val="0"/>
        <cfvo type="num" val="0" gte="0"/>
      </iconSet>
    </cfRule>
  </conditionalFormatting>
  <conditionalFormatting sqref="F667">
    <cfRule type="iconSet" priority="8">
      <iconSet iconSet="3Arrows">
        <cfvo type="percent" val="0"/>
        <cfvo type="num" val="0"/>
        <cfvo type="num" val="0" gte="0"/>
      </iconSet>
    </cfRule>
  </conditionalFormatting>
  <conditionalFormatting sqref="F668">
    <cfRule type="iconSet" priority="7">
      <iconSet iconSet="3Arrows">
        <cfvo type="percent" val="0"/>
        <cfvo type="num" val="0"/>
        <cfvo type="num" val="0" gte="0"/>
      </iconSet>
    </cfRule>
  </conditionalFormatting>
  <conditionalFormatting sqref="F669">
    <cfRule type="iconSet" priority="6">
      <iconSet iconSet="3Arrows">
        <cfvo type="percent" val="0"/>
        <cfvo type="num" val="0"/>
        <cfvo type="num" val="0" gte="0"/>
      </iconSet>
    </cfRule>
  </conditionalFormatting>
  <conditionalFormatting sqref="F670">
    <cfRule type="iconSet" priority="5">
      <iconSet iconSet="3Arrows">
        <cfvo type="percent" val="0"/>
        <cfvo type="num" val="0"/>
        <cfvo type="num" val="0" gte="0"/>
      </iconSet>
    </cfRule>
  </conditionalFormatting>
  <conditionalFormatting sqref="F671">
    <cfRule type="iconSet" priority="4">
      <iconSet iconSet="3Arrows">
        <cfvo type="percent" val="0"/>
        <cfvo type="num" val="0"/>
        <cfvo type="num" val="0" gte="0"/>
      </iconSet>
    </cfRule>
  </conditionalFormatting>
  <conditionalFormatting sqref="F672">
    <cfRule type="iconSet" priority="3">
      <iconSet iconSet="3Arrows">
        <cfvo type="percent" val="0"/>
        <cfvo type="num" val="0"/>
        <cfvo type="num" val="0" gte="0"/>
      </iconSet>
    </cfRule>
  </conditionalFormatting>
  <conditionalFormatting sqref="F673">
    <cfRule type="iconSet" priority="2">
      <iconSet iconSet="3Arrows">
        <cfvo type="percent" val="0"/>
        <cfvo type="num" val="0"/>
        <cfvo type="num" val="0" gte="0"/>
      </iconSet>
    </cfRule>
  </conditionalFormatting>
  <conditionalFormatting sqref="F674">
    <cfRule type="iconSet" priority="1">
      <iconSet iconSet="3Arrows">
        <cfvo type="percent" val="0"/>
        <cfvo type="num" val="0"/>
        <cfvo type="num" val="0" gte="0"/>
      </iconSet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080807-DD70-4D02-A846-4F4E3002E34A}">
  <sheetPr codeName="Sheet7">
    <tabColor rgb="FF00B050"/>
  </sheetPr>
  <dimension ref="B2:V313"/>
  <sheetViews>
    <sheetView showGridLines="0" zoomScale="90" zoomScaleNormal="90" workbookViewId="0">
      <pane xSplit="2" ySplit="5" topLeftCell="J6" activePane="bottomRight" state="frozen"/>
      <selection activeCell="J37" sqref="J37"/>
      <selection pane="topRight" activeCell="J37" sqref="J37"/>
      <selection pane="bottomLeft" activeCell="J37" sqref="J37"/>
      <selection pane="bottomRight" activeCell="L10" sqref="L10"/>
    </sheetView>
  </sheetViews>
  <sheetFormatPr defaultColWidth="8.59765625" defaultRowHeight="15.6" x14ac:dyDescent="0.4"/>
  <cols>
    <col min="1" max="1" width="3" style="5" customWidth="1"/>
    <col min="2" max="2" width="10.09765625" style="5" customWidth="1"/>
    <col min="3" max="3" width="8.69921875" style="5" bestFit="1" customWidth="1"/>
    <col min="4" max="4" width="8.59765625" style="5" customWidth="1"/>
    <col min="5" max="7" width="8.69921875" style="5" bestFit="1" customWidth="1"/>
    <col min="8" max="8" width="11.19921875" style="5" bestFit="1" customWidth="1"/>
    <col min="9" max="9" width="13.09765625" style="5" bestFit="1" customWidth="1"/>
    <col min="10" max="10" width="12.59765625" style="5" bestFit="1" customWidth="1"/>
    <col min="11" max="13" width="18.796875" style="5" bestFit="1" customWidth="1"/>
    <col min="14" max="15" width="8.59765625" style="5"/>
    <col min="16" max="16" width="9.09765625" style="5" bestFit="1" customWidth="1"/>
    <col min="17" max="17" width="28.59765625" style="5" customWidth="1"/>
    <col min="18" max="18" width="5.19921875" style="5" customWidth="1"/>
    <col min="19" max="19" width="8.59765625" style="5"/>
    <col min="20" max="20" width="11.19921875" style="5" bestFit="1" customWidth="1"/>
    <col min="21" max="21" width="8.59765625" style="5"/>
    <col min="22" max="23" width="11.19921875" style="5" bestFit="1" customWidth="1"/>
    <col min="24" max="24" width="13.09765625" style="5" bestFit="1" customWidth="1"/>
    <col min="25" max="16384" width="8.59765625" style="5"/>
  </cols>
  <sheetData>
    <row r="2" spans="2:22" ht="24" customHeight="1" x14ac:dyDescent="0.4">
      <c r="B2" s="59" t="s">
        <v>136</v>
      </c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</row>
    <row r="3" spans="2:22" ht="9" customHeight="1" x14ac:dyDescent="0.4"/>
    <row r="4" spans="2:22" x14ac:dyDescent="0.4">
      <c r="B4" s="29" t="s">
        <v>19</v>
      </c>
      <c r="C4" s="29" t="s">
        <v>5</v>
      </c>
      <c r="D4" s="29"/>
      <c r="E4" s="29"/>
      <c r="F4" s="29"/>
      <c r="G4" s="29"/>
      <c r="H4" s="29" t="s">
        <v>6</v>
      </c>
      <c r="I4" s="29"/>
      <c r="J4" s="29"/>
      <c r="K4" s="29" t="s">
        <v>21</v>
      </c>
      <c r="L4" s="29"/>
      <c r="M4" s="29"/>
      <c r="N4" s="29" t="s">
        <v>137</v>
      </c>
      <c r="O4" s="29"/>
      <c r="P4" s="29"/>
      <c r="Q4" s="60" t="s">
        <v>138</v>
      </c>
    </row>
    <row r="5" spans="2:22" ht="15.6" customHeight="1" x14ac:dyDescent="0.4">
      <c r="B5" s="29"/>
      <c r="C5" s="31" t="s">
        <v>139</v>
      </c>
      <c r="D5" s="32" t="s">
        <v>8</v>
      </c>
      <c r="E5" s="31" t="s">
        <v>9</v>
      </c>
      <c r="F5" s="31" t="s">
        <v>140</v>
      </c>
      <c r="G5" s="31" t="s">
        <v>11</v>
      </c>
      <c r="H5" s="31" t="s">
        <v>12</v>
      </c>
      <c r="I5" s="31" t="s">
        <v>13</v>
      </c>
      <c r="J5" s="31" t="s">
        <v>16</v>
      </c>
      <c r="K5" s="31" t="s">
        <v>15</v>
      </c>
      <c r="L5" s="31" t="s">
        <v>13</v>
      </c>
      <c r="M5" s="31" t="s">
        <v>14</v>
      </c>
      <c r="N5" s="31" t="s">
        <v>15</v>
      </c>
      <c r="O5" s="31" t="s">
        <v>24</v>
      </c>
      <c r="P5" s="31" t="s">
        <v>14</v>
      </c>
      <c r="Q5" s="61"/>
    </row>
    <row r="6" spans="2:22" x14ac:dyDescent="0.4">
      <c r="B6" s="62">
        <v>42100</v>
      </c>
      <c r="C6" s="63">
        <v>9600</v>
      </c>
      <c r="D6" s="63">
        <v>10100</v>
      </c>
      <c r="E6" s="63">
        <v>9600</v>
      </c>
      <c r="F6" s="63">
        <v>10100</v>
      </c>
      <c r="G6" s="64">
        <v>5.21</v>
      </c>
      <c r="H6" s="13">
        <f>J6-I6</f>
        <v>1500</v>
      </c>
      <c r="I6" s="63">
        <v>0</v>
      </c>
      <c r="J6" s="63">
        <v>1500</v>
      </c>
      <c r="K6" s="14">
        <f>M6-L6</f>
        <v>14900000</v>
      </c>
      <c r="L6" s="63">
        <v>0</v>
      </c>
      <c r="M6" s="63">
        <v>14900000</v>
      </c>
      <c r="N6" s="14">
        <f>IFERROR(K6/H6,0)</f>
        <v>9933.3333333333339</v>
      </c>
      <c r="O6" s="14">
        <f>IFERROR(L6/I6,0)</f>
        <v>0</v>
      </c>
      <c r="P6" s="4">
        <f>IFERROR(M6/J6,0)</f>
        <v>9933.3333333333339</v>
      </c>
      <c r="Q6" s="52"/>
    </row>
    <row r="7" spans="2:22" x14ac:dyDescent="0.2">
      <c r="B7" s="62">
        <v>42101</v>
      </c>
      <c r="C7" s="63">
        <v>10200</v>
      </c>
      <c r="D7" s="63">
        <v>10200</v>
      </c>
      <c r="E7" s="63">
        <v>10200</v>
      </c>
      <c r="F7" s="63">
        <v>10200</v>
      </c>
      <c r="G7" s="64">
        <v>0.99</v>
      </c>
      <c r="H7" s="13">
        <f t="shared" ref="H7:H70" si="0">J7-I7</f>
        <v>1658</v>
      </c>
      <c r="I7" s="63">
        <v>0</v>
      </c>
      <c r="J7" s="63">
        <v>1658</v>
      </c>
      <c r="K7" s="14">
        <f t="shared" ref="K7:K70" si="1">M7-L7</f>
        <v>16911600</v>
      </c>
      <c r="L7" s="63">
        <v>0</v>
      </c>
      <c r="M7" s="63">
        <v>16911600</v>
      </c>
      <c r="N7" s="14">
        <f t="shared" ref="N7:P70" si="2">IFERROR(K7/H7,0)</f>
        <v>10200</v>
      </c>
      <c r="O7" s="14">
        <f t="shared" si="2"/>
        <v>0</v>
      </c>
      <c r="P7" s="4">
        <f t="shared" si="2"/>
        <v>10200</v>
      </c>
      <c r="Q7" s="52"/>
      <c r="S7" s="65" t="s">
        <v>141</v>
      </c>
      <c r="U7" s="66"/>
    </row>
    <row r="8" spans="2:22" x14ac:dyDescent="0.4">
      <c r="B8" s="62">
        <v>42102</v>
      </c>
      <c r="C8" s="63">
        <v>10300</v>
      </c>
      <c r="D8" s="63">
        <v>10300</v>
      </c>
      <c r="E8" s="63">
        <v>10300</v>
      </c>
      <c r="F8" s="63">
        <v>10300</v>
      </c>
      <c r="G8" s="64">
        <v>0.98</v>
      </c>
      <c r="H8" s="13">
        <f t="shared" si="0"/>
        <v>1500</v>
      </c>
      <c r="I8" s="63">
        <v>0</v>
      </c>
      <c r="J8" s="63">
        <v>1500</v>
      </c>
      <c r="K8" s="14">
        <f t="shared" si="1"/>
        <v>15450000</v>
      </c>
      <c r="L8" s="63">
        <v>0</v>
      </c>
      <c r="M8" s="63">
        <v>15450000</v>
      </c>
      <c r="N8" s="14">
        <f t="shared" si="2"/>
        <v>10300</v>
      </c>
      <c r="O8" s="14">
        <f t="shared" si="2"/>
        <v>0</v>
      </c>
      <c r="P8" s="4">
        <f t="shared" si="2"/>
        <v>10300</v>
      </c>
      <c r="Q8" s="52"/>
      <c r="S8" s="67" t="s">
        <v>142</v>
      </c>
      <c r="T8" s="68" t="s">
        <v>143</v>
      </c>
      <c r="U8" s="68" t="s">
        <v>144</v>
      </c>
      <c r="V8" s="68" t="s">
        <v>145</v>
      </c>
    </row>
    <row r="9" spans="2:22" x14ac:dyDescent="0.4">
      <c r="B9" s="62">
        <v>42103</v>
      </c>
      <c r="C9" s="63">
        <v>10450</v>
      </c>
      <c r="D9" s="63">
        <v>10450</v>
      </c>
      <c r="E9" s="63">
        <v>10450</v>
      </c>
      <c r="F9" s="63">
        <v>10450</v>
      </c>
      <c r="G9" s="64">
        <v>1.46</v>
      </c>
      <c r="H9" s="13">
        <f t="shared" si="0"/>
        <v>0</v>
      </c>
      <c r="I9" s="63">
        <v>0</v>
      </c>
      <c r="J9" s="63">
        <v>0</v>
      </c>
      <c r="K9" s="14">
        <f t="shared" si="1"/>
        <v>0</v>
      </c>
      <c r="L9" s="63">
        <v>0</v>
      </c>
      <c r="M9" s="63">
        <v>0</v>
      </c>
      <c r="N9" s="14">
        <f t="shared" si="2"/>
        <v>0</v>
      </c>
      <c r="O9" s="14">
        <f t="shared" si="2"/>
        <v>0</v>
      </c>
      <c r="P9" s="4">
        <f t="shared" si="2"/>
        <v>0</v>
      </c>
      <c r="Q9" s="52"/>
      <c r="S9" s="69" t="s">
        <v>146</v>
      </c>
      <c r="T9" s="70"/>
      <c r="U9" s="70"/>
      <c r="V9" s="70"/>
    </row>
    <row r="10" spans="2:22" x14ac:dyDescent="0.4">
      <c r="B10" s="62">
        <v>42104</v>
      </c>
      <c r="C10" s="63">
        <v>0</v>
      </c>
      <c r="D10" s="63">
        <v>0</v>
      </c>
      <c r="E10" s="63">
        <v>0</v>
      </c>
      <c r="F10" s="63">
        <v>10450</v>
      </c>
      <c r="G10" s="64">
        <v>0</v>
      </c>
      <c r="H10" s="13">
        <f t="shared" si="0"/>
        <v>0</v>
      </c>
      <c r="I10" s="63">
        <v>75000</v>
      </c>
      <c r="J10" s="63">
        <v>75000</v>
      </c>
      <c r="K10" s="14">
        <f t="shared" si="1"/>
        <v>772500000</v>
      </c>
      <c r="L10" s="63">
        <v>0</v>
      </c>
      <c r="M10" s="63">
        <v>772500000</v>
      </c>
      <c r="N10" s="14">
        <f t="shared" si="2"/>
        <v>0</v>
      </c>
      <c r="O10" s="14">
        <f t="shared" si="2"/>
        <v>0</v>
      </c>
      <c r="P10" s="4">
        <f t="shared" si="2"/>
        <v>10300</v>
      </c>
      <c r="Q10" s="52"/>
      <c r="S10" s="69" t="s">
        <v>147</v>
      </c>
      <c r="T10" s="71"/>
      <c r="U10" s="71"/>
      <c r="V10" s="71"/>
    </row>
    <row r="11" spans="2:22" x14ac:dyDescent="0.4">
      <c r="B11" s="62">
        <v>42107</v>
      </c>
      <c r="C11" s="63">
        <v>10450</v>
      </c>
      <c r="D11" s="63">
        <v>10450</v>
      </c>
      <c r="E11" s="63">
        <v>10450</v>
      </c>
      <c r="F11" s="63">
        <v>10450</v>
      </c>
      <c r="G11" s="64">
        <v>0</v>
      </c>
      <c r="H11" s="13">
        <f t="shared" si="0"/>
        <v>0</v>
      </c>
      <c r="I11" s="63">
        <v>0</v>
      </c>
      <c r="J11" s="63">
        <v>0</v>
      </c>
      <c r="K11" s="14">
        <f t="shared" si="1"/>
        <v>0</v>
      </c>
      <c r="L11" s="63">
        <v>0</v>
      </c>
      <c r="M11" s="63">
        <v>0</v>
      </c>
      <c r="N11" s="14">
        <f t="shared" si="2"/>
        <v>0</v>
      </c>
      <c r="O11" s="14">
        <f t="shared" si="2"/>
        <v>0</v>
      </c>
      <c r="P11" s="4">
        <f t="shared" si="2"/>
        <v>0</v>
      </c>
      <c r="Q11" s="52"/>
      <c r="S11" s="72" t="s">
        <v>148</v>
      </c>
      <c r="T11" s="71"/>
      <c r="U11" s="71"/>
      <c r="V11" s="71"/>
    </row>
    <row r="12" spans="2:22" x14ac:dyDescent="0.4">
      <c r="B12" s="62">
        <v>42108</v>
      </c>
      <c r="C12" s="63">
        <v>10500</v>
      </c>
      <c r="D12" s="63">
        <v>10500</v>
      </c>
      <c r="E12" s="63">
        <v>10500</v>
      </c>
      <c r="F12" s="63">
        <v>10500</v>
      </c>
      <c r="G12" s="64">
        <v>0.48</v>
      </c>
      <c r="H12" s="13">
        <f t="shared" si="0"/>
        <v>0</v>
      </c>
      <c r="I12" s="63">
        <v>0</v>
      </c>
      <c r="J12" s="63">
        <v>0</v>
      </c>
      <c r="K12" s="14">
        <f t="shared" si="1"/>
        <v>0</v>
      </c>
      <c r="L12" s="63">
        <v>0</v>
      </c>
      <c r="M12" s="63">
        <v>0</v>
      </c>
      <c r="N12" s="14">
        <f t="shared" si="2"/>
        <v>0</v>
      </c>
      <c r="O12" s="14">
        <f t="shared" si="2"/>
        <v>0</v>
      </c>
      <c r="P12" s="4">
        <f t="shared" si="2"/>
        <v>0</v>
      </c>
      <c r="Q12" s="52"/>
      <c r="S12" s="72" t="s">
        <v>149</v>
      </c>
      <c r="T12" s="73"/>
      <c r="U12" s="73"/>
      <c r="V12" s="73"/>
    </row>
    <row r="13" spans="2:22" x14ac:dyDescent="0.4">
      <c r="B13" s="74">
        <v>42109</v>
      </c>
      <c r="C13" s="75">
        <v>10500</v>
      </c>
      <c r="D13" s="75">
        <v>10500</v>
      </c>
      <c r="E13" s="75">
        <v>10500</v>
      </c>
      <c r="F13" s="75">
        <v>10500</v>
      </c>
      <c r="G13" s="76">
        <v>0</v>
      </c>
      <c r="H13" s="13">
        <f t="shared" si="0"/>
        <v>0</v>
      </c>
      <c r="I13" s="75">
        <v>0</v>
      </c>
      <c r="J13" s="75">
        <v>0</v>
      </c>
      <c r="K13" s="14">
        <f t="shared" si="1"/>
        <v>0</v>
      </c>
      <c r="L13" s="63">
        <v>0</v>
      </c>
      <c r="M13" s="75">
        <v>0</v>
      </c>
      <c r="N13" s="14">
        <f t="shared" si="2"/>
        <v>0</v>
      </c>
      <c r="O13" s="14">
        <f t="shared" si="2"/>
        <v>0</v>
      </c>
      <c r="P13" s="4">
        <f t="shared" si="2"/>
        <v>0</v>
      </c>
      <c r="Q13" s="52"/>
      <c r="S13" s="77" t="s">
        <v>150</v>
      </c>
      <c r="T13" s="78"/>
      <c r="U13" s="78"/>
      <c r="V13" s="78"/>
    </row>
    <row r="14" spans="2:22" x14ac:dyDescent="0.4">
      <c r="B14" s="74">
        <v>42110</v>
      </c>
      <c r="C14" s="75">
        <v>10500</v>
      </c>
      <c r="D14" s="75">
        <v>10500</v>
      </c>
      <c r="E14" s="75">
        <v>10500</v>
      </c>
      <c r="F14" s="75">
        <v>10500</v>
      </c>
      <c r="G14" s="76">
        <v>0</v>
      </c>
      <c r="H14" s="13">
        <f t="shared" si="0"/>
        <v>0</v>
      </c>
      <c r="I14" s="75">
        <v>0</v>
      </c>
      <c r="J14" s="75">
        <v>0</v>
      </c>
      <c r="K14" s="14">
        <f t="shared" si="1"/>
        <v>0</v>
      </c>
      <c r="L14" s="63">
        <v>0</v>
      </c>
      <c r="M14" s="75">
        <v>0</v>
      </c>
      <c r="N14" s="14">
        <f t="shared" si="2"/>
        <v>0</v>
      </c>
      <c r="O14" s="14">
        <f t="shared" si="2"/>
        <v>0</v>
      </c>
      <c r="P14" s="4">
        <f t="shared" si="2"/>
        <v>0</v>
      </c>
      <c r="Q14" s="52"/>
      <c r="S14" s="69" t="s">
        <v>151</v>
      </c>
      <c r="T14" s="79"/>
      <c r="U14" s="79"/>
      <c r="V14" s="79"/>
    </row>
    <row r="15" spans="2:22" ht="17.399999999999999" x14ac:dyDescent="0.4">
      <c r="B15" s="74">
        <v>42111</v>
      </c>
      <c r="C15" s="75">
        <v>10500</v>
      </c>
      <c r="D15" s="75">
        <v>10500</v>
      </c>
      <c r="E15" s="75">
        <v>10500</v>
      </c>
      <c r="F15" s="75">
        <v>10500</v>
      </c>
      <c r="G15" s="76">
        <v>0</v>
      </c>
      <c r="H15" s="13">
        <f t="shared" si="0"/>
        <v>0</v>
      </c>
      <c r="I15" s="75">
        <v>0</v>
      </c>
      <c r="J15" s="75">
        <v>0</v>
      </c>
      <c r="K15" s="14">
        <f t="shared" si="1"/>
        <v>0</v>
      </c>
      <c r="L15" s="63">
        <v>0</v>
      </c>
      <c r="M15" s="75">
        <v>0</v>
      </c>
      <c r="N15" s="14">
        <f t="shared" si="2"/>
        <v>0</v>
      </c>
      <c r="O15" s="14">
        <f t="shared" si="2"/>
        <v>0</v>
      </c>
      <c r="P15" s="4">
        <f t="shared" si="2"/>
        <v>0</v>
      </c>
      <c r="Q15" s="52"/>
      <c r="S15" s="72" t="s">
        <v>152</v>
      </c>
      <c r="T15" s="73">
        <f>SUM(J6:J311)</f>
        <v>2645852</v>
      </c>
      <c r="U15" s="73"/>
      <c r="V15" s="73"/>
    </row>
    <row r="16" spans="2:22" ht="17.399999999999999" x14ac:dyDescent="0.4">
      <c r="B16" s="74">
        <v>42114</v>
      </c>
      <c r="C16" s="75">
        <v>10550</v>
      </c>
      <c r="D16" s="75">
        <v>10550</v>
      </c>
      <c r="E16" s="75">
        <v>10550</v>
      </c>
      <c r="F16" s="75">
        <v>10550</v>
      </c>
      <c r="G16" s="76">
        <v>0.48</v>
      </c>
      <c r="H16" s="13">
        <f t="shared" si="0"/>
        <v>0</v>
      </c>
      <c r="I16" s="75">
        <v>0</v>
      </c>
      <c r="J16" s="75">
        <v>0</v>
      </c>
      <c r="K16" s="14">
        <f t="shared" si="1"/>
        <v>0</v>
      </c>
      <c r="L16" s="63">
        <v>0</v>
      </c>
      <c r="M16" s="75">
        <v>0</v>
      </c>
      <c r="N16" s="14">
        <f t="shared" si="2"/>
        <v>0</v>
      </c>
      <c r="O16" s="14">
        <f t="shared" si="2"/>
        <v>0</v>
      </c>
      <c r="P16" s="4">
        <f t="shared" si="2"/>
        <v>0</v>
      </c>
      <c r="Q16" s="52"/>
      <c r="S16" s="72" t="s">
        <v>153</v>
      </c>
      <c r="T16" s="73">
        <f>SUM(H6:H311)</f>
        <v>361452</v>
      </c>
      <c r="U16" s="80"/>
      <c r="V16" s="80"/>
    </row>
    <row r="17" spans="2:22" ht="17.399999999999999" x14ac:dyDescent="0.4">
      <c r="B17" s="74">
        <v>42115</v>
      </c>
      <c r="C17" s="75">
        <v>10550</v>
      </c>
      <c r="D17" s="75">
        <v>10550</v>
      </c>
      <c r="E17" s="75">
        <v>10550</v>
      </c>
      <c r="F17" s="75">
        <v>10550</v>
      </c>
      <c r="G17" s="76">
        <v>0</v>
      </c>
      <c r="H17" s="13">
        <f t="shared" si="0"/>
        <v>0</v>
      </c>
      <c r="I17" s="75">
        <v>0</v>
      </c>
      <c r="J17" s="75">
        <v>0</v>
      </c>
      <c r="K17" s="14">
        <f t="shared" si="1"/>
        <v>0</v>
      </c>
      <c r="L17" s="63">
        <v>0</v>
      </c>
      <c r="M17" s="75">
        <v>0</v>
      </c>
      <c r="N17" s="14">
        <f t="shared" si="2"/>
        <v>0</v>
      </c>
      <c r="O17" s="14">
        <f t="shared" si="2"/>
        <v>0</v>
      </c>
      <c r="P17" s="4">
        <f t="shared" si="2"/>
        <v>0</v>
      </c>
      <c r="Q17" s="52"/>
      <c r="S17" s="72" t="s">
        <v>154</v>
      </c>
      <c r="T17" s="73">
        <f>SUM(I6:I311)</f>
        <v>2284400</v>
      </c>
      <c r="U17" s="81"/>
      <c r="V17" s="81"/>
    </row>
    <row r="18" spans="2:22" ht="17.399999999999999" x14ac:dyDescent="0.4">
      <c r="B18" s="74">
        <v>42116</v>
      </c>
      <c r="C18" s="75">
        <v>10550</v>
      </c>
      <c r="D18" s="75">
        <v>10550</v>
      </c>
      <c r="E18" s="75">
        <v>10550</v>
      </c>
      <c r="F18" s="75">
        <v>10550</v>
      </c>
      <c r="G18" s="76">
        <v>0</v>
      </c>
      <c r="H18" s="13">
        <f t="shared" si="0"/>
        <v>0</v>
      </c>
      <c r="I18" s="75">
        <v>0</v>
      </c>
      <c r="J18" s="75">
        <v>0</v>
      </c>
      <c r="K18" s="14">
        <f t="shared" si="1"/>
        <v>0</v>
      </c>
      <c r="L18" s="63">
        <v>0</v>
      </c>
      <c r="M18" s="75">
        <v>0</v>
      </c>
      <c r="N18" s="14">
        <f t="shared" si="2"/>
        <v>0</v>
      </c>
      <c r="O18" s="14">
        <f t="shared" si="2"/>
        <v>0</v>
      </c>
      <c r="P18" s="4">
        <f t="shared" si="2"/>
        <v>0</v>
      </c>
      <c r="Q18" s="52"/>
    </row>
    <row r="19" spans="2:22" ht="17.399999999999999" x14ac:dyDescent="0.4">
      <c r="B19" s="74">
        <v>42117</v>
      </c>
      <c r="C19" s="75">
        <v>10550</v>
      </c>
      <c r="D19" s="75">
        <v>10550</v>
      </c>
      <c r="E19" s="75">
        <v>10550</v>
      </c>
      <c r="F19" s="75">
        <v>10550</v>
      </c>
      <c r="G19" s="76">
        <v>0</v>
      </c>
      <c r="H19" s="13">
        <f t="shared" si="0"/>
        <v>0</v>
      </c>
      <c r="I19" s="75">
        <v>0</v>
      </c>
      <c r="J19" s="75">
        <v>0</v>
      </c>
      <c r="K19" s="14">
        <f t="shared" si="1"/>
        <v>0</v>
      </c>
      <c r="L19" s="63">
        <v>0</v>
      </c>
      <c r="M19" s="75">
        <v>0</v>
      </c>
      <c r="N19" s="14">
        <f t="shared" si="2"/>
        <v>0</v>
      </c>
      <c r="O19" s="14">
        <f t="shared" si="2"/>
        <v>0</v>
      </c>
      <c r="P19" s="4">
        <f t="shared" si="2"/>
        <v>0</v>
      </c>
      <c r="Q19" s="52"/>
    </row>
    <row r="20" spans="2:22" ht="17.399999999999999" x14ac:dyDescent="0.4">
      <c r="B20" s="74">
        <v>42118</v>
      </c>
      <c r="C20" s="75">
        <v>10550</v>
      </c>
      <c r="D20" s="75">
        <v>10550</v>
      </c>
      <c r="E20" s="75">
        <v>10550</v>
      </c>
      <c r="F20" s="75">
        <v>10550</v>
      </c>
      <c r="G20" s="76">
        <v>0</v>
      </c>
      <c r="H20" s="13">
        <f t="shared" si="0"/>
        <v>0</v>
      </c>
      <c r="I20" s="75">
        <v>0</v>
      </c>
      <c r="J20" s="75">
        <v>0</v>
      </c>
      <c r="K20" s="14">
        <f t="shared" si="1"/>
        <v>0</v>
      </c>
      <c r="L20" s="63">
        <v>0</v>
      </c>
      <c r="M20" s="75">
        <v>0</v>
      </c>
      <c r="N20" s="14">
        <f t="shared" si="2"/>
        <v>0</v>
      </c>
      <c r="O20" s="14">
        <f t="shared" si="2"/>
        <v>0</v>
      </c>
      <c r="P20" s="4">
        <f t="shared" si="2"/>
        <v>0</v>
      </c>
      <c r="Q20" s="52"/>
    </row>
    <row r="21" spans="2:22" ht="17.399999999999999" x14ac:dyDescent="0.4">
      <c r="B21" s="82">
        <v>42121</v>
      </c>
      <c r="C21" s="83">
        <v>10550</v>
      </c>
      <c r="D21" s="83">
        <v>10550</v>
      </c>
      <c r="E21" s="83">
        <v>10550</v>
      </c>
      <c r="F21" s="83">
        <v>10550</v>
      </c>
      <c r="G21" s="84">
        <v>0</v>
      </c>
      <c r="H21" s="13">
        <f t="shared" si="0"/>
        <v>0</v>
      </c>
      <c r="I21" s="83">
        <v>0</v>
      </c>
      <c r="J21" s="83">
        <v>0</v>
      </c>
      <c r="K21" s="14">
        <f t="shared" si="1"/>
        <v>0</v>
      </c>
      <c r="L21" s="63">
        <v>0</v>
      </c>
      <c r="M21" s="83">
        <v>0</v>
      </c>
      <c r="N21" s="14">
        <f t="shared" si="2"/>
        <v>0</v>
      </c>
      <c r="O21" s="14">
        <f t="shared" si="2"/>
        <v>0</v>
      </c>
      <c r="P21" s="4">
        <f t="shared" si="2"/>
        <v>0</v>
      </c>
      <c r="Q21" s="52"/>
    </row>
    <row r="22" spans="2:22" ht="17.399999999999999" x14ac:dyDescent="0.4">
      <c r="B22" s="82">
        <v>42122</v>
      </c>
      <c r="C22" s="83">
        <v>0</v>
      </c>
      <c r="D22" s="83">
        <v>0</v>
      </c>
      <c r="E22" s="83">
        <v>0</v>
      </c>
      <c r="F22" s="83">
        <v>10550</v>
      </c>
      <c r="G22" s="84">
        <v>0</v>
      </c>
      <c r="H22" s="13">
        <f t="shared" si="0"/>
        <v>0</v>
      </c>
      <c r="I22" s="83">
        <v>200000</v>
      </c>
      <c r="J22" s="83">
        <v>200000</v>
      </c>
      <c r="K22" s="14">
        <f t="shared" si="1"/>
        <v>2100000000</v>
      </c>
      <c r="L22" s="63">
        <v>0</v>
      </c>
      <c r="M22" s="83">
        <v>2100000000</v>
      </c>
      <c r="N22" s="14">
        <f t="shared" si="2"/>
        <v>0</v>
      </c>
      <c r="O22" s="14">
        <f t="shared" si="2"/>
        <v>0</v>
      </c>
      <c r="P22" s="4">
        <f t="shared" si="2"/>
        <v>10500</v>
      </c>
      <c r="Q22" s="52"/>
    </row>
    <row r="23" spans="2:22" ht="17.399999999999999" x14ac:dyDescent="0.4">
      <c r="B23" s="82">
        <v>42123</v>
      </c>
      <c r="C23" s="83">
        <v>10550</v>
      </c>
      <c r="D23" s="83">
        <v>10550</v>
      </c>
      <c r="E23" s="83">
        <v>10550</v>
      </c>
      <c r="F23" s="83">
        <v>10550</v>
      </c>
      <c r="G23" s="84">
        <v>0</v>
      </c>
      <c r="H23" s="13">
        <f t="shared" si="0"/>
        <v>0</v>
      </c>
      <c r="I23" s="83">
        <v>0</v>
      </c>
      <c r="J23" s="83">
        <v>0</v>
      </c>
      <c r="K23" s="14">
        <f t="shared" si="1"/>
        <v>0</v>
      </c>
      <c r="L23" s="63">
        <v>0</v>
      </c>
      <c r="M23" s="83">
        <v>0</v>
      </c>
      <c r="N23" s="14">
        <f t="shared" si="2"/>
        <v>0</v>
      </c>
      <c r="O23" s="14">
        <f t="shared" si="2"/>
        <v>0</v>
      </c>
      <c r="P23" s="4">
        <f t="shared" si="2"/>
        <v>0</v>
      </c>
      <c r="Q23" s="52"/>
    </row>
    <row r="24" spans="2:22" ht="17.399999999999999" x14ac:dyDescent="0.4">
      <c r="B24" s="82">
        <v>42124</v>
      </c>
      <c r="C24" s="83">
        <v>10550</v>
      </c>
      <c r="D24" s="83">
        <v>10550</v>
      </c>
      <c r="E24" s="83">
        <v>10550</v>
      </c>
      <c r="F24" s="83">
        <v>10550</v>
      </c>
      <c r="G24" s="84">
        <v>0</v>
      </c>
      <c r="H24" s="13">
        <f t="shared" si="0"/>
        <v>0</v>
      </c>
      <c r="I24" s="83">
        <v>0</v>
      </c>
      <c r="J24" s="83">
        <v>0</v>
      </c>
      <c r="K24" s="14">
        <f t="shared" si="1"/>
        <v>0</v>
      </c>
      <c r="L24" s="63">
        <v>0</v>
      </c>
      <c r="M24" s="83">
        <v>0</v>
      </c>
      <c r="N24" s="14">
        <f t="shared" si="2"/>
        <v>0</v>
      </c>
      <c r="O24" s="14">
        <f t="shared" si="2"/>
        <v>0</v>
      </c>
      <c r="P24" s="4">
        <f t="shared" si="2"/>
        <v>0</v>
      </c>
      <c r="Q24" s="52"/>
    </row>
    <row r="25" spans="2:22" ht="17.399999999999999" x14ac:dyDescent="0.4">
      <c r="B25" s="82">
        <v>42128</v>
      </c>
      <c r="C25" s="83">
        <v>10550</v>
      </c>
      <c r="D25" s="83">
        <v>10550</v>
      </c>
      <c r="E25" s="83">
        <v>10550</v>
      </c>
      <c r="F25" s="83">
        <v>10550</v>
      </c>
      <c r="G25" s="84">
        <v>0</v>
      </c>
      <c r="H25" s="13">
        <f t="shared" si="0"/>
        <v>0</v>
      </c>
      <c r="I25" s="83">
        <v>0</v>
      </c>
      <c r="J25" s="83">
        <v>0</v>
      </c>
      <c r="K25" s="14">
        <f t="shared" si="1"/>
        <v>0</v>
      </c>
      <c r="L25" s="63">
        <v>0</v>
      </c>
      <c r="M25" s="83">
        <v>0</v>
      </c>
      <c r="N25" s="14">
        <f t="shared" si="2"/>
        <v>0</v>
      </c>
      <c r="O25" s="14">
        <f t="shared" si="2"/>
        <v>0</v>
      </c>
      <c r="P25" s="4">
        <f t="shared" si="2"/>
        <v>0</v>
      </c>
      <c r="Q25" s="52"/>
    </row>
    <row r="26" spans="2:22" ht="17.399999999999999" x14ac:dyDescent="0.4">
      <c r="B26" s="82">
        <v>42130</v>
      </c>
      <c r="C26" s="83">
        <v>10550</v>
      </c>
      <c r="D26" s="83">
        <v>10550</v>
      </c>
      <c r="E26" s="83">
        <v>10550</v>
      </c>
      <c r="F26" s="83">
        <v>10550</v>
      </c>
      <c r="G26" s="84">
        <v>0</v>
      </c>
      <c r="H26" s="13">
        <f t="shared" si="0"/>
        <v>0</v>
      </c>
      <c r="I26" s="83">
        <v>0</v>
      </c>
      <c r="J26" s="83">
        <v>0</v>
      </c>
      <c r="K26" s="14">
        <f t="shared" si="1"/>
        <v>0</v>
      </c>
      <c r="L26" s="63">
        <v>0</v>
      </c>
      <c r="M26" s="83">
        <v>0</v>
      </c>
      <c r="N26" s="14">
        <f t="shared" si="2"/>
        <v>0</v>
      </c>
      <c r="O26" s="14">
        <f t="shared" si="2"/>
        <v>0</v>
      </c>
      <c r="P26" s="4">
        <f t="shared" si="2"/>
        <v>0</v>
      </c>
      <c r="Q26" s="52"/>
    </row>
    <row r="27" spans="2:22" ht="17.399999999999999" x14ac:dyDescent="0.4">
      <c r="B27" s="82">
        <v>42131</v>
      </c>
      <c r="C27" s="83">
        <v>10550</v>
      </c>
      <c r="D27" s="83">
        <v>10550</v>
      </c>
      <c r="E27" s="83">
        <v>10550</v>
      </c>
      <c r="F27" s="83">
        <v>10550</v>
      </c>
      <c r="G27" s="84">
        <v>0</v>
      </c>
      <c r="H27" s="13">
        <f t="shared" si="0"/>
        <v>0</v>
      </c>
      <c r="I27" s="83">
        <v>0</v>
      </c>
      <c r="J27" s="83">
        <v>0</v>
      </c>
      <c r="K27" s="14">
        <f t="shared" si="1"/>
        <v>0</v>
      </c>
      <c r="L27" s="63">
        <v>0</v>
      </c>
      <c r="M27" s="83">
        <v>0</v>
      </c>
      <c r="N27" s="14">
        <f t="shared" si="2"/>
        <v>0</v>
      </c>
      <c r="O27" s="14">
        <f t="shared" si="2"/>
        <v>0</v>
      </c>
      <c r="P27" s="4">
        <f t="shared" si="2"/>
        <v>0</v>
      </c>
      <c r="Q27" s="52"/>
    </row>
    <row r="28" spans="2:22" ht="17.399999999999999" x14ac:dyDescent="0.4">
      <c r="B28" s="82">
        <v>42132</v>
      </c>
      <c r="C28" s="83">
        <v>10550</v>
      </c>
      <c r="D28" s="83">
        <v>10550</v>
      </c>
      <c r="E28" s="83">
        <v>10550</v>
      </c>
      <c r="F28" s="83">
        <v>10550</v>
      </c>
      <c r="G28" s="84">
        <v>0</v>
      </c>
      <c r="H28" s="13">
        <f t="shared" si="0"/>
        <v>0</v>
      </c>
      <c r="I28" s="83">
        <v>0</v>
      </c>
      <c r="J28" s="83">
        <v>0</v>
      </c>
      <c r="K28" s="14">
        <f t="shared" si="1"/>
        <v>0</v>
      </c>
      <c r="L28" s="63">
        <v>0</v>
      </c>
      <c r="M28" s="83">
        <v>0</v>
      </c>
      <c r="N28" s="14">
        <f t="shared" si="2"/>
        <v>0</v>
      </c>
      <c r="O28" s="14">
        <f t="shared" si="2"/>
        <v>0</v>
      </c>
      <c r="P28" s="4">
        <f t="shared" si="2"/>
        <v>0</v>
      </c>
      <c r="Q28" s="52"/>
    </row>
    <row r="29" spans="2:22" ht="17.399999999999999" x14ac:dyDescent="0.4">
      <c r="B29" s="82">
        <v>42135</v>
      </c>
      <c r="C29" s="83">
        <v>10550</v>
      </c>
      <c r="D29" s="83">
        <v>10550</v>
      </c>
      <c r="E29" s="83">
        <v>10550</v>
      </c>
      <c r="F29" s="83">
        <v>10550</v>
      </c>
      <c r="G29" s="84">
        <v>0</v>
      </c>
      <c r="H29" s="13">
        <f t="shared" si="0"/>
        <v>0</v>
      </c>
      <c r="I29" s="83">
        <v>0</v>
      </c>
      <c r="J29" s="83">
        <v>0</v>
      </c>
      <c r="K29" s="14">
        <f t="shared" si="1"/>
        <v>0</v>
      </c>
      <c r="L29" s="63">
        <v>0</v>
      </c>
      <c r="M29" s="83">
        <v>0</v>
      </c>
      <c r="N29" s="14">
        <f t="shared" si="2"/>
        <v>0</v>
      </c>
      <c r="O29" s="14">
        <f t="shared" si="2"/>
        <v>0</v>
      </c>
      <c r="P29" s="4">
        <f t="shared" si="2"/>
        <v>0</v>
      </c>
      <c r="Q29" s="52"/>
    </row>
    <row r="30" spans="2:22" ht="17.399999999999999" x14ac:dyDescent="0.4">
      <c r="B30" s="82">
        <v>42136</v>
      </c>
      <c r="C30" s="83">
        <v>10550</v>
      </c>
      <c r="D30" s="83">
        <v>10550</v>
      </c>
      <c r="E30" s="83">
        <v>10550</v>
      </c>
      <c r="F30" s="83">
        <v>10550</v>
      </c>
      <c r="G30" s="84">
        <v>0</v>
      </c>
      <c r="H30" s="13">
        <f t="shared" si="0"/>
        <v>0</v>
      </c>
      <c r="I30" s="83">
        <v>0</v>
      </c>
      <c r="J30" s="83">
        <v>0</v>
      </c>
      <c r="K30" s="14">
        <f t="shared" si="1"/>
        <v>0</v>
      </c>
      <c r="L30" s="63">
        <v>0</v>
      </c>
      <c r="M30" s="83">
        <v>0</v>
      </c>
      <c r="N30" s="14">
        <f t="shared" si="2"/>
        <v>0</v>
      </c>
      <c r="O30" s="14">
        <f t="shared" si="2"/>
        <v>0</v>
      </c>
      <c r="P30" s="4">
        <f t="shared" si="2"/>
        <v>0</v>
      </c>
      <c r="Q30" s="52"/>
    </row>
    <row r="31" spans="2:22" ht="17.399999999999999" x14ac:dyDescent="0.4">
      <c r="B31" s="82">
        <v>42137</v>
      </c>
      <c r="C31" s="83">
        <v>10550</v>
      </c>
      <c r="D31" s="83">
        <v>10550</v>
      </c>
      <c r="E31" s="83">
        <v>10550</v>
      </c>
      <c r="F31" s="83">
        <v>10550</v>
      </c>
      <c r="G31" s="84">
        <v>0</v>
      </c>
      <c r="H31" s="13">
        <f t="shared" si="0"/>
        <v>0</v>
      </c>
      <c r="I31" s="83">
        <v>0</v>
      </c>
      <c r="J31" s="83">
        <v>0</v>
      </c>
      <c r="K31" s="14">
        <f t="shared" si="1"/>
        <v>0</v>
      </c>
      <c r="L31" s="63">
        <v>0</v>
      </c>
      <c r="M31" s="83">
        <v>0</v>
      </c>
      <c r="N31" s="14">
        <f t="shared" si="2"/>
        <v>0</v>
      </c>
      <c r="O31" s="14">
        <f t="shared" si="2"/>
        <v>0</v>
      </c>
      <c r="P31" s="4">
        <f t="shared" si="2"/>
        <v>0</v>
      </c>
      <c r="Q31" s="52"/>
    </row>
    <row r="32" spans="2:22" ht="17.399999999999999" x14ac:dyDescent="0.4">
      <c r="B32" s="82">
        <v>42138</v>
      </c>
      <c r="C32" s="83">
        <v>10550</v>
      </c>
      <c r="D32" s="83">
        <v>10550</v>
      </c>
      <c r="E32" s="83">
        <v>10550</v>
      </c>
      <c r="F32" s="83">
        <v>10550</v>
      </c>
      <c r="G32" s="84">
        <v>0</v>
      </c>
      <c r="H32" s="13">
        <f t="shared" si="0"/>
        <v>0</v>
      </c>
      <c r="I32" s="83">
        <v>0</v>
      </c>
      <c r="J32" s="83">
        <v>0</v>
      </c>
      <c r="K32" s="14">
        <f t="shared" si="1"/>
        <v>0</v>
      </c>
      <c r="L32" s="63">
        <v>0</v>
      </c>
      <c r="M32" s="83">
        <v>0</v>
      </c>
      <c r="N32" s="14">
        <f t="shared" si="2"/>
        <v>0</v>
      </c>
      <c r="O32" s="14">
        <f t="shared" si="2"/>
        <v>0</v>
      </c>
      <c r="P32" s="4">
        <f t="shared" si="2"/>
        <v>0</v>
      </c>
      <c r="Q32" s="52"/>
    </row>
    <row r="33" spans="2:17" ht="17.399999999999999" x14ac:dyDescent="0.4">
      <c r="B33" s="82">
        <v>42139</v>
      </c>
      <c r="C33" s="83">
        <v>10550</v>
      </c>
      <c r="D33" s="83">
        <v>10550</v>
      </c>
      <c r="E33" s="83">
        <v>10550</v>
      </c>
      <c r="F33" s="83">
        <v>10550</v>
      </c>
      <c r="G33" s="84">
        <v>0</v>
      </c>
      <c r="H33" s="13">
        <f t="shared" si="0"/>
        <v>0</v>
      </c>
      <c r="I33" s="83">
        <v>0</v>
      </c>
      <c r="J33" s="83">
        <v>0</v>
      </c>
      <c r="K33" s="14">
        <f t="shared" si="1"/>
        <v>0</v>
      </c>
      <c r="L33" s="63">
        <v>0</v>
      </c>
      <c r="M33" s="83">
        <v>0</v>
      </c>
      <c r="N33" s="14">
        <f t="shared" si="2"/>
        <v>0</v>
      </c>
      <c r="O33" s="14">
        <f t="shared" si="2"/>
        <v>0</v>
      </c>
      <c r="P33" s="4">
        <f t="shared" si="2"/>
        <v>0</v>
      </c>
      <c r="Q33" s="52"/>
    </row>
    <row r="34" spans="2:17" ht="17.399999999999999" x14ac:dyDescent="0.4">
      <c r="B34" s="82">
        <v>42142</v>
      </c>
      <c r="C34" s="83">
        <v>10550</v>
      </c>
      <c r="D34" s="83">
        <v>10550</v>
      </c>
      <c r="E34" s="83">
        <v>10550</v>
      </c>
      <c r="F34" s="83">
        <v>10550</v>
      </c>
      <c r="G34" s="84">
        <v>0</v>
      </c>
      <c r="H34" s="13">
        <f t="shared" si="0"/>
        <v>0</v>
      </c>
      <c r="I34" s="83">
        <v>0</v>
      </c>
      <c r="J34" s="83">
        <v>0</v>
      </c>
      <c r="K34" s="14">
        <f t="shared" si="1"/>
        <v>0</v>
      </c>
      <c r="L34" s="63">
        <v>0</v>
      </c>
      <c r="M34" s="83">
        <v>0</v>
      </c>
      <c r="N34" s="14">
        <f t="shared" si="2"/>
        <v>0</v>
      </c>
      <c r="O34" s="14">
        <f t="shared" si="2"/>
        <v>0</v>
      </c>
      <c r="P34" s="4">
        <f t="shared" si="2"/>
        <v>0</v>
      </c>
      <c r="Q34" s="52"/>
    </row>
    <row r="35" spans="2:17" ht="17.399999999999999" x14ac:dyDescent="0.4">
      <c r="B35" s="82">
        <v>42143</v>
      </c>
      <c r="C35" s="83">
        <v>10550</v>
      </c>
      <c r="D35" s="83">
        <v>10550</v>
      </c>
      <c r="E35" s="83">
        <v>10550</v>
      </c>
      <c r="F35" s="83">
        <v>10550</v>
      </c>
      <c r="G35" s="84">
        <v>0</v>
      </c>
      <c r="H35" s="13">
        <f t="shared" si="0"/>
        <v>0</v>
      </c>
      <c r="I35" s="83">
        <v>0</v>
      </c>
      <c r="J35" s="83">
        <v>0</v>
      </c>
      <c r="K35" s="14">
        <f t="shared" si="1"/>
        <v>0</v>
      </c>
      <c r="L35" s="63">
        <v>0</v>
      </c>
      <c r="M35" s="83">
        <v>0</v>
      </c>
      <c r="N35" s="14">
        <f t="shared" si="2"/>
        <v>0</v>
      </c>
      <c r="O35" s="14">
        <f t="shared" si="2"/>
        <v>0</v>
      </c>
      <c r="P35" s="4">
        <f t="shared" si="2"/>
        <v>0</v>
      </c>
      <c r="Q35" s="52"/>
    </row>
    <row r="36" spans="2:17" ht="17.399999999999999" x14ac:dyDescent="0.4">
      <c r="B36" s="82">
        <v>42144</v>
      </c>
      <c r="C36" s="83">
        <v>10550</v>
      </c>
      <c r="D36" s="83">
        <v>10550</v>
      </c>
      <c r="E36" s="83">
        <v>10550</v>
      </c>
      <c r="F36" s="83">
        <v>10550</v>
      </c>
      <c r="G36" s="84">
        <v>0</v>
      </c>
      <c r="H36" s="13">
        <f t="shared" si="0"/>
        <v>0</v>
      </c>
      <c r="I36" s="83">
        <v>0</v>
      </c>
      <c r="J36" s="83">
        <v>0</v>
      </c>
      <c r="K36" s="14">
        <f t="shared" si="1"/>
        <v>0</v>
      </c>
      <c r="L36" s="63">
        <v>0</v>
      </c>
      <c r="M36" s="83">
        <v>0</v>
      </c>
      <c r="N36" s="14">
        <f t="shared" si="2"/>
        <v>0</v>
      </c>
      <c r="O36" s="14">
        <f t="shared" si="2"/>
        <v>0</v>
      </c>
      <c r="P36" s="4">
        <f t="shared" si="2"/>
        <v>0</v>
      </c>
      <c r="Q36" s="52"/>
    </row>
    <row r="37" spans="2:17" ht="17.399999999999999" x14ac:dyDescent="0.4">
      <c r="B37" s="82">
        <v>42145</v>
      </c>
      <c r="C37" s="83">
        <v>10550</v>
      </c>
      <c r="D37" s="83">
        <v>10550</v>
      </c>
      <c r="E37" s="83">
        <v>10550</v>
      </c>
      <c r="F37" s="83">
        <v>10550</v>
      </c>
      <c r="G37" s="84">
        <v>0</v>
      </c>
      <c r="H37" s="13">
        <f t="shared" si="0"/>
        <v>0</v>
      </c>
      <c r="I37" s="83">
        <v>0</v>
      </c>
      <c r="J37" s="83">
        <v>0</v>
      </c>
      <c r="K37" s="14">
        <f t="shared" si="1"/>
        <v>0</v>
      </c>
      <c r="L37" s="63">
        <v>0</v>
      </c>
      <c r="M37" s="83">
        <v>0</v>
      </c>
      <c r="N37" s="14">
        <f t="shared" si="2"/>
        <v>0</v>
      </c>
      <c r="O37" s="14">
        <f t="shared" si="2"/>
        <v>0</v>
      </c>
      <c r="P37" s="4">
        <f t="shared" si="2"/>
        <v>0</v>
      </c>
      <c r="Q37" s="52"/>
    </row>
    <row r="38" spans="2:17" ht="17.399999999999999" x14ac:dyDescent="0.4">
      <c r="B38" s="82">
        <v>42146</v>
      </c>
      <c r="C38" s="83">
        <v>10550</v>
      </c>
      <c r="D38" s="83">
        <v>10550</v>
      </c>
      <c r="E38" s="83">
        <v>10550</v>
      </c>
      <c r="F38" s="83">
        <v>10550</v>
      </c>
      <c r="G38" s="84">
        <v>0</v>
      </c>
      <c r="H38" s="13">
        <f t="shared" si="0"/>
        <v>0</v>
      </c>
      <c r="I38" s="83">
        <v>0</v>
      </c>
      <c r="J38" s="83">
        <v>0</v>
      </c>
      <c r="K38" s="14">
        <f t="shared" si="1"/>
        <v>0</v>
      </c>
      <c r="L38" s="63">
        <v>0</v>
      </c>
      <c r="M38" s="83">
        <v>0</v>
      </c>
      <c r="N38" s="14">
        <f t="shared" si="2"/>
        <v>0</v>
      </c>
      <c r="O38" s="14">
        <f t="shared" si="2"/>
        <v>0</v>
      </c>
      <c r="P38" s="4">
        <f t="shared" si="2"/>
        <v>0</v>
      </c>
      <c r="Q38" s="52"/>
    </row>
    <row r="39" spans="2:17" ht="17.399999999999999" x14ac:dyDescent="0.4">
      <c r="B39" s="82">
        <v>42150</v>
      </c>
      <c r="C39" s="83">
        <v>10550</v>
      </c>
      <c r="D39" s="83">
        <v>10550</v>
      </c>
      <c r="E39" s="83">
        <v>10550</v>
      </c>
      <c r="F39" s="83">
        <v>10550</v>
      </c>
      <c r="G39" s="84">
        <v>0</v>
      </c>
      <c r="H39" s="13">
        <f t="shared" si="0"/>
        <v>0</v>
      </c>
      <c r="I39" s="83">
        <v>0</v>
      </c>
      <c r="J39" s="83">
        <v>0</v>
      </c>
      <c r="K39" s="14">
        <f t="shared" si="1"/>
        <v>0</v>
      </c>
      <c r="L39" s="63">
        <v>0</v>
      </c>
      <c r="M39" s="83">
        <v>0</v>
      </c>
      <c r="N39" s="14">
        <f t="shared" si="2"/>
        <v>0</v>
      </c>
      <c r="O39" s="14">
        <f t="shared" si="2"/>
        <v>0</v>
      </c>
      <c r="P39" s="4">
        <f t="shared" si="2"/>
        <v>0</v>
      </c>
      <c r="Q39" s="52"/>
    </row>
    <row r="40" spans="2:17" ht="17.399999999999999" x14ac:dyDescent="0.4">
      <c r="B40" s="82">
        <v>42151</v>
      </c>
      <c r="C40" s="83">
        <v>10550</v>
      </c>
      <c r="D40" s="83">
        <v>10550</v>
      </c>
      <c r="E40" s="83">
        <v>10550</v>
      </c>
      <c r="F40" s="83">
        <v>10550</v>
      </c>
      <c r="G40" s="84">
        <v>0</v>
      </c>
      <c r="H40" s="13">
        <f t="shared" si="0"/>
        <v>0</v>
      </c>
      <c r="I40" s="83">
        <v>0</v>
      </c>
      <c r="J40" s="83">
        <v>0</v>
      </c>
      <c r="K40" s="14">
        <f t="shared" si="1"/>
        <v>0</v>
      </c>
      <c r="L40" s="63">
        <v>0</v>
      </c>
      <c r="M40" s="83">
        <v>0</v>
      </c>
      <c r="N40" s="14">
        <f t="shared" si="2"/>
        <v>0</v>
      </c>
      <c r="O40" s="14">
        <f t="shared" si="2"/>
        <v>0</v>
      </c>
      <c r="P40" s="4">
        <f t="shared" si="2"/>
        <v>0</v>
      </c>
      <c r="Q40" s="52"/>
    </row>
    <row r="41" spans="2:17" ht="17.399999999999999" x14ac:dyDescent="0.4">
      <c r="B41" s="82">
        <v>42152</v>
      </c>
      <c r="C41" s="83">
        <v>10550</v>
      </c>
      <c r="D41" s="83">
        <v>10550</v>
      </c>
      <c r="E41" s="83">
        <v>10550</v>
      </c>
      <c r="F41" s="83">
        <v>10550</v>
      </c>
      <c r="G41" s="84">
        <v>0</v>
      </c>
      <c r="H41" s="13">
        <f t="shared" si="0"/>
        <v>0</v>
      </c>
      <c r="I41" s="83">
        <v>0</v>
      </c>
      <c r="J41" s="83">
        <v>0</v>
      </c>
      <c r="K41" s="14">
        <f t="shared" si="1"/>
        <v>0</v>
      </c>
      <c r="L41" s="63">
        <v>0</v>
      </c>
      <c r="M41" s="83">
        <v>0</v>
      </c>
      <c r="N41" s="14">
        <f t="shared" si="2"/>
        <v>0</v>
      </c>
      <c r="O41" s="14">
        <f t="shared" si="2"/>
        <v>0</v>
      </c>
      <c r="P41" s="4">
        <f t="shared" si="2"/>
        <v>0</v>
      </c>
      <c r="Q41" s="52"/>
    </row>
    <row r="42" spans="2:17" ht="17.399999999999999" x14ac:dyDescent="0.4">
      <c r="B42" s="82">
        <v>42153</v>
      </c>
      <c r="C42" s="83">
        <v>10550</v>
      </c>
      <c r="D42" s="83">
        <v>10550</v>
      </c>
      <c r="E42" s="83">
        <v>10550</v>
      </c>
      <c r="F42" s="83">
        <v>10550</v>
      </c>
      <c r="G42" s="84">
        <v>0</v>
      </c>
      <c r="H42" s="13">
        <f t="shared" si="0"/>
        <v>0</v>
      </c>
      <c r="I42" s="83">
        <v>0</v>
      </c>
      <c r="J42" s="83">
        <v>0</v>
      </c>
      <c r="K42" s="14">
        <f t="shared" si="1"/>
        <v>0</v>
      </c>
      <c r="L42" s="63">
        <v>0</v>
      </c>
      <c r="M42" s="83">
        <v>0</v>
      </c>
      <c r="N42" s="14">
        <f t="shared" si="2"/>
        <v>0</v>
      </c>
      <c r="O42" s="14">
        <f t="shared" si="2"/>
        <v>0</v>
      </c>
      <c r="P42" s="4">
        <f t="shared" si="2"/>
        <v>0</v>
      </c>
      <c r="Q42" s="52"/>
    </row>
    <row r="43" spans="2:17" ht="17.399999999999999" x14ac:dyDescent="0.4">
      <c r="B43" s="82">
        <v>42156</v>
      </c>
      <c r="C43" s="83">
        <v>10550</v>
      </c>
      <c r="D43" s="83">
        <v>10550</v>
      </c>
      <c r="E43" s="83">
        <v>10550</v>
      </c>
      <c r="F43" s="83">
        <v>10550</v>
      </c>
      <c r="G43" s="84">
        <v>0</v>
      </c>
      <c r="H43" s="13">
        <f t="shared" si="0"/>
        <v>0</v>
      </c>
      <c r="I43" s="83">
        <v>0</v>
      </c>
      <c r="J43" s="83">
        <v>0</v>
      </c>
      <c r="K43" s="14">
        <f t="shared" si="1"/>
        <v>0</v>
      </c>
      <c r="L43" s="63">
        <v>0</v>
      </c>
      <c r="M43" s="83">
        <v>0</v>
      </c>
      <c r="N43" s="14">
        <f t="shared" si="2"/>
        <v>0</v>
      </c>
      <c r="O43" s="14">
        <f t="shared" si="2"/>
        <v>0</v>
      </c>
      <c r="P43" s="4">
        <f t="shared" si="2"/>
        <v>0</v>
      </c>
      <c r="Q43" s="52"/>
    </row>
    <row r="44" spans="2:17" ht="17.399999999999999" x14ac:dyDescent="0.4">
      <c r="B44" s="82">
        <v>42157</v>
      </c>
      <c r="C44" s="83">
        <v>10550</v>
      </c>
      <c r="D44" s="83">
        <v>10550</v>
      </c>
      <c r="E44" s="83">
        <v>10550</v>
      </c>
      <c r="F44" s="83">
        <v>10550</v>
      </c>
      <c r="G44" s="84">
        <v>0</v>
      </c>
      <c r="H44" s="13">
        <f t="shared" si="0"/>
        <v>0</v>
      </c>
      <c r="I44" s="83">
        <v>0</v>
      </c>
      <c r="J44" s="83">
        <v>0</v>
      </c>
      <c r="K44" s="14">
        <f t="shared" si="1"/>
        <v>0</v>
      </c>
      <c r="L44" s="63">
        <v>0</v>
      </c>
      <c r="M44" s="83">
        <v>0</v>
      </c>
      <c r="N44" s="14">
        <f t="shared" si="2"/>
        <v>0</v>
      </c>
      <c r="O44" s="14">
        <f t="shared" si="2"/>
        <v>0</v>
      </c>
      <c r="P44" s="4">
        <f t="shared" si="2"/>
        <v>0</v>
      </c>
      <c r="Q44" s="52"/>
    </row>
    <row r="45" spans="2:17" ht="17.399999999999999" x14ac:dyDescent="0.4">
      <c r="B45" s="82">
        <v>42158</v>
      </c>
      <c r="C45" s="83">
        <v>10550</v>
      </c>
      <c r="D45" s="83">
        <v>10550</v>
      </c>
      <c r="E45" s="83">
        <v>10550</v>
      </c>
      <c r="F45" s="83">
        <v>10550</v>
      </c>
      <c r="G45" s="84">
        <v>0</v>
      </c>
      <c r="H45" s="13">
        <f t="shared" si="0"/>
        <v>0</v>
      </c>
      <c r="I45" s="83">
        <v>0</v>
      </c>
      <c r="J45" s="83">
        <v>0</v>
      </c>
      <c r="K45" s="14">
        <f t="shared" si="1"/>
        <v>0</v>
      </c>
      <c r="L45" s="63">
        <v>0</v>
      </c>
      <c r="M45" s="83">
        <v>0</v>
      </c>
      <c r="N45" s="14">
        <f t="shared" si="2"/>
        <v>0</v>
      </c>
      <c r="O45" s="14">
        <f t="shared" si="2"/>
        <v>0</v>
      </c>
      <c r="P45" s="4">
        <f t="shared" si="2"/>
        <v>0</v>
      </c>
      <c r="Q45" s="52"/>
    </row>
    <row r="46" spans="2:17" ht="17.399999999999999" x14ac:dyDescent="0.4">
      <c r="B46" s="82">
        <v>42159</v>
      </c>
      <c r="C46" s="83">
        <v>10550</v>
      </c>
      <c r="D46" s="83">
        <v>10550</v>
      </c>
      <c r="E46" s="83">
        <v>10550</v>
      </c>
      <c r="F46" s="83">
        <v>10550</v>
      </c>
      <c r="G46" s="84">
        <v>0</v>
      </c>
      <c r="H46" s="13">
        <f t="shared" si="0"/>
        <v>0</v>
      </c>
      <c r="I46" s="83">
        <v>0</v>
      </c>
      <c r="J46" s="83">
        <v>0</v>
      </c>
      <c r="K46" s="14">
        <f t="shared" si="1"/>
        <v>0</v>
      </c>
      <c r="L46" s="63">
        <v>0</v>
      </c>
      <c r="M46" s="83">
        <v>0</v>
      </c>
      <c r="N46" s="14">
        <f t="shared" si="2"/>
        <v>0</v>
      </c>
      <c r="O46" s="14">
        <f t="shared" si="2"/>
        <v>0</v>
      </c>
      <c r="P46" s="4">
        <f t="shared" si="2"/>
        <v>0</v>
      </c>
      <c r="Q46" s="52"/>
    </row>
    <row r="47" spans="2:17" ht="17.399999999999999" x14ac:dyDescent="0.4">
      <c r="B47" s="82">
        <v>42160</v>
      </c>
      <c r="C47" s="83">
        <v>10550</v>
      </c>
      <c r="D47" s="83">
        <v>10550</v>
      </c>
      <c r="E47" s="83">
        <v>10550</v>
      </c>
      <c r="F47" s="83">
        <v>10550</v>
      </c>
      <c r="G47" s="84">
        <v>0</v>
      </c>
      <c r="H47" s="13">
        <f t="shared" si="0"/>
        <v>0</v>
      </c>
      <c r="I47" s="83">
        <v>0</v>
      </c>
      <c r="J47" s="83">
        <v>0</v>
      </c>
      <c r="K47" s="14">
        <f t="shared" si="1"/>
        <v>0</v>
      </c>
      <c r="L47" s="63">
        <v>0</v>
      </c>
      <c r="M47" s="83">
        <v>0</v>
      </c>
      <c r="N47" s="14">
        <f t="shared" si="2"/>
        <v>0</v>
      </c>
      <c r="O47" s="14">
        <f t="shared" si="2"/>
        <v>0</v>
      </c>
      <c r="P47" s="4">
        <f t="shared" si="2"/>
        <v>0</v>
      </c>
      <c r="Q47" s="52"/>
    </row>
    <row r="48" spans="2:17" ht="17.399999999999999" x14ac:dyDescent="0.4">
      <c r="B48" s="82">
        <v>42163</v>
      </c>
      <c r="C48" s="83">
        <v>10550</v>
      </c>
      <c r="D48" s="83">
        <v>10550</v>
      </c>
      <c r="E48" s="83">
        <v>10550</v>
      </c>
      <c r="F48" s="83">
        <v>10550</v>
      </c>
      <c r="G48" s="84">
        <v>0</v>
      </c>
      <c r="H48" s="13">
        <f t="shared" si="0"/>
        <v>0</v>
      </c>
      <c r="I48" s="83">
        <v>0</v>
      </c>
      <c r="J48" s="83">
        <v>0</v>
      </c>
      <c r="K48" s="14">
        <f t="shared" si="1"/>
        <v>0</v>
      </c>
      <c r="L48" s="63">
        <v>0</v>
      </c>
      <c r="M48" s="83">
        <v>0</v>
      </c>
      <c r="N48" s="14">
        <f t="shared" si="2"/>
        <v>0</v>
      </c>
      <c r="O48" s="14">
        <f t="shared" si="2"/>
        <v>0</v>
      </c>
      <c r="P48" s="4">
        <f t="shared" si="2"/>
        <v>0</v>
      </c>
      <c r="Q48" s="52"/>
    </row>
    <row r="49" spans="2:17" ht="17.399999999999999" x14ac:dyDescent="0.4">
      <c r="B49" s="82">
        <v>42164</v>
      </c>
      <c r="C49" s="83">
        <v>10550</v>
      </c>
      <c r="D49" s="83">
        <v>10550</v>
      </c>
      <c r="E49" s="83">
        <v>10550</v>
      </c>
      <c r="F49" s="83">
        <v>10550</v>
      </c>
      <c r="G49" s="84">
        <v>0</v>
      </c>
      <c r="H49" s="13">
        <f t="shared" si="0"/>
        <v>0</v>
      </c>
      <c r="I49" s="83">
        <v>0</v>
      </c>
      <c r="J49" s="83">
        <v>0</v>
      </c>
      <c r="K49" s="14">
        <f t="shared" si="1"/>
        <v>0</v>
      </c>
      <c r="L49" s="63">
        <v>0</v>
      </c>
      <c r="M49" s="83">
        <v>0</v>
      </c>
      <c r="N49" s="14">
        <f t="shared" si="2"/>
        <v>0</v>
      </c>
      <c r="O49" s="14">
        <f t="shared" si="2"/>
        <v>0</v>
      </c>
      <c r="P49" s="4">
        <f t="shared" si="2"/>
        <v>0</v>
      </c>
      <c r="Q49" s="52"/>
    </row>
    <row r="50" spans="2:17" ht="17.399999999999999" x14ac:dyDescent="0.4">
      <c r="B50" s="82">
        <v>42165</v>
      </c>
      <c r="C50" s="83">
        <v>10550</v>
      </c>
      <c r="D50" s="83">
        <v>10550</v>
      </c>
      <c r="E50" s="83">
        <v>10550</v>
      </c>
      <c r="F50" s="83">
        <v>10550</v>
      </c>
      <c r="G50" s="84">
        <v>0</v>
      </c>
      <c r="H50" s="13">
        <f t="shared" si="0"/>
        <v>0</v>
      </c>
      <c r="I50" s="83">
        <v>0</v>
      </c>
      <c r="J50" s="83">
        <v>0</v>
      </c>
      <c r="K50" s="14">
        <f t="shared" si="1"/>
        <v>0</v>
      </c>
      <c r="L50" s="63">
        <v>0</v>
      </c>
      <c r="M50" s="83">
        <v>0</v>
      </c>
      <c r="N50" s="14">
        <f t="shared" si="2"/>
        <v>0</v>
      </c>
      <c r="O50" s="14">
        <f t="shared" si="2"/>
        <v>0</v>
      </c>
      <c r="P50" s="4">
        <f t="shared" si="2"/>
        <v>0</v>
      </c>
      <c r="Q50" s="52"/>
    </row>
    <row r="51" spans="2:17" ht="17.399999999999999" x14ac:dyDescent="0.4">
      <c r="B51" s="82">
        <v>42166</v>
      </c>
      <c r="C51" s="83">
        <v>10550</v>
      </c>
      <c r="D51" s="83">
        <v>10550</v>
      </c>
      <c r="E51" s="83">
        <v>10550</v>
      </c>
      <c r="F51" s="83">
        <v>10550</v>
      </c>
      <c r="G51" s="84">
        <v>0</v>
      </c>
      <c r="H51" s="13">
        <f t="shared" si="0"/>
        <v>0</v>
      </c>
      <c r="I51" s="83">
        <v>0</v>
      </c>
      <c r="J51" s="83">
        <v>0</v>
      </c>
      <c r="K51" s="14">
        <f t="shared" si="1"/>
        <v>0</v>
      </c>
      <c r="L51" s="63">
        <v>0</v>
      </c>
      <c r="M51" s="83">
        <v>0</v>
      </c>
      <c r="N51" s="14">
        <f t="shared" si="2"/>
        <v>0</v>
      </c>
      <c r="O51" s="14">
        <f t="shared" si="2"/>
        <v>0</v>
      </c>
      <c r="P51" s="4">
        <f t="shared" si="2"/>
        <v>0</v>
      </c>
      <c r="Q51" s="52"/>
    </row>
    <row r="52" spans="2:17" ht="17.399999999999999" x14ac:dyDescent="0.4">
      <c r="B52" s="82">
        <v>42167</v>
      </c>
      <c r="C52" s="83">
        <v>10550</v>
      </c>
      <c r="D52" s="83">
        <v>10550</v>
      </c>
      <c r="E52" s="83">
        <v>10550</v>
      </c>
      <c r="F52" s="83">
        <v>10550</v>
      </c>
      <c r="G52" s="84">
        <v>0</v>
      </c>
      <c r="H52" s="13">
        <f t="shared" si="0"/>
        <v>0</v>
      </c>
      <c r="I52" s="83">
        <v>0</v>
      </c>
      <c r="J52" s="83">
        <v>0</v>
      </c>
      <c r="K52" s="14">
        <f t="shared" si="1"/>
        <v>0</v>
      </c>
      <c r="L52" s="63">
        <v>0</v>
      </c>
      <c r="M52" s="83">
        <v>0</v>
      </c>
      <c r="N52" s="14">
        <f t="shared" si="2"/>
        <v>0</v>
      </c>
      <c r="O52" s="14">
        <f t="shared" si="2"/>
        <v>0</v>
      </c>
      <c r="P52" s="4">
        <f t="shared" si="2"/>
        <v>0</v>
      </c>
      <c r="Q52" s="52"/>
    </row>
    <row r="53" spans="2:17" ht="17.399999999999999" x14ac:dyDescent="0.4">
      <c r="B53" s="82">
        <v>42170</v>
      </c>
      <c r="C53" s="83">
        <v>10550</v>
      </c>
      <c r="D53" s="83">
        <v>10550</v>
      </c>
      <c r="E53" s="83">
        <v>10550</v>
      </c>
      <c r="F53" s="83">
        <v>10550</v>
      </c>
      <c r="G53" s="84">
        <v>0</v>
      </c>
      <c r="H53" s="13">
        <f t="shared" si="0"/>
        <v>0</v>
      </c>
      <c r="I53" s="83">
        <v>0</v>
      </c>
      <c r="J53" s="83">
        <v>0</v>
      </c>
      <c r="K53" s="14">
        <f t="shared" si="1"/>
        <v>0</v>
      </c>
      <c r="L53" s="63">
        <v>0</v>
      </c>
      <c r="M53" s="83">
        <v>0</v>
      </c>
      <c r="N53" s="14">
        <f t="shared" si="2"/>
        <v>0</v>
      </c>
      <c r="O53" s="14">
        <f t="shared" si="2"/>
        <v>0</v>
      </c>
      <c r="P53" s="4">
        <f t="shared" si="2"/>
        <v>0</v>
      </c>
      <c r="Q53" s="52"/>
    </row>
    <row r="54" spans="2:17" ht="17.399999999999999" x14ac:dyDescent="0.4">
      <c r="B54" s="82">
        <v>42171</v>
      </c>
      <c r="C54" s="83">
        <v>10550</v>
      </c>
      <c r="D54" s="83">
        <v>10550</v>
      </c>
      <c r="E54" s="83">
        <v>10550</v>
      </c>
      <c r="F54" s="83">
        <v>10550</v>
      </c>
      <c r="G54" s="84">
        <v>0</v>
      </c>
      <c r="H54" s="13">
        <f t="shared" si="0"/>
        <v>0</v>
      </c>
      <c r="I54" s="83">
        <v>0</v>
      </c>
      <c r="J54" s="83">
        <v>0</v>
      </c>
      <c r="K54" s="14">
        <f t="shared" si="1"/>
        <v>0</v>
      </c>
      <c r="L54" s="63">
        <v>0</v>
      </c>
      <c r="M54" s="83">
        <v>0</v>
      </c>
      <c r="N54" s="14">
        <f t="shared" si="2"/>
        <v>0</v>
      </c>
      <c r="O54" s="14">
        <f t="shared" si="2"/>
        <v>0</v>
      </c>
      <c r="P54" s="4">
        <f t="shared" si="2"/>
        <v>0</v>
      </c>
      <c r="Q54" s="52"/>
    </row>
    <row r="55" spans="2:17" ht="17.399999999999999" x14ac:dyDescent="0.4">
      <c r="B55" s="82">
        <v>42172</v>
      </c>
      <c r="C55" s="83">
        <v>10550</v>
      </c>
      <c r="D55" s="83">
        <v>10550</v>
      </c>
      <c r="E55" s="83">
        <v>10550</v>
      </c>
      <c r="F55" s="83">
        <v>10550</v>
      </c>
      <c r="G55" s="84">
        <v>0</v>
      </c>
      <c r="H55" s="13">
        <f t="shared" si="0"/>
        <v>0</v>
      </c>
      <c r="I55" s="83">
        <v>0</v>
      </c>
      <c r="J55" s="83">
        <v>0</v>
      </c>
      <c r="K55" s="14">
        <f t="shared" si="1"/>
        <v>0</v>
      </c>
      <c r="L55" s="63">
        <v>0</v>
      </c>
      <c r="M55" s="83">
        <v>0</v>
      </c>
      <c r="N55" s="14">
        <f t="shared" si="2"/>
        <v>0</v>
      </c>
      <c r="O55" s="14">
        <f t="shared" si="2"/>
        <v>0</v>
      </c>
      <c r="P55" s="4">
        <f t="shared" si="2"/>
        <v>0</v>
      </c>
      <c r="Q55" s="52"/>
    </row>
    <row r="56" spans="2:17" ht="17.399999999999999" x14ac:dyDescent="0.4">
      <c r="B56" s="82">
        <v>42173</v>
      </c>
      <c r="C56" s="83">
        <v>10550</v>
      </c>
      <c r="D56" s="83">
        <v>10550</v>
      </c>
      <c r="E56" s="83">
        <v>10550</v>
      </c>
      <c r="F56" s="83">
        <v>10550</v>
      </c>
      <c r="G56" s="84">
        <v>0</v>
      </c>
      <c r="H56" s="13">
        <f t="shared" si="0"/>
        <v>0</v>
      </c>
      <c r="I56" s="83">
        <v>0</v>
      </c>
      <c r="J56" s="83">
        <v>0</v>
      </c>
      <c r="K56" s="14">
        <f t="shared" si="1"/>
        <v>0</v>
      </c>
      <c r="L56" s="63">
        <v>0</v>
      </c>
      <c r="M56" s="83">
        <v>0</v>
      </c>
      <c r="N56" s="14">
        <f t="shared" si="2"/>
        <v>0</v>
      </c>
      <c r="O56" s="14">
        <f t="shared" si="2"/>
        <v>0</v>
      </c>
      <c r="P56" s="4">
        <f t="shared" si="2"/>
        <v>0</v>
      </c>
      <c r="Q56" s="52"/>
    </row>
    <row r="57" spans="2:17" ht="17.399999999999999" x14ac:dyDescent="0.4">
      <c r="B57" s="82">
        <v>42174</v>
      </c>
      <c r="C57" s="83">
        <v>10550</v>
      </c>
      <c r="D57" s="83">
        <v>10550</v>
      </c>
      <c r="E57" s="83">
        <v>10550</v>
      </c>
      <c r="F57" s="83">
        <v>10550</v>
      </c>
      <c r="G57" s="84">
        <v>0</v>
      </c>
      <c r="H57" s="13">
        <f t="shared" si="0"/>
        <v>0</v>
      </c>
      <c r="I57" s="83">
        <v>500000</v>
      </c>
      <c r="J57" s="83">
        <v>500000</v>
      </c>
      <c r="K57" s="14">
        <f t="shared" si="1"/>
        <v>5100000000</v>
      </c>
      <c r="L57" s="63">
        <v>0</v>
      </c>
      <c r="M57" s="83">
        <v>5100000000</v>
      </c>
      <c r="N57" s="14">
        <f t="shared" si="2"/>
        <v>0</v>
      </c>
      <c r="O57" s="14">
        <f t="shared" si="2"/>
        <v>0</v>
      </c>
      <c r="P57" s="4">
        <f t="shared" si="2"/>
        <v>10200</v>
      </c>
      <c r="Q57" s="52"/>
    </row>
    <row r="58" spans="2:17" ht="17.399999999999999" x14ac:dyDescent="0.4">
      <c r="B58" s="82">
        <v>42177</v>
      </c>
      <c r="C58" s="83">
        <v>10550</v>
      </c>
      <c r="D58" s="83">
        <v>10550</v>
      </c>
      <c r="E58" s="83">
        <v>10550</v>
      </c>
      <c r="F58" s="83">
        <v>10550</v>
      </c>
      <c r="G58" s="84">
        <v>0</v>
      </c>
      <c r="H58" s="13">
        <f t="shared" si="0"/>
        <v>0</v>
      </c>
      <c r="I58" s="83">
        <v>0</v>
      </c>
      <c r="J58" s="83">
        <v>0</v>
      </c>
      <c r="K58" s="14">
        <f t="shared" si="1"/>
        <v>0</v>
      </c>
      <c r="L58" s="63">
        <v>0</v>
      </c>
      <c r="M58" s="83">
        <v>0</v>
      </c>
      <c r="N58" s="14">
        <f t="shared" si="2"/>
        <v>0</v>
      </c>
      <c r="O58" s="14">
        <f t="shared" si="2"/>
        <v>0</v>
      </c>
      <c r="P58" s="4">
        <f t="shared" si="2"/>
        <v>0</v>
      </c>
      <c r="Q58" s="52"/>
    </row>
    <row r="59" spans="2:17" ht="17.399999999999999" x14ac:dyDescent="0.4">
      <c r="B59" s="82">
        <v>42178</v>
      </c>
      <c r="C59" s="83">
        <v>10550</v>
      </c>
      <c r="D59" s="83">
        <v>10550</v>
      </c>
      <c r="E59" s="83">
        <v>10550</v>
      </c>
      <c r="F59" s="83">
        <v>10550</v>
      </c>
      <c r="G59" s="84">
        <v>0</v>
      </c>
      <c r="H59" s="13">
        <f t="shared" si="0"/>
        <v>0</v>
      </c>
      <c r="I59" s="83">
        <v>0</v>
      </c>
      <c r="J59" s="83">
        <v>0</v>
      </c>
      <c r="K59" s="14">
        <f t="shared" si="1"/>
        <v>0</v>
      </c>
      <c r="L59" s="63">
        <v>0</v>
      </c>
      <c r="M59" s="83">
        <v>0</v>
      </c>
      <c r="N59" s="14">
        <f t="shared" si="2"/>
        <v>0</v>
      </c>
      <c r="O59" s="14">
        <f t="shared" si="2"/>
        <v>0</v>
      </c>
      <c r="P59" s="4">
        <f t="shared" si="2"/>
        <v>0</v>
      </c>
      <c r="Q59" s="52"/>
    </row>
    <row r="60" spans="2:17" ht="17.399999999999999" x14ac:dyDescent="0.4">
      <c r="B60" s="82">
        <v>42179</v>
      </c>
      <c r="C60" s="83">
        <v>10550</v>
      </c>
      <c r="D60" s="83">
        <v>10550</v>
      </c>
      <c r="E60" s="83">
        <v>10550</v>
      </c>
      <c r="F60" s="83">
        <v>10550</v>
      </c>
      <c r="G60" s="84">
        <v>0</v>
      </c>
      <c r="H60" s="13">
        <f t="shared" si="0"/>
        <v>0</v>
      </c>
      <c r="I60" s="83">
        <v>0</v>
      </c>
      <c r="J60" s="83">
        <v>0</v>
      </c>
      <c r="K60" s="14">
        <f t="shared" si="1"/>
        <v>0</v>
      </c>
      <c r="L60" s="63">
        <v>0</v>
      </c>
      <c r="M60" s="83">
        <v>0</v>
      </c>
      <c r="N60" s="14">
        <f t="shared" si="2"/>
        <v>0</v>
      </c>
      <c r="O60" s="14">
        <f t="shared" si="2"/>
        <v>0</v>
      </c>
      <c r="P60" s="4">
        <f t="shared" si="2"/>
        <v>0</v>
      </c>
      <c r="Q60" s="52"/>
    </row>
    <row r="61" spans="2:17" ht="17.399999999999999" x14ac:dyDescent="0.4">
      <c r="B61" s="82">
        <v>42180</v>
      </c>
      <c r="C61" s="83">
        <v>10550</v>
      </c>
      <c r="D61" s="83">
        <v>10550</v>
      </c>
      <c r="E61" s="83">
        <v>10550</v>
      </c>
      <c r="F61" s="83">
        <v>10550</v>
      </c>
      <c r="G61" s="84">
        <v>0</v>
      </c>
      <c r="H61" s="13">
        <f t="shared" si="0"/>
        <v>0</v>
      </c>
      <c r="I61" s="83">
        <v>0</v>
      </c>
      <c r="J61" s="83">
        <v>0</v>
      </c>
      <c r="K61" s="14">
        <f t="shared" si="1"/>
        <v>0</v>
      </c>
      <c r="L61" s="63">
        <v>0</v>
      </c>
      <c r="M61" s="83">
        <v>0</v>
      </c>
      <c r="N61" s="14">
        <f t="shared" si="2"/>
        <v>0</v>
      </c>
      <c r="O61" s="14">
        <f t="shared" si="2"/>
        <v>0</v>
      </c>
      <c r="P61" s="4">
        <f t="shared" si="2"/>
        <v>0</v>
      </c>
      <c r="Q61" s="52"/>
    </row>
    <row r="62" spans="2:17" ht="17.399999999999999" x14ac:dyDescent="0.4">
      <c r="B62" s="82">
        <v>42181</v>
      </c>
      <c r="C62" s="83">
        <v>10550</v>
      </c>
      <c r="D62" s="83">
        <v>10550</v>
      </c>
      <c r="E62" s="83">
        <v>10550</v>
      </c>
      <c r="F62" s="83">
        <v>10550</v>
      </c>
      <c r="G62" s="84">
        <v>0</v>
      </c>
      <c r="H62" s="13">
        <f t="shared" si="0"/>
        <v>0</v>
      </c>
      <c r="I62" s="83">
        <v>0</v>
      </c>
      <c r="J62" s="83">
        <v>0</v>
      </c>
      <c r="K62" s="14">
        <f t="shared" si="1"/>
        <v>0</v>
      </c>
      <c r="L62" s="63">
        <v>0</v>
      </c>
      <c r="M62" s="83">
        <v>0</v>
      </c>
      <c r="N62" s="14">
        <f t="shared" si="2"/>
        <v>0</v>
      </c>
      <c r="O62" s="14">
        <f t="shared" si="2"/>
        <v>0</v>
      </c>
      <c r="P62" s="4">
        <f t="shared" si="2"/>
        <v>0</v>
      </c>
      <c r="Q62" s="52"/>
    </row>
    <row r="63" spans="2:17" ht="17.399999999999999" x14ac:dyDescent="0.4">
      <c r="B63" s="82">
        <v>42184</v>
      </c>
      <c r="C63" s="83">
        <v>10550</v>
      </c>
      <c r="D63" s="83">
        <v>10550</v>
      </c>
      <c r="E63" s="83">
        <v>10550</v>
      </c>
      <c r="F63" s="83">
        <v>10550</v>
      </c>
      <c r="G63" s="84">
        <v>0</v>
      </c>
      <c r="H63" s="13">
        <f t="shared" si="0"/>
        <v>0</v>
      </c>
      <c r="I63" s="83">
        <v>0</v>
      </c>
      <c r="J63" s="83">
        <v>0</v>
      </c>
      <c r="K63" s="14">
        <f t="shared" si="1"/>
        <v>0</v>
      </c>
      <c r="L63" s="63">
        <v>0</v>
      </c>
      <c r="M63" s="83">
        <v>0</v>
      </c>
      <c r="N63" s="14">
        <f t="shared" si="2"/>
        <v>0</v>
      </c>
      <c r="O63" s="14">
        <f t="shared" si="2"/>
        <v>0</v>
      </c>
      <c r="P63" s="4">
        <f t="shared" si="2"/>
        <v>0</v>
      </c>
      <c r="Q63" s="52"/>
    </row>
    <row r="64" spans="2:17" ht="17.399999999999999" x14ac:dyDescent="0.4">
      <c r="B64" s="82">
        <v>42185</v>
      </c>
      <c r="C64" s="83">
        <v>10550</v>
      </c>
      <c r="D64" s="83">
        <v>10550</v>
      </c>
      <c r="E64" s="83">
        <v>10550</v>
      </c>
      <c r="F64" s="83">
        <v>10550</v>
      </c>
      <c r="G64" s="84">
        <v>0</v>
      </c>
      <c r="H64" s="13">
        <f t="shared" si="0"/>
        <v>0</v>
      </c>
      <c r="I64" s="83">
        <v>0</v>
      </c>
      <c r="J64" s="83">
        <v>0</v>
      </c>
      <c r="K64" s="14">
        <f t="shared" si="1"/>
        <v>0</v>
      </c>
      <c r="L64" s="63">
        <v>0</v>
      </c>
      <c r="M64" s="83">
        <v>0</v>
      </c>
      <c r="N64" s="14">
        <f t="shared" si="2"/>
        <v>0</v>
      </c>
      <c r="O64" s="14">
        <f t="shared" si="2"/>
        <v>0</v>
      </c>
      <c r="P64" s="4">
        <f t="shared" si="2"/>
        <v>0</v>
      </c>
      <c r="Q64" s="52"/>
    </row>
    <row r="65" spans="2:17" ht="17.399999999999999" x14ac:dyDescent="0.4">
      <c r="B65" s="82">
        <v>42186</v>
      </c>
      <c r="C65" s="83">
        <v>10550</v>
      </c>
      <c r="D65" s="83">
        <v>10550</v>
      </c>
      <c r="E65" s="83">
        <v>10550</v>
      </c>
      <c r="F65" s="83">
        <v>10550</v>
      </c>
      <c r="G65" s="84">
        <v>0</v>
      </c>
      <c r="H65" s="13">
        <f t="shared" si="0"/>
        <v>0</v>
      </c>
      <c r="I65" s="83">
        <v>0</v>
      </c>
      <c r="J65" s="83">
        <v>0</v>
      </c>
      <c r="K65" s="14">
        <f t="shared" si="1"/>
        <v>0</v>
      </c>
      <c r="L65" s="63">
        <v>0</v>
      </c>
      <c r="M65" s="83">
        <v>0</v>
      </c>
      <c r="N65" s="14">
        <f t="shared" si="2"/>
        <v>0</v>
      </c>
      <c r="O65" s="14">
        <f t="shared" si="2"/>
        <v>0</v>
      </c>
      <c r="P65" s="4">
        <f t="shared" si="2"/>
        <v>0</v>
      </c>
      <c r="Q65" s="52"/>
    </row>
    <row r="66" spans="2:17" ht="17.399999999999999" x14ac:dyDescent="0.4">
      <c r="B66" s="82">
        <v>42187</v>
      </c>
      <c r="C66" s="83">
        <v>10550</v>
      </c>
      <c r="D66" s="83">
        <v>10550</v>
      </c>
      <c r="E66" s="83">
        <v>10550</v>
      </c>
      <c r="F66" s="83">
        <v>10550</v>
      </c>
      <c r="G66" s="84">
        <v>0</v>
      </c>
      <c r="H66" s="13">
        <f t="shared" si="0"/>
        <v>0</v>
      </c>
      <c r="I66" s="83">
        <v>0</v>
      </c>
      <c r="J66" s="83">
        <v>0</v>
      </c>
      <c r="K66" s="14">
        <f t="shared" si="1"/>
        <v>0</v>
      </c>
      <c r="L66" s="63">
        <v>0</v>
      </c>
      <c r="M66" s="83">
        <v>0</v>
      </c>
      <c r="N66" s="14">
        <f t="shared" si="2"/>
        <v>0</v>
      </c>
      <c r="O66" s="14">
        <f t="shared" si="2"/>
        <v>0</v>
      </c>
      <c r="P66" s="4">
        <f t="shared" si="2"/>
        <v>0</v>
      </c>
      <c r="Q66" s="52"/>
    </row>
    <row r="67" spans="2:17" ht="17.399999999999999" x14ac:dyDescent="0.4">
      <c r="B67" s="82">
        <v>42188</v>
      </c>
      <c r="C67" s="83">
        <v>10550</v>
      </c>
      <c r="D67" s="83">
        <v>10550</v>
      </c>
      <c r="E67" s="83">
        <v>10550</v>
      </c>
      <c r="F67" s="83">
        <v>10550</v>
      </c>
      <c r="G67" s="84">
        <v>0</v>
      </c>
      <c r="H67" s="13">
        <f t="shared" si="0"/>
        <v>0</v>
      </c>
      <c r="I67" s="83">
        <v>0</v>
      </c>
      <c r="J67" s="83">
        <v>0</v>
      </c>
      <c r="K67" s="14">
        <f t="shared" si="1"/>
        <v>0</v>
      </c>
      <c r="L67" s="63">
        <v>0</v>
      </c>
      <c r="M67" s="83">
        <v>0</v>
      </c>
      <c r="N67" s="14">
        <f t="shared" si="2"/>
        <v>0</v>
      </c>
      <c r="O67" s="14">
        <f t="shared" si="2"/>
        <v>0</v>
      </c>
      <c r="P67" s="4">
        <f t="shared" si="2"/>
        <v>0</v>
      </c>
      <c r="Q67" s="52"/>
    </row>
    <row r="68" spans="2:17" ht="17.399999999999999" x14ac:dyDescent="0.4">
      <c r="B68" s="82">
        <v>42191</v>
      </c>
      <c r="C68" s="83">
        <v>10550</v>
      </c>
      <c r="D68" s="83">
        <v>10550</v>
      </c>
      <c r="E68" s="83">
        <v>10550</v>
      </c>
      <c r="F68" s="83">
        <v>10550</v>
      </c>
      <c r="G68" s="84">
        <v>0</v>
      </c>
      <c r="H68" s="13">
        <f t="shared" si="0"/>
        <v>0</v>
      </c>
      <c r="I68" s="83">
        <v>0</v>
      </c>
      <c r="J68" s="83">
        <v>0</v>
      </c>
      <c r="K68" s="14">
        <f t="shared" si="1"/>
        <v>0</v>
      </c>
      <c r="L68" s="63">
        <v>0</v>
      </c>
      <c r="M68" s="83">
        <v>0</v>
      </c>
      <c r="N68" s="14">
        <f t="shared" si="2"/>
        <v>0</v>
      </c>
      <c r="O68" s="14">
        <f t="shared" si="2"/>
        <v>0</v>
      </c>
      <c r="P68" s="4">
        <f t="shared" si="2"/>
        <v>0</v>
      </c>
      <c r="Q68" s="52"/>
    </row>
    <row r="69" spans="2:17" ht="17.399999999999999" x14ac:dyDescent="0.4">
      <c r="B69" s="82">
        <v>42192</v>
      </c>
      <c r="C69" s="83">
        <v>10550</v>
      </c>
      <c r="D69" s="83">
        <v>10550</v>
      </c>
      <c r="E69" s="83">
        <v>10550</v>
      </c>
      <c r="F69" s="83">
        <v>10550</v>
      </c>
      <c r="G69" s="84">
        <v>0</v>
      </c>
      <c r="H69" s="13">
        <f t="shared" si="0"/>
        <v>0</v>
      </c>
      <c r="I69" s="83">
        <v>0</v>
      </c>
      <c r="J69" s="83">
        <v>0</v>
      </c>
      <c r="K69" s="14">
        <f t="shared" si="1"/>
        <v>0</v>
      </c>
      <c r="L69" s="63">
        <v>0</v>
      </c>
      <c r="M69" s="83">
        <v>0</v>
      </c>
      <c r="N69" s="14">
        <f t="shared" si="2"/>
        <v>0</v>
      </c>
      <c r="O69" s="14">
        <f t="shared" si="2"/>
        <v>0</v>
      </c>
      <c r="P69" s="4">
        <f t="shared" si="2"/>
        <v>0</v>
      </c>
      <c r="Q69" s="52"/>
    </row>
    <row r="70" spans="2:17" ht="17.399999999999999" x14ac:dyDescent="0.4">
      <c r="B70" s="82">
        <v>42193</v>
      </c>
      <c r="C70" s="83">
        <v>10550</v>
      </c>
      <c r="D70" s="83">
        <v>10550</v>
      </c>
      <c r="E70" s="83">
        <v>10550</v>
      </c>
      <c r="F70" s="83">
        <v>10550</v>
      </c>
      <c r="G70" s="84">
        <v>0</v>
      </c>
      <c r="H70" s="13">
        <f t="shared" si="0"/>
        <v>0</v>
      </c>
      <c r="I70" s="83">
        <v>0</v>
      </c>
      <c r="J70" s="83">
        <v>0</v>
      </c>
      <c r="K70" s="14">
        <f t="shared" si="1"/>
        <v>0</v>
      </c>
      <c r="L70" s="63">
        <v>0</v>
      </c>
      <c r="M70" s="83">
        <v>0</v>
      </c>
      <c r="N70" s="14">
        <f t="shared" si="2"/>
        <v>0</v>
      </c>
      <c r="O70" s="14">
        <f t="shared" si="2"/>
        <v>0</v>
      </c>
      <c r="P70" s="4">
        <f t="shared" si="2"/>
        <v>0</v>
      </c>
      <c r="Q70" s="52"/>
    </row>
    <row r="71" spans="2:17" ht="17.399999999999999" x14ac:dyDescent="0.4">
      <c r="B71" s="82">
        <v>42194</v>
      </c>
      <c r="C71" s="83">
        <v>10550</v>
      </c>
      <c r="D71" s="83">
        <v>10550</v>
      </c>
      <c r="E71" s="83">
        <v>10550</v>
      </c>
      <c r="F71" s="83">
        <v>10550</v>
      </c>
      <c r="G71" s="84">
        <v>0</v>
      </c>
      <c r="H71" s="13">
        <f t="shared" ref="H71:H134" si="3">J71-I71</f>
        <v>0</v>
      </c>
      <c r="I71" s="83">
        <v>0</v>
      </c>
      <c r="J71" s="83">
        <v>0</v>
      </c>
      <c r="K71" s="14">
        <f t="shared" ref="K71:K134" si="4">M71-L71</f>
        <v>0</v>
      </c>
      <c r="L71" s="63">
        <v>0</v>
      </c>
      <c r="M71" s="83">
        <v>0</v>
      </c>
      <c r="N71" s="14">
        <f t="shared" ref="N71:P134" si="5">IFERROR(K71/H71,0)</f>
        <v>0</v>
      </c>
      <c r="O71" s="14">
        <f t="shared" si="5"/>
        <v>0</v>
      </c>
      <c r="P71" s="4">
        <f t="shared" si="5"/>
        <v>0</v>
      </c>
      <c r="Q71" s="52"/>
    </row>
    <row r="72" spans="2:17" ht="17.399999999999999" x14ac:dyDescent="0.4">
      <c r="B72" s="82">
        <v>42195</v>
      </c>
      <c r="C72" s="83">
        <v>10550</v>
      </c>
      <c r="D72" s="83">
        <v>10550</v>
      </c>
      <c r="E72" s="83">
        <v>10550</v>
      </c>
      <c r="F72" s="83">
        <v>10550</v>
      </c>
      <c r="G72" s="84">
        <v>0</v>
      </c>
      <c r="H72" s="13">
        <f t="shared" si="3"/>
        <v>0</v>
      </c>
      <c r="I72" s="83">
        <v>0</v>
      </c>
      <c r="J72" s="83">
        <v>0</v>
      </c>
      <c r="K72" s="14">
        <f t="shared" si="4"/>
        <v>0</v>
      </c>
      <c r="L72" s="63">
        <v>0</v>
      </c>
      <c r="M72" s="83">
        <v>0</v>
      </c>
      <c r="N72" s="14">
        <f t="shared" si="5"/>
        <v>0</v>
      </c>
      <c r="O72" s="14">
        <f t="shared" si="5"/>
        <v>0</v>
      </c>
      <c r="P72" s="4">
        <f t="shared" si="5"/>
        <v>0</v>
      </c>
      <c r="Q72" s="52"/>
    </row>
    <row r="73" spans="2:17" ht="17.399999999999999" x14ac:dyDescent="0.4">
      <c r="B73" s="82">
        <v>42198</v>
      </c>
      <c r="C73" s="83">
        <v>10550</v>
      </c>
      <c r="D73" s="83">
        <v>10550</v>
      </c>
      <c r="E73" s="83">
        <v>10550</v>
      </c>
      <c r="F73" s="83">
        <v>10550</v>
      </c>
      <c r="G73" s="84">
        <v>0</v>
      </c>
      <c r="H73" s="13">
        <f t="shared" si="3"/>
        <v>0</v>
      </c>
      <c r="I73" s="83">
        <v>0</v>
      </c>
      <c r="J73" s="83">
        <v>0</v>
      </c>
      <c r="K73" s="14">
        <f t="shared" si="4"/>
        <v>0</v>
      </c>
      <c r="L73" s="63">
        <v>0</v>
      </c>
      <c r="M73" s="83">
        <v>0</v>
      </c>
      <c r="N73" s="14">
        <f t="shared" si="5"/>
        <v>0</v>
      </c>
      <c r="O73" s="14">
        <f t="shared" si="5"/>
        <v>0</v>
      </c>
      <c r="P73" s="4">
        <f t="shared" si="5"/>
        <v>0</v>
      </c>
      <c r="Q73" s="52"/>
    </row>
    <row r="74" spans="2:17" ht="17.399999999999999" x14ac:dyDescent="0.4">
      <c r="B74" s="82">
        <v>42199</v>
      </c>
      <c r="C74" s="83">
        <v>10550</v>
      </c>
      <c r="D74" s="83">
        <v>10550</v>
      </c>
      <c r="E74" s="83">
        <v>10550</v>
      </c>
      <c r="F74" s="83">
        <v>10550</v>
      </c>
      <c r="G74" s="84">
        <v>0</v>
      </c>
      <c r="H74" s="13">
        <f t="shared" si="3"/>
        <v>0</v>
      </c>
      <c r="I74" s="83">
        <v>0</v>
      </c>
      <c r="J74" s="83">
        <v>0</v>
      </c>
      <c r="K74" s="14">
        <f t="shared" si="4"/>
        <v>0</v>
      </c>
      <c r="L74" s="63">
        <v>0</v>
      </c>
      <c r="M74" s="83">
        <v>0</v>
      </c>
      <c r="N74" s="14">
        <f t="shared" si="5"/>
        <v>0</v>
      </c>
      <c r="O74" s="14">
        <f t="shared" si="5"/>
        <v>0</v>
      </c>
      <c r="P74" s="4">
        <f t="shared" si="5"/>
        <v>0</v>
      </c>
      <c r="Q74" s="52"/>
    </row>
    <row r="75" spans="2:17" ht="17.399999999999999" x14ac:dyDescent="0.4">
      <c r="B75" s="82">
        <v>42200</v>
      </c>
      <c r="C75" s="83">
        <v>10550</v>
      </c>
      <c r="D75" s="83">
        <v>10550</v>
      </c>
      <c r="E75" s="83">
        <v>10550</v>
      </c>
      <c r="F75" s="83">
        <v>10550</v>
      </c>
      <c r="G75" s="84">
        <v>0</v>
      </c>
      <c r="H75" s="13">
        <f t="shared" si="3"/>
        <v>0</v>
      </c>
      <c r="I75" s="83">
        <v>0</v>
      </c>
      <c r="J75" s="83">
        <v>0</v>
      </c>
      <c r="K75" s="14">
        <f t="shared" si="4"/>
        <v>0</v>
      </c>
      <c r="L75" s="63">
        <v>0</v>
      </c>
      <c r="M75" s="83">
        <v>0</v>
      </c>
      <c r="N75" s="14">
        <f t="shared" si="5"/>
        <v>0</v>
      </c>
      <c r="O75" s="14">
        <f t="shared" si="5"/>
        <v>0</v>
      </c>
      <c r="P75" s="4">
        <f t="shared" si="5"/>
        <v>0</v>
      </c>
      <c r="Q75" s="52"/>
    </row>
    <row r="76" spans="2:17" ht="17.399999999999999" x14ac:dyDescent="0.4">
      <c r="B76" s="82">
        <v>42201</v>
      </c>
      <c r="C76" s="83">
        <v>10550</v>
      </c>
      <c r="D76" s="83">
        <v>10550</v>
      </c>
      <c r="E76" s="83">
        <v>10550</v>
      </c>
      <c r="F76" s="83">
        <v>10550</v>
      </c>
      <c r="G76" s="84">
        <v>0</v>
      </c>
      <c r="H76" s="13">
        <f t="shared" si="3"/>
        <v>0</v>
      </c>
      <c r="I76" s="83">
        <v>0</v>
      </c>
      <c r="J76" s="83">
        <v>0</v>
      </c>
      <c r="K76" s="14">
        <f t="shared" si="4"/>
        <v>0</v>
      </c>
      <c r="L76" s="63">
        <v>0</v>
      </c>
      <c r="M76" s="83">
        <v>0</v>
      </c>
      <c r="N76" s="14">
        <f t="shared" si="5"/>
        <v>0</v>
      </c>
      <c r="O76" s="14">
        <f t="shared" si="5"/>
        <v>0</v>
      </c>
      <c r="P76" s="4">
        <f t="shared" si="5"/>
        <v>0</v>
      </c>
      <c r="Q76" s="52"/>
    </row>
    <row r="77" spans="2:17" ht="17.399999999999999" x14ac:dyDescent="0.4">
      <c r="B77" s="82">
        <v>42202</v>
      </c>
      <c r="C77" s="83">
        <v>10550</v>
      </c>
      <c r="D77" s="83">
        <v>10550</v>
      </c>
      <c r="E77" s="83">
        <v>10550</v>
      </c>
      <c r="F77" s="83">
        <v>10550</v>
      </c>
      <c r="G77" s="84">
        <v>0</v>
      </c>
      <c r="H77" s="13">
        <f t="shared" si="3"/>
        <v>0</v>
      </c>
      <c r="I77" s="83">
        <v>0</v>
      </c>
      <c r="J77" s="83">
        <v>0</v>
      </c>
      <c r="K77" s="14">
        <f t="shared" si="4"/>
        <v>0</v>
      </c>
      <c r="L77" s="63">
        <v>0</v>
      </c>
      <c r="M77" s="83">
        <v>0</v>
      </c>
      <c r="N77" s="14">
        <f t="shared" si="5"/>
        <v>0</v>
      </c>
      <c r="O77" s="14">
        <f t="shared" si="5"/>
        <v>0</v>
      </c>
      <c r="P77" s="4">
        <f t="shared" si="5"/>
        <v>0</v>
      </c>
      <c r="Q77" s="52"/>
    </row>
    <row r="78" spans="2:17" ht="17.399999999999999" x14ac:dyDescent="0.4">
      <c r="B78" s="82">
        <v>42205</v>
      </c>
      <c r="C78" s="83">
        <v>10550</v>
      </c>
      <c r="D78" s="83">
        <v>10550</v>
      </c>
      <c r="E78" s="83">
        <v>10550</v>
      </c>
      <c r="F78" s="83">
        <v>10550</v>
      </c>
      <c r="G78" s="84">
        <v>0</v>
      </c>
      <c r="H78" s="13">
        <f t="shared" si="3"/>
        <v>0</v>
      </c>
      <c r="I78" s="83">
        <v>0</v>
      </c>
      <c r="J78" s="83">
        <v>0</v>
      </c>
      <c r="K78" s="14">
        <f t="shared" si="4"/>
        <v>0</v>
      </c>
      <c r="L78" s="63">
        <v>0</v>
      </c>
      <c r="M78" s="83">
        <v>0</v>
      </c>
      <c r="N78" s="14">
        <f t="shared" si="5"/>
        <v>0</v>
      </c>
      <c r="O78" s="14">
        <f t="shared" si="5"/>
        <v>0</v>
      </c>
      <c r="P78" s="4">
        <f t="shared" si="5"/>
        <v>0</v>
      </c>
      <c r="Q78" s="52"/>
    </row>
    <row r="79" spans="2:17" ht="17.399999999999999" x14ac:dyDescent="0.4">
      <c r="B79" s="82">
        <v>42206</v>
      </c>
      <c r="C79" s="83">
        <v>10550</v>
      </c>
      <c r="D79" s="83">
        <v>10550</v>
      </c>
      <c r="E79" s="83">
        <v>10550</v>
      </c>
      <c r="F79" s="83">
        <v>10550</v>
      </c>
      <c r="G79" s="84">
        <v>0</v>
      </c>
      <c r="H79" s="13">
        <f t="shared" si="3"/>
        <v>0</v>
      </c>
      <c r="I79" s="83">
        <v>0</v>
      </c>
      <c r="J79" s="83">
        <v>0</v>
      </c>
      <c r="K79" s="14">
        <f t="shared" si="4"/>
        <v>0</v>
      </c>
      <c r="L79" s="63">
        <v>0</v>
      </c>
      <c r="M79" s="83">
        <v>0</v>
      </c>
      <c r="N79" s="14">
        <f t="shared" si="5"/>
        <v>0</v>
      </c>
      <c r="O79" s="14">
        <f t="shared" si="5"/>
        <v>0</v>
      </c>
      <c r="P79" s="4">
        <f t="shared" si="5"/>
        <v>0</v>
      </c>
      <c r="Q79" s="52"/>
    </row>
    <row r="80" spans="2:17" ht="17.399999999999999" x14ac:dyDescent="0.4">
      <c r="B80" s="82">
        <v>42207</v>
      </c>
      <c r="C80" s="83">
        <v>10550</v>
      </c>
      <c r="D80" s="83">
        <v>10550</v>
      </c>
      <c r="E80" s="83">
        <v>10550</v>
      </c>
      <c r="F80" s="83">
        <v>10550</v>
      </c>
      <c r="G80" s="84">
        <v>0</v>
      </c>
      <c r="H80" s="13">
        <f t="shared" si="3"/>
        <v>0</v>
      </c>
      <c r="I80" s="83">
        <v>0</v>
      </c>
      <c r="J80" s="83">
        <v>0</v>
      </c>
      <c r="K80" s="14">
        <f t="shared" si="4"/>
        <v>0</v>
      </c>
      <c r="L80" s="63">
        <v>0</v>
      </c>
      <c r="M80" s="83">
        <v>0</v>
      </c>
      <c r="N80" s="14">
        <f t="shared" si="5"/>
        <v>0</v>
      </c>
      <c r="O80" s="14">
        <f t="shared" si="5"/>
        <v>0</v>
      </c>
      <c r="P80" s="4">
        <f t="shared" si="5"/>
        <v>0</v>
      </c>
      <c r="Q80" s="52"/>
    </row>
    <row r="81" spans="2:17" ht="17.399999999999999" x14ac:dyDescent="0.4">
      <c r="B81" s="82">
        <v>42208</v>
      </c>
      <c r="C81" s="83">
        <v>10550</v>
      </c>
      <c r="D81" s="83">
        <v>10550</v>
      </c>
      <c r="E81" s="83">
        <v>10550</v>
      </c>
      <c r="F81" s="83">
        <v>10550</v>
      </c>
      <c r="G81" s="84">
        <v>0</v>
      </c>
      <c r="H81" s="13">
        <f t="shared" si="3"/>
        <v>0</v>
      </c>
      <c r="I81" s="83">
        <v>0</v>
      </c>
      <c r="J81" s="83">
        <v>0</v>
      </c>
      <c r="K81" s="14">
        <f t="shared" si="4"/>
        <v>0</v>
      </c>
      <c r="L81" s="63">
        <v>0</v>
      </c>
      <c r="M81" s="83">
        <v>0</v>
      </c>
      <c r="N81" s="14">
        <f t="shared" si="5"/>
        <v>0</v>
      </c>
      <c r="O81" s="14">
        <f t="shared" si="5"/>
        <v>0</v>
      </c>
      <c r="P81" s="4">
        <f t="shared" si="5"/>
        <v>0</v>
      </c>
      <c r="Q81" s="52"/>
    </row>
    <row r="82" spans="2:17" ht="17.399999999999999" x14ac:dyDescent="0.4">
      <c r="B82" s="82">
        <v>42209</v>
      </c>
      <c r="C82" s="83">
        <v>10550</v>
      </c>
      <c r="D82" s="83">
        <v>10550</v>
      </c>
      <c r="E82" s="83">
        <v>10550</v>
      </c>
      <c r="F82" s="83">
        <v>10550</v>
      </c>
      <c r="G82" s="84">
        <v>0</v>
      </c>
      <c r="H82" s="13">
        <f t="shared" si="3"/>
        <v>0</v>
      </c>
      <c r="I82" s="83">
        <v>0</v>
      </c>
      <c r="J82" s="83">
        <v>0</v>
      </c>
      <c r="K82" s="14">
        <f t="shared" si="4"/>
        <v>0</v>
      </c>
      <c r="L82" s="63">
        <v>0</v>
      </c>
      <c r="M82" s="83">
        <v>0</v>
      </c>
      <c r="N82" s="14">
        <f t="shared" si="5"/>
        <v>0</v>
      </c>
      <c r="O82" s="14">
        <f t="shared" si="5"/>
        <v>0</v>
      </c>
      <c r="P82" s="4">
        <f t="shared" si="5"/>
        <v>0</v>
      </c>
      <c r="Q82" s="52"/>
    </row>
    <row r="83" spans="2:17" ht="17.399999999999999" x14ac:dyDescent="0.4">
      <c r="B83" s="82">
        <v>42212</v>
      </c>
      <c r="C83" s="83">
        <v>10550</v>
      </c>
      <c r="D83" s="83">
        <v>10550</v>
      </c>
      <c r="E83" s="83">
        <v>10550</v>
      </c>
      <c r="F83" s="83">
        <v>10550</v>
      </c>
      <c r="G83" s="84">
        <v>0</v>
      </c>
      <c r="H83" s="13">
        <f t="shared" si="3"/>
        <v>0</v>
      </c>
      <c r="I83" s="83">
        <v>0</v>
      </c>
      <c r="J83" s="83">
        <v>0</v>
      </c>
      <c r="K83" s="14">
        <f t="shared" si="4"/>
        <v>0</v>
      </c>
      <c r="L83" s="63">
        <v>0</v>
      </c>
      <c r="M83" s="83">
        <v>0</v>
      </c>
      <c r="N83" s="14">
        <f t="shared" si="5"/>
        <v>0</v>
      </c>
      <c r="O83" s="14">
        <f t="shared" si="5"/>
        <v>0</v>
      </c>
      <c r="P83" s="4">
        <f t="shared" si="5"/>
        <v>0</v>
      </c>
      <c r="Q83" s="52"/>
    </row>
    <row r="84" spans="2:17" ht="17.399999999999999" x14ac:dyDescent="0.4">
      <c r="B84" s="82">
        <v>42213</v>
      </c>
      <c r="C84" s="83">
        <v>10550</v>
      </c>
      <c r="D84" s="83">
        <v>10550</v>
      </c>
      <c r="E84" s="83">
        <v>10550</v>
      </c>
      <c r="F84" s="83">
        <v>10550</v>
      </c>
      <c r="G84" s="84">
        <v>0</v>
      </c>
      <c r="H84" s="13">
        <f t="shared" si="3"/>
        <v>0</v>
      </c>
      <c r="I84" s="83">
        <v>0</v>
      </c>
      <c r="J84" s="83">
        <v>0</v>
      </c>
      <c r="K84" s="14">
        <f t="shared" si="4"/>
        <v>0</v>
      </c>
      <c r="L84" s="63">
        <v>0</v>
      </c>
      <c r="M84" s="83">
        <v>0</v>
      </c>
      <c r="N84" s="14">
        <f t="shared" si="5"/>
        <v>0</v>
      </c>
      <c r="O84" s="14">
        <f t="shared" si="5"/>
        <v>0</v>
      </c>
      <c r="P84" s="4">
        <f t="shared" si="5"/>
        <v>0</v>
      </c>
      <c r="Q84" s="52"/>
    </row>
    <row r="85" spans="2:17" ht="17.399999999999999" x14ac:dyDescent="0.4">
      <c r="B85" s="82">
        <v>42214</v>
      </c>
      <c r="C85" s="83">
        <v>10550</v>
      </c>
      <c r="D85" s="83">
        <v>10550</v>
      </c>
      <c r="E85" s="83">
        <v>10550</v>
      </c>
      <c r="F85" s="83">
        <v>10550</v>
      </c>
      <c r="G85" s="84">
        <v>0</v>
      </c>
      <c r="H85" s="13">
        <f t="shared" si="3"/>
        <v>0</v>
      </c>
      <c r="I85" s="83">
        <v>0</v>
      </c>
      <c r="J85" s="83">
        <v>0</v>
      </c>
      <c r="K85" s="14">
        <f t="shared" si="4"/>
        <v>0</v>
      </c>
      <c r="L85" s="63">
        <v>0</v>
      </c>
      <c r="M85" s="83">
        <v>0</v>
      </c>
      <c r="N85" s="14">
        <f t="shared" si="5"/>
        <v>0</v>
      </c>
      <c r="O85" s="14">
        <f t="shared" si="5"/>
        <v>0</v>
      </c>
      <c r="P85" s="4">
        <f t="shared" si="5"/>
        <v>0</v>
      </c>
      <c r="Q85" s="52"/>
    </row>
    <row r="86" spans="2:17" ht="15.6" customHeight="1" x14ac:dyDescent="0.4">
      <c r="B86" s="82">
        <v>42215</v>
      </c>
      <c r="C86" s="83">
        <v>10550</v>
      </c>
      <c r="D86" s="83">
        <v>10550</v>
      </c>
      <c r="E86" s="83">
        <v>10550</v>
      </c>
      <c r="F86" s="83">
        <v>10550</v>
      </c>
      <c r="G86" s="84">
        <v>0</v>
      </c>
      <c r="H86" s="13">
        <f t="shared" si="3"/>
        <v>0</v>
      </c>
      <c r="I86" s="83">
        <v>0</v>
      </c>
      <c r="J86" s="83">
        <v>0</v>
      </c>
      <c r="K86" s="14">
        <f t="shared" si="4"/>
        <v>0</v>
      </c>
      <c r="L86" s="63">
        <v>0</v>
      </c>
      <c r="M86" s="83">
        <v>0</v>
      </c>
      <c r="N86" s="14">
        <f t="shared" si="5"/>
        <v>0</v>
      </c>
      <c r="O86" s="14">
        <f t="shared" si="5"/>
        <v>0</v>
      </c>
      <c r="P86" s="4">
        <f t="shared" si="5"/>
        <v>0</v>
      </c>
      <c r="Q86" s="52"/>
    </row>
    <row r="87" spans="2:17" ht="15.6" customHeight="1" x14ac:dyDescent="0.4">
      <c r="B87" s="82">
        <v>42216</v>
      </c>
      <c r="C87" s="83">
        <v>10550</v>
      </c>
      <c r="D87" s="83">
        <v>10550</v>
      </c>
      <c r="E87" s="83">
        <v>10550</v>
      </c>
      <c r="F87" s="83">
        <v>10550</v>
      </c>
      <c r="G87" s="84">
        <v>0</v>
      </c>
      <c r="H87" s="13">
        <f t="shared" si="3"/>
        <v>0</v>
      </c>
      <c r="I87" s="83">
        <v>0</v>
      </c>
      <c r="J87" s="83">
        <v>0</v>
      </c>
      <c r="K87" s="14">
        <f t="shared" si="4"/>
        <v>0</v>
      </c>
      <c r="L87" s="63">
        <v>0</v>
      </c>
      <c r="M87" s="83">
        <v>0</v>
      </c>
      <c r="N87" s="14">
        <f t="shared" si="5"/>
        <v>0</v>
      </c>
      <c r="O87" s="14">
        <f t="shared" si="5"/>
        <v>0</v>
      </c>
      <c r="P87" s="4">
        <f t="shared" si="5"/>
        <v>0</v>
      </c>
      <c r="Q87" s="52"/>
    </row>
    <row r="88" spans="2:17" ht="15.6" customHeight="1" x14ac:dyDescent="0.4">
      <c r="B88" s="82">
        <v>42219</v>
      </c>
      <c r="C88" s="83">
        <v>10550</v>
      </c>
      <c r="D88" s="83">
        <v>10550</v>
      </c>
      <c r="E88" s="83">
        <v>10550</v>
      </c>
      <c r="F88" s="83">
        <v>10550</v>
      </c>
      <c r="G88" s="84">
        <v>0</v>
      </c>
      <c r="H88" s="13">
        <f t="shared" si="3"/>
        <v>0</v>
      </c>
      <c r="I88" s="83">
        <v>0</v>
      </c>
      <c r="J88" s="83">
        <v>0</v>
      </c>
      <c r="K88" s="14">
        <f t="shared" si="4"/>
        <v>0</v>
      </c>
      <c r="L88" s="63">
        <v>0</v>
      </c>
      <c r="M88" s="83">
        <v>0</v>
      </c>
      <c r="N88" s="14">
        <f t="shared" si="5"/>
        <v>0</v>
      </c>
      <c r="O88" s="14">
        <f t="shared" si="5"/>
        <v>0</v>
      </c>
      <c r="P88" s="4">
        <f t="shared" si="5"/>
        <v>0</v>
      </c>
      <c r="Q88" s="52"/>
    </row>
    <row r="89" spans="2:17" ht="15.6" customHeight="1" x14ac:dyDescent="0.4">
      <c r="B89" s="82">
        <v>42220</v>
      </c>
      <c r="C89" s="83">
        <v>10550</v>
      </c>
      <c r="D89" s="83">
        <v>10550</v>
      </c>
      <c r="E89" s="83">
        <v>10550</v>
      </c>
      <c r="F89" s="83">
        <v>10550</v>
      </c>
      <c r="G89" s="84">
        <v>0</v>
      </c>
      <c r="H89" s="13">
        <f t="shared" si="3"/>
        <v>0</v>
      </c>
      <c r="I89" s="83">
        <v>0</v>
      </c>
      <c r="J89" s="83">
        <v>0</v>
      </c>
      <c r="K89" s="14">
        <f t="shared" si="4"/>
        <v>0</v>
      </c>
      <c r="L89" s="63">
        <v>0</v>
      </c>
      <c r="M89" s="83">
        <v>0</v>
      </c>
      <c r="N89" s="14">
        <f t="shared" si="5"/>
        <v>0</v>
      </c>
      <c r="O89" s="14">
        <f t="shared" si="5"/>
        <v>0</v>
      </c>
      <c r="P89" s="4">
        <f t="shared" si="5"/>
        <v>0</v>
      </c>
      <c r="Q89" s="52"/>
    </row>
    <row r="90" spans="2:17" ht="15.6" customHeight="1" x14ac:dyDescent="0.4">
      <c r="B90" s="82">
        <v>42221</v>
      </c>
      <c r="C90" s="83">
        <v>10550</v>
      </c>
      <c r="D90" s="83">
        <v>10550</v>
      </c>
      <c r="E90" s="83">
        <v>10550</v>
      </c>
      <c r="F90" s="83">
        <v>10550</v>
      </c>
      <c r="G90" s="84">
        <v>0</v>
      </c>
      <c r="H90" s="13">
        <f t="shared" si="3"/>
        <v>0</v>
      </c>
      <c r="I90" s="83">
        <v>0</v>
      </c>
      <c r="J90" s="83">
        <v>0</v>
      </c>
      <c r="K90" s="14">
        <f t="shared" si="4"/>
        <v>0</v>
      </c>
      <c r="L90" s="63">
        <v>0</v>
      </c>
      <c r="M90" s="83">
        <v>0</v>
      </c>
      <c r="N90" s="14">
        <f t="shared" si="5"/>
        <v>0</v>
      </c>
      <c r="O90" s="14">
        <f t="shared" si="5"/>
        <v>0</v>
      </c>
      <c r="P90" s="4">
        <f t="shared" si="5"/>
        <v>0</v>
      </c>
      <c r="Q90" s="52"/>
    </row>
    <row r="91" spans="2:17" ht="17.399999999999999" x14ac:dyDescent="0.4">
      <c r="B91" s="82">
        <v>42222</v>
      </c>
      <c r="C91" s="83">
        <v>10550</v>
      </c>
      <c r="D91" s="83">
        <v>10550</v>
      </c>
      <c r="E91" s="83">
        <v>10550</v>
      </c>
      <c r="F91" s="83">
        <v>10550</v>
      </c>
      <c r="G91" s="84">
        <v>0</v>
      </c>
      <c r="H91" s="13">
        <f t="shared" si="3"/>
        <v>0</v>
      </c>
      <c r="I91" s="83">
        <v>0</v>
      </c>
      <c r="J91" s="83">
        <v>0</v>
      </c>
      <c r="K91" s="14">
        <f t="shared" si="4"/>
        <v>0</v>
      </c>
      <c r="L91" s="63">
        <v>0</v>
      </c>
      <c r="M91" s="83">
        <v>0</v>
      </c>
      <c r="N91" s="14">
        <f t="shared" si="5"/>
        <v>0</v>
      </c>
      <c r="O91" s="14">
        <f t="shared" si="5"/>
        <v>0</v>
      </c>
      <c r="P91" s="4">
        <f t="shared" si="5"/>
        <v>0</v>
      </c>
      <c r="Q91" s="52"/>
    </row>
    <row r="92" spans="2:17" ht="17.399999999999999" x14ac:dyDescent="0.4">
      <c r="B92" s="82">
        <v>42223</v>
      </c>
      <c r="C92" s="83">
        <v>10550</v>
      </c>
      <c r="D92" s="83">
        <v>10550</v>
      </c>
      <c r="E92" s="83">
        <v>10550</v>
      </c>
      <c r="F92" s="83">
        <v>10550</v>
      </c>
      <c r="G92" s="84">
        <v>0</v>
      </c>
      <c r="H92" s="13">
        <f t="shared" si="3"/>
        <v>0</v>
      </c>
      <c r="I92" s="83">
        <v>0</v>
      </c>
      <c r="J92" s="83">
        <v>0</v>
      </c>
      <c r="K92" s="14">
        <f t="shared" si="4"/>
        <v>0</v>
      </c>
      <c r="L92" s="63">
        <v>0</v>
      </c>
      <c r="M92" s="83">
        <v>0</v>
      </c>
      <c r="N92" s="14">
        <f t="shared" si="5"/>
        <v>0</v>
      </c>
      <c r="O92" s="14">
        <f t="shared" si="5"/>
        <v>0</v>
      </c>
      <c r="P92" s="4">
        <f t="shared" si="5"/>
        <v>0</v>
      </c>
      <c r="Q92" s="52"/>
    </row>
    <row r="93" spans="2:17" ht="17.399999999999999" x14ac:dyDescent="0.4">
      <c r="B93" s="82">
        <v>42226</v>
      </c>
      <c r="C93" s="83">
        <v>10550</v>
      </c>
      <c r="D93" s="83">
        <v>10550</v>
      </c>
      <c r="E93" s="83">
        <v>10550</v>
      </c>
      <c r="F93" s="83">
        <v>10550</v>
      </c>
      <c r="G93" s="84">
        <v>0</v>
      </c>
      <c r="H93" s="13">
        <f t="shared" si="3"/>
        <v>0</v>
      </c>
      <c r="I93" s="83">
        <v>0</v>
      </c>
      <c r="J93" s="83">
        <v>0</v>
      </c>
      <c r="K93" s="14">
        <f t="shared" si="4"/>
        <v>0</v>
      </c>
      <c r="L93" s="63">
        <v>0</v>
      </c>
      <c r="M93" s="83">
        <v>0</v>
      </c>
      <c r="N93" s="14">
        <f t="shared" si="5"/>
        <v>0</v>
      </c>
      <c r="O93" s="14">
        <f t="shared" si="5"/>
        <v>0</v>
      </c>
      <c r="P93" s="4">
        <f t="shared" si="5"/>
        <v>0</v>
      </c>
      <c r="Q93" s="52"/>
    </row>
    <row r="94" spans="2:17" ht="15.6" customHeight="1" x14ac:dyDescent="0.4">
      <c r="B94" s="82">
        <v>42227</v>
      </c>
      <c r="C94" s="83">
        <v>10550</v>
      </c>
      <c r="D94" s="83">
        <v>10550</v>
      </c>
      <c r="E94" s="83">
        <v>10550</v>
      </c>
      <c r="F94" s="83">
        <v>10550</v>
      </c>
      <c r="G94" s="84">
        <v>0</v>
      </c>
      <c r="H94" s="13">
        <f t="shared" si="3"/>
        <v>0</v>
      </c>
      <c r="I94" s="83">
        <v>0</v>
      </c>
      <c r="J94" s="83">
        <v>0</v>
      </c>
      <c r="K94" s="14">
        <f t="shared" si="4"/>
        <v>0</v>
      </c>
      <c r="L94" s="63">
        <v>0</v>
      </c>
      <c r="M94" s="83">
        <v>0</v>
      </c>
      <c r="N94" s="14">
        <f t="shared" si="5"/>
        <v>0</v>
      </c>
      <c r="O94" s="14">
        <f t="shared" si="5"/>
        <v>0</v>
      </c>
      <c r="P94" s="4">
        <f t="shared" si="5"/>
        <v>0</v>
      </c>
      <c r="Q94" s="52"/>
    </row>
    <row r="95" spans="2:17" ht="17.399999999999999" x14ac:dyDescent="0.4">
      <c r="B95" s="82">
        <v>42228</v>
      </c>
      <c r="C95" s="83">
        <v>10550</v>
      </c>
      <c r="D95" s="83">
        <v>10550</v>
      </c>
      <c r="E95" s="83">
        <v>10550</v>
      </c>
      <c r="F95" s="83">
        <v>10550</v>
      </c>
      <c r="G95" s="84">
        <v>0</v>
      </c>
      <c r="H95" s="13">
        <f t="shared" si="3"/>
        <v>0</v>
      </c>
      <c r="I95" s="83">
        <v>0</v>
      </c>
      <c r="J95" s="83">
        <v>0</v>
      </c>
      <c r="K95" s="14">
        <f t="shared" si="4"/>
        <v>0</v>
      </c>
      <c r="L95" s="63">
        <v>0</v>
      </c>
      <c r="M95" s="83">
        <v>0</v>
      </c>
      <c r="N95" s="14">
        <f t="shared" si="5"/>
        <v>0</v>
      </c>
      <c r="O95" s="14">
        <f t="shared" si="5"/>
        <v>0</v>
      </c>
      <c r="P95" s="4">
        <f t="shared" si="5"/>
        <v>0</v>
      </c>
      <c r="Q95" s="52"/>
    </row>
    <row r="96" spans="2:17" ht="17.399999999999999" x14ac:dyDescent="0.4">
      <c r="B96" s="82">
        <v>42229</v>
      </c>
      <c r="C96" s="83">
        <v>10550</v>
      </c>
      <c r="D96" s="83">
        <v>10550</v>
      </c>
      <c r="E96" s="83">
        <v>10550</v>
      </c>
      <c r="F96" s="83">
        <v>10550</v>
      </c>
      <c r="G96" s="84">
        <v>0</v>
      </c>
      <c r="H96" s="13">
        <f t="shared" si="3"/>
        <v>0</v>
      </c>
      <c r="I96" s="83">
        <v>0</v>
      </c>
      <c r="J96" s="83">
        <v>0</v>
      </c>
      <c r="K96" s="14">
        <f t="shared" si="4"/>
        <v>0</v>
      </c>
      <c r="L96" s="63">
        <v>0</v>
      </c>
      <c r="M96" s="83">
        <v>0</v>
      </c>
      <c r="N96" s="14">
        <f t="shared" si="5"/>
        <v>0</v>
      </c>
      <c r="O96" s="14">
        <f t="shared" si="5"/>
        <v>0</v>
      </c>
      <c r="P96" s="4">
        <f t="shared" si="5"/>
        <v>0</v>
      </c>
      <c r="Q96" s="52"/>
    </row>
    <row r="97" spans="2:17" ht="17.399999999999999" x14ac:dyDescent="0.4">
      <c r="B97" s="82">
        <v>42233</v>
      </c>
      <c r="C97" s="83">
        <v>10550</v>
      </c>
      <c r="D97" s="83">
        <v>10550</v>
      </c>
      <c r="E97" s="83">
        <v>10550</v>
      </c>
      <c r="F97" s="83">
        <v>10550</v>
      </c>
      <c r="G97" s="84">
        <v>0</v>
      </c>
      <c r="H97" s="13">
        <f t="shared" si="3"/>
        <v>0</v>
      </c>
      <c r="I97" s="83">
        <v>0</v>
      </c>
      <c r="J97" s="83">
        <v>0</v>
      </c>
      <c r="K97" s="14">
        <f t="shared" si="4"/>
        <v>0</v>
      </c>
      <c r="L97" s="63">
        <v>0</v>
      </c>
      <c r="M97" s="83">
        <v>0</v>
      </c>
      <c r="N97" s="14">
        <f t="shared" si="5"/>
        <v>0</v>
      </c>
      <c r="O97" s="14">
        <f t="shared" si="5"/>
        <v>0</v>
      </c>
      <c r="P97" s="4">
        <f t="shared" si="5"/>
        <v>0</v>
      </c>
      <c r="Q97" s="52"/>
    </row>
    <row r="98" spans="2:17" ht="17.399999999999999" x14ac:dyDescent="0.4">
      <c r="B98" s="82">
        <v>42234</v>
      </c>
      <c r="C98" s="83">
        <v>10550</v>
      </c>
      <c r="D98" s="83">
        <v>10550</v>
      </c>
      <c r="E98" s="83">
        <v>10550</v>
      </c>
      <c r="F98" s="83">
        <v>10550</v>
      </c>
      <c r="G98" s="84">
        <v>0</v>
      </c>
      <c r="H98" s="13">
        <f t="shared" si="3"/>
        <v>0</v>
      </c>
      <c r="I98" s="83">
        <v>0</v>
      </c>
      <c r="J98" s="83">
        <v>0</v>
      </c>
      <c r="K98" s="14">
        <f t="shared" si="4"/>
        <v>0</v>
      </c>
      <c r="L98" s="63">
        <v>0</v>
      </c>
      <c r="M98" s="83">
        <v>0</v>
      </c>
      <c r="N98" s="14">
        <f t="shared" si="5"/>
        <v>0</v>
      </c>
      <c r="O98" s="14">
        <f t="shared" si="5"/>
        <v>0</v>
      </c>
      <c r="P98" s="4">
        <f t="shared" si="5"/>
        <v>0</v>
      </c>
      <c r="Q98" s="52"/>
    </row>
    <row r="99" spans="2:17" ht="17.399999999999999" x14ac:dyDescent="0.4">
      <c r="B99" s="82">
        <v>42235</v>
      </c>
      <c r="C99" s="83">
        <v>10550</v>
      </c>
      <c r="D99" s="83">
        <v>10550</v>
      </c>
      <c r="E99" s="83">
        <v>10550</v>
      </c>
      <c r="F99" s="83">
        <v>10550</v>
      </c>
      <c r="G99" s="84">
        <v>0</v>
      </c>
      <c r="H99" s="13">
        <f t="shared" si="3"/>
        <v>0</v>
      </c>
      <c r="I99" s="83">
        <v>0</v>
      </c>
      <c r="J99" s="83">
        <v>0</v>
      </c>
      <c r="K99" s="14">
        <f t="shared" si="4"/>
        <v>0</v>
      </c>
      <c r="L99" s="63">
        <v>0</v>
      </c>
      <c r="M99" s="83">
        <v>0</v>
      </c>
      <c r="N99" s="14">
        <f t="shared" si="5"/>
        <v>0</v>
      </c>
      <c r="O99" s="14">
        <f t="shared" si="5"/>
        <v>0</v>
      </c>
      <c r="P99" s="4">
        <f t="shared" si="5"/>
        <v>0</v>
      </c>
      <c r="Q99" s="52"/>
    </row>
    <row r="100" spans="2:17" ht="17.399999999999999" x14ac:dyDescent="0.4">
      <c r="B100" s="82">
        <v>42236</v>
      </c>
      <c r="C100" s="83">
        <v>10550</v>
      </c>
      <c r="D100" s="83">
        <v>10550</v>
      </c>
      <c r="E100" s="83">
        <v>10550</v>
      </c>
      <c r="F100" s="83">
        <v>10550</v>
      </c>
      <c r="G100" s="84">
        <v>0</v>
      </c>
      <c r="H100" s="13">
        <f t="shared" si="3"/>
        <v>0</v>
      </c>
      <c r="I100" s="83">
        <v>0</v>
      </c>
      <c r="J100" s="83">
        <v>0</v>
      </c>
      <c r="K100" s="14">
        <f t="shared" si="4"/>
        <v>0</v>
      </c>
      <c r="L100" s="63">
        <v>0</v>
      </c>
      <c r="M100" s="83">
        <v>0</v>
      </c>
      <c r="N100" s="14">
        <f t="shared" si="5"/>
        <v>0</v>
      </c>
      <c r="O100" s="14">
        <f t="shared" si="5"/>
        <v>0</v>
      </c>
      <c r="P100" s="4">
        <f t="shared" si="5"/>
        <v>0</v>
      </c>
      <c r="Q100" s="52"/>
    </row>
    <row r="101" spans="2:17" ht="17.399999999999999" x14ac:dyDescent="0.4">
      <c r="B101" s="82">
        <v>42237</v>
      </c>
      <c r="C101" s="83">
        <v>10550</v>
      </c>
      <c r="D101" s="83">
        <v>10550</v>
      </c>
      <c r="E101" s="83">
        <v>10550</v>
      </c>
      <c r="F101" s="83">
        <v>10550</v>
      </c>
      <c r="G101" s="84">
        <v>0</v>
      </c>
      <c r="H101" s="13">
        <f t="shared" si="3"/>
        <v>0</v>
      </c>
      <c r="I101" s="83">
        <v>0</v>
      </c>
      <c r="J101" s="83">
        <v>0</v>
      </c>
      <c r="K101" s="14">
        <f t="shared" si="4"/>
        <v>0</v>
      </c>
      <c r="L101" s="63">
        <v>0</v>
      </c>
      <c r="M101" s="83">
        <v>0</v>
      </c>
      <c r="N101" s="14">
        <f t="shared" si="5"/>
        <v>0</v>
      </c>
      <c r="O101" s="14">
        <f t="shared" si="5"/>
        <v>0</v>
      </c>
      <c r="P101" s="4">
        <f t="shared" si="5"/>
        <v>0</v>
      </c>
      <c r="Q101" s="52"/>
    </row>
    <row r="102" spans="2:17" ht="17.399999999999999" x14ac:dyDescent="0.4">
      <c r="B102" s="82">
        <v>42240</v>
      </c>
      <c r="C102" s="83">
        <v>10550</v>
      </c>
      <c r="D102" s="83">
        <v>10550</v>
      </c>
      <c r="E102" s="83">
        <v>10550</v>
      </c>
      <c r="F102" s="83">
        <v>10550</v>
      </c>
      <c r="G102" s="84">
        <v>0</v>
      </c>
      <c r="H102" s="13">
        <f t="shared" si="3"/>
        <v>0</v>
      </c>
      <c r="I102" s="83">
        <v>0</v>
      </c>
      <c r="J102" s="83">
        <v>0</v>
      </c>
      <c r="K102" s="14">
        <f t="shared" si="4"/>
        <v>0</v>
      </c>
      <c r="L102" s="63">
        <v>0</v>
      </c>
      <c r="M102" s="83">
        <v>0</v>
      </c>
      <c r="N102" s="14">
        <f t="shared" si="5"/>
        <v>0</v>
      </c>
      <c r="O102" s="14">
        <f t="shared" si="5"/>
        <v>0</v>
      </c>
      <c r="P102" s="4">
        <f t="shared" si="5"/>
        <v>0</v>
      </c>
      <c r="Q102" s="52"/>
    </row>
    <row r="103" spans="2:17" ht="17.399999999999999" x14ac:dyDescent="0.4">
      <c r="B103" s="82">
        <v>42241</v>
      </c>
      <c r="C103" s="83">
        <v>10550</v>
      </c>
      <c r="D103" s="83">
        <v>10550</v>
      </c>
      <c r="E103" s="83">
        <v>10550</v>
      </c>
      <c r="F103" s="83">
        <v>10550</v>
      </c>
      <c r="G103" s="84">
        <v>0</v>
      </c>
      <c r="H103" s="13">
        <f t="shared" si="3"/>
        <v>0</v>
      </c>
      <c r="I103" s="83">
        <v>0</v>
      </c>
      <c r="J103" s="83">
        <v>0</v>
      </c>
      <c r="K103" s="14">
        <f t="shared" si="4"/>
        <v>0</v>
      </c>
      <c r="L103" s="63">
        <v>0</v>
      </c>
      <c r="M103" s="83">
        <v>0</v>
      </c>
      <c r="N103" s="14">
        <f t="shared" si="5"/>
        <v>0</v>
      </c>
      <c r="O103" s="14">
        <f t="shared" si="5"/>
        <v>0</v>
      </c>
      <c r="P103" s="4">
        <f t="shared" si="5"/>
        <v>0</v>
      </c>
      <c r="Q103" s="52"/>
    </row>
    <row r="104" spans="2:17" ht="17.399999999999999" x14ac:dyDescent="0.4">
      <c r="B104" s="82">
        <v>42242</v>
      </c>
      <c r="C104" s="83">
        <v>10550</v>
      </c>
      <c r="D104" s="83">
        <v>10550</v>
      </c>
      <c r="E104" s="83">
        <v>10550</v>
      </c>
      <c r="F104" s="83">
        <v>10550</v>
      </c>
      <c r="G104" s="84">
        <v>0</v>
      </c>
      <c r="H104" s="13">
        <f t="shared" si="3"/>
        <v>0</v>
      </c>
      <c r="I104" s="83">
        <v>0</v>
      </c>
      <c r="J104" s="83">
        <v>0</v>
      </c>
      <c r="K104" s="14">
        <f t="shared" si="4"/>
        <v>0</v>
      </c>
      <c r="L104" s="63">
        <v>0</v>
      </c>
      <c r="M104" s="83">
        <v>0</v>
      </c>
      <c r="N104" s="14">
        <f t="shared" si="5"/>
        <v>0</v>
      </c>
      <c r="O104" s="14">
        <f t="shared" si="5"/>
        <v>0</v>
      </c>
      <c r="P104" s="4">
        <f t="shared" si="5"/>
        <v>0</v>
      </c>
      <c r="Q104" s="52"/>
    </row>
    <row r="105" spans="2:17" ht="17.399999999999999" x14ac:dyDescent="0.4">
      <c r="B105" s="82">
        <v>42243</v>
      </c>
      <c r="C105" s="83">
        <v>10550</v>
      </c>
      <c r="D105" s="83">
        <v>10550</v>
      </c>
      <c r="E105" s="83">
        <v>10550</v>
      </c>
      <c r="F105" s="83">
        <v>10550</v>
      </c>
      <c r="G105" s="84">
        <v>0</v>
      </c>
      <c r="H105" s="13">
        <f t="shared" si="3"/>
        <v>0</v>
      </c>
      <c r="I105" s="83">
        <v>0</v>
      </c>
      <c r="J105" s="83">
        <v>0</v>
      </c>
      <c r="K105" s="14">
        <f t="shared" si="4"/>
        <v>0</v>
      </c>
      <c r="L105" s="63">
        <v>0</v>
      </c>
      <c r="M105" s="83">
        <v>0</v>
      </c>
      <c r="N105" s="14">
        <f t="shared" si="5"/>
        <v>0</v>
      </c>
      <c r="O105" s="14">
        <f t="shared" si="5"/>
        <v>0</v>
      </c>
      <c r="P105" s="4">
        <f t="shared" si="5"/>
        <v>0</v>
      </c>
      <c r="Q105" s="52"/>
    </row>
    <row r="106" spans="2:17" ht="17.399999999999999" x14ac:dyDescent="0.4">
      <c r="B106" s="82">
        <v>42244</v>
      </c>
      <c r="C106" s="83">
        <v>10550</v>
      </c>
      <c r="D106" s="83">
        <v>10550</v>
      </c>
      <c r="E106" s="83">
        <v>10550</v>
      </c>
      <c r="F106" s="83">
        <v>10550</v>
      </c>
      <c r="G106" s="84">
        <v>0</v>
      </c>
      <c r="H106" s="13">
        <f t="shared" si="3"/>
        <v>0</v>
      </c>
      <c r="I106" s="83">
        <v>0</v>
      </c>
      <c r="J106" s="83">
        <v>0</v>
      </c>
      <c r="K106" s="14">
        <f t="shared" si="4"/>
        <v>0</v>
      </c>
      <c r="L106" s="63">
        <v>0</v>
      </c>
      <c r="M106" s="83">
        <v>0</v>
      </c>
      <c r="N106" s="14">
        <f t="shared" si="5"/>
        <v>0</v>
      </c>
      <c r="O106" s="14">
        <f t="shared" si="5"/>
        <v>0</v>
      </c>
      <c r="P106" s="4">
        <f t="shared" si="5"/>
        <v>0</v>
      </c>
      <c r="Q106" s="52"/>
    </row>
    <row r="107" spans="2:17" ht="17.399999999999999" x14ac:dyDescent="0.4">
      <c r="B107" s="82">
        <v>42247</v>
      </c>
      <c r="C107" s="83">
        <v>10550</v>
      </c>
      <c r="D107" s="83">
        <v>10550</v>
      </c>
      <c r="E107" s="83">
        <v>10550</v>
      </c>
      <c r="F107" s="83">
        <v>10550</v>
      </c>
      <c r="G107" s="84">
        <v>0</v>
      </c>
      <c r="H107" s="13">
        <f t="shared" si="3"/>
        <v>0</v>
      </c>
      <c r="I107" s="83">
        <v>0</v>
      </c>
      <c r="J107" s="83">
        <v>0</v>
      </c>
      <c r="K107" s="14">
        <f t="shared" si="4"/>
        <v>0</v>
      </c>
      <c r="L107" s="63">
        <v>0</v>
      </c>
      <c r="M107" s="83">
        <v>0</v>
      </c>
      <c r="N107" s="14">
        <f t="shared" si="5"/>
        <v>0</v>
      </c>
      <c r="O107" s="14">
        <f t="shared" si="5"/>
        <v>0</v>
      </c>
      <c r="P107" s="4">
        <f t="shared" si="5"/>
        <v>0</v>
      </c>
      <c r="Q107" s="52"/>
    </row>
    <row r="108" spans="2:17" ht="17.399999999999999" x14ac:dyDescent="0.4">
      <c r="B108" s="82">
        <v>42248</v>
      </c>
      <c r="C108" s="83">
        <v>10550</v>
      </c>
      <c r="D108" s="83">
        <v>10550</v>
      </c>
      <c r="E108" s="83">
        <v>10550</v>
      </c>
      <c r="F108" s="83">
        <v>10550</v>
      </c>
      <c r="G108" s="84">
        <v>0</v>
      </c>
      <c r="H108" s="13">
        <f t="shared" si="3"/>
        <v>0</v>
      </c>
      <c r="I108" s="83">
        <v>0</v>
      </c>
      <c r="J108" s="83">
        <v>0</v>
      </c>
      <c r="K108" s="14">
        <f t="shared" si="4"/>
        <v>0</v>
      </c>
      <c r="L108" s="63">
        <v>0</v>
      </c>
      <c r="M108" s="83">
        <v>0</v>
      </c>
      <c r="N108" s="14">
        <f t="shared" si="5"/>
        <v>0</v>
      </c>
      <c r="O108" s="14">
        <f t="shared" si="5"/>
        <v>0</v>
      </c>
      <c r="P108" s="4">
        <f t="shared" si="5"/>
        <v>0</v>
      </c>
      <c r="Q108" s="52"/>
    </row>
    <row r="109" spans="2:17" ht="17.399999999999999" x14ac:dyDescent="0.4">
      <c r="B109" s="82">
        <v>42249</v>
      </c>
      <c r="C109" s="83">
        <v>10550</v>
      </c>
      <c r="D109" s="83">
        <v>10550</v>
      </c>
      <c r="E109" s="83">
        <v>10550</v>
      </c>
      <c r="F109" s="83">
        <v>10550</v>
      </c>
      <c r="G109" s="84">
        <v>0</v>
      </c>
      <c r="H109" s="13">
        <f t="shared" si="3"/>
        <v>0</v>
      </c>
      <c r="I109" s="83">
        <v>0</v>
      </c>
      <c r="J109" s="83">
        <v>0</v>
      </c>
      <c r="K109" s="14">
        <f t="shared" si="4"/>
        <v>0</v>
      </c>
      <c r="L109" s="63">
        <v>0</v>
      </c>
      <c r="M109" s="83">
        <v>0</v>
      </c>
      <c r="N109" s="14">
        <f t="shared" si="5"/>
        <v>0</v>
      </c>
      <c r="O109" s="14">
        <f t="shared" si="5"/>
        <v>0</v>
      </c>
      <c r="P109" s="4">
        <f t="shared" si="5"/>
        <v>0</v>
      </c>
      <c r="Q109" s="52"/>
    </row>
    <row r="110" spans="2:17" ht="17.399999999999999" x14ac:dyDescent="0.4">
      <c r="B110" s="82">
        <v>42250</v>
      </c>
      <c r="C110" s="83">
        <v>10550</v>
      </c>
      <c r="D110" s="83">
        <v>10550</v>
      </c>
      <c r="E110" s="83">
        <v>10550</v>
      </c>
      <c r="F110" s="83">
        <v>10550</v>
      </c>
      <c r="G110" s="84">
        <v>0</v>
      </c>
      <c r="H110" s="13">
        <f t="shared" si="3"/>
        <v>0</v>
      </c>
      <c r="I110" s="83">
        <v>0</v>
      </c>
      <c r="J110" s="83">
        <v>0</v>
      </c>
      <c r="K110" s="14">
        <f t="shared" si="4"/>
        <v>0</v>
      </c>
      <c r="L110" s="63">
        <v>0</v>
      </c>
      <c r="M110" s="83">
        <v>0</v>
      </c>
      <c r="N110" s="14">
        <f t="shared" si="5"/>
        <v>0</v>
      </c>
      <c r="O110" s="14">
        <f t="shared" si="5"/>
        <v>0</v>
      </c>
      <c r="P110" s="4">
        <f t="shared" si="5"/>
        <v>0</v>
      </c>
      <c r="Q110" s="52"/>
    </row>
    <row r="111" spans="2:17" ht="17.399999999999999" x14ac:dyDescent="0.4">
      <c r="B111" s="82">
        <v>42251</v>
      </c>
      <c r="C111" s="83">
        <v>10550</v>
      </c>
      <c r="D111" s="83">
        <v>10550</v>
      </c>
      <c r="E111" s="83">
        <v>10550</v>
      </c>
      <c r="F111" s="83">
        <v>10550</v>
      </c>
      <c r="G111" s="84">
        <v>0</v>
      </c>
      <c r="H111" s="13">
        <f t="shared" si="3"/>
        <v>0</v>
      </c>
      <c r="I111" s="83">
        <v>0</v>
      </c>
      <c r="J111" s="83">
        <v>0</v>
      </c>
      <c r="K111" s="14">
        <f t="shared" si="4"/>
        <v>0</v>
      </c>
      <c r="L111" s="63">
        <v>0</v>
      </c>
      <c r="M111" s="83">
        <v>0</v>
      </c>
      <c r="N111" s="14">
        <f t="shared" si="5"/>
        <v>0</v>
      </c>
      <c r="O111" s="14">
        <f t="shared" si="5"/>
        <v>0</v>
      </c>
      <c r="P111" s="4">
        <f t="shared" si="5"/>
        <v>0</v>
      </c>
      <c r="Q111" s="52"/>
    </row>
    <row r="112" spans="2:17" ht="17.399999999999999" x14ac:dyDescent="0.4">
      <c r="B112" s="82">
        <v>42254</v>
      </c>
      <c r="C112" s="83">
        <v>10550</v>
      </c>
      <c r="D112" s="83">
        <v>10550</v>
      </c>
      <c r="E112" s="83">
        <v>10550</v>
      </c>
      <c r="F112" s="83">
        <v>10550</v>
      </c>
      <c r="G112" s="84">
        <v>0</v>
      </c>
      <c r="H112" s="13">
        <f t="shared" si="3"/>
        <v>0</v>
      </c>
      <c r="I112" s="83">
        <v>0</v>
      </c>
      <c r="J112" s="83">
        <v>0</v>
      </c>
      <c r="K112" s="14">
        <f t="shared" si="4"/>
        <v>0</v>
      </c>
      <c r="L112" s="63">
        <v>0</v>
      </c>
      <c r="M112" s="83">
        <v>0</v>
      </c>
      <c r="N112" s="14">
        <f t="shared" si="5"/>
        <v>0</v>
      </c>
      <c r="O112" s="14">
        <f t="shared" si="5"/>
        <v>0</v>
      </c>
      <c r="P112" s="4">
        <f t="shared" si="5"/>
        <v>0</v>
      </c>
      <c r="Q112" s="52"/>
    </row>
    <row r="113" spans="2:17" ht="17.399999999999999" x14ac:dyDescent="0.4">
      <c r="B113" s="82">
        <v>42255</v>
      </c>
      <c r="C113" s="83">
        <v>10550</v>
      </c>
      <c r="D113" s="83">
        <v>10550</v>
      </c>
      <c r="E113" s="83">
        <v>10550</v>
      </c>
      <c r="F113" s="83">
        <v>10550</v>
      </c>
      <c r="G113" s="84">
        <v>0</v>
      </c>
      <c r="H113" s="13">
        <f t="shared" si="3"/>
        <v>0</v>
      </c>
      <c r="I113" s="83">
        <v>0</v>
      </c>
      <c r="J113" s="83">
        <v>0</v>
      </c>
      <c r="K113" s="14">
        <f t="shared" si="4"/>
        <v>0</v>
      </c>
      <c r="L113" s="63">
        <v>0</v>
      </c>
      <c r="M113" s="83">
        <v>0</v>
      </c>
      <c r="N113" s="14">
        <f t="shared" si="5"/>
        <v>0</v>
      </c>
      <c r="O113" s="14">
        <f t="shared" si="5"/>
        <v>0</v>
      </c>
      <c r="P113" s="4">
        <f t="shared" si="5"/>
        <v>0</v>
      </c>
      <c r="Q113" s="52"/>
    </row>
    <row r="114" spans="2:17" ht="17.399999999999999" x14ac:dyDescent="0.4">
      <c r="B114" s="82">
        <v>42256</v>
      </c>
      <c r="C114" s="83">
        <v>10550</v>
      </c>
      <c r="D114" s="83">
        <v>10550</v>
      </c>
      <c r="E114" s="83">
        <v>10550</v>
      </c>
      <c r="F114" s="83">
        <v>10550</v>
      </c>
      <c r="G114" s="84">
        <v>0</v>
      </c>
      <c r="H114" s="13">
        <f t="shared" si="3"/>
        <v>0</v>
      </c>
      <c r="I114" s="83">
        <v>0</v>
      </c>
      <c r="J114" s="83">
        <v>0</v>
      </c>
      <c r="K114" s="14">
        <f t="shared" si="4"/>
        <v>0</v>
      </c>
      <c r="L114" s="63">
        <v>0</v>
      </c>
      <c r="M114" s="83">
        <v>0</v>
      </c>
      <c r="N114" s="14">
        <f t="shared" si="5"/>
        <v>0</v>
      </c>
      <c r="O114" s="14">
        <f t="shared" si="5"/>
        <v>0</v>
      </c>
      <c r="P114" s="4">
        <f t="shared" si="5"/>
        <v>0</v>
      </c>
      <c r="Q114" s="52"/>
    </row>
    <row r="115" spans="2:17" ht="17.399999999999999" x14ac:dyDescent="0.4">
      <c r="B115" s="82">
        <v>42257</v>
      </c>
      <c r="C115" s="83">
        <v>10550</v>
      </c>
      <c r="D115" s="83">
        <v>10550</v>
      </c>
      <c r="E115" s="83">
        <v>10550</v>
      </c>
      <c r="F115" s="83">
        <v>10550</v>
      </c>
      <c r="G115" s="84">
        <v>0</v>
      </c>
      <c r="H115" s="13">
        <f t="shared" si="3"/>
        <v>0</v>
      </c>
      <c r="I115" s="83">
        <v>0</v>
      </c>
      <c r="J115" s="83">
        <v>0</v>
      </c>
      <c r="K115" s="14">
        <f t="shared" si="4"/>
        <v>0</v>
      </c>
      <c r="L115" s="63">
        <v>0</v>
      </c>
      <c r="M115" s="83">
        <v>0</v>
      </c>
      <c r="N115" s="14">
        <f t="shared" si="5"/>
        <v>0</v>
      </c>
      <c r="O115" s="14">
        <f t="shared" si="5"/>
        <v>0</v>
      </c>
      <c r="P115" s="4">
        <f t="shared" si="5"/>
        <v>0</v>
      </c>
      <c r="Q115" s="52"/>
    </row>
    <row r="116" spans="2:17" ht="17.399999999999999" x14ac:dyDescent="0.4">
      <c r="B116" s="82">
        <v>42258</v>
      </c>
      <c r="C116" s="83">
        <v>10550</v>
      </c>
      <c r="D116" s="83">
        <v>10550</v>
      </c>
      <c r="E116" s="83">
        <v>10550</v>
      </c>
      <c r="F116" s="83">
        <v>10550</v>
      </c>
      <c r="G116" s="84">
        <v>0</v>
      </c>
      <c r="H116" s="13">
        <f t="shared" si="3"/>
        <v>0</v>
      </c>
      <c r="I116" s="83">
        <v>0</v>
      </c>
      <c r="J116" s="83">
        <v>0</v>
      </c>
      <c r="K116" s="14">
        <f t="shared" si="4"/>
        <v>0</v>
      </c>
      <c r="L116" s="63">
        <v>0</v>
      </c>
      <c r="M116" s="83">
        <v>0</v>
      </c>
      <c r="N116" s="14">
        <f t="shared" si="5"/>
        <v>0</v>
      </c>
      <c r="O116" s="14">
        <f t="shared" si="5"/>
        <v>0</v>
      </c>
      <c r="P116" s="4">
        <f t="shared" si="5"/>
        <v>0</v>
      </c>
      <c r="Q116" s="52"/>
    </row>
    <row r="117" spans="2:17" ht="17.399999999999999" x14ac:dyDescent="0.4">
      <c r="B117" s="82">
        <v>42261</v>
      </c>
      <c r="C117" s="83">
        <v>10550</v>
      </c>
      <c r="D117" s="83">
        <v>10550</v>
      </c>
      <c r="E117" s="83">
        <v>10550</v>
      </c>
      <c r="F117" s="83">
        <v>10550</v>
      </c>
      <c r="G117" s="84">
        <v>0</v>
      </c>
      <c r="H117" s="13">
        <f t="shared" si="3"/>
        <v>0</v>
      </c>
      <c r="I117" s="83">
        <v>0</v>
      </c>
      <c r="J117" s="83">
        <v>0</v>
      </c>
      <c r="K117" s="14">
        <f t="shared" si="4"/>
        <v>0</v>
      </c>
      <c r="L117" s="63">
        <v>0</v>
      </c>
      <c r="M117" s="83">
        <v>0</v>
      </c>
      <c r="N117" s="14">
        <f t="shared" si="5"/>
        <v>0</v>
      </c>
      <c r="O117" s="14">
        <f t="shared" si="5"/>
        <v>0</v>
      </c>
      <c r="P117" s="4">
        <f t="shared" si="5"/>
        <v>0</v>
      </c>
      <c r="Q117" s="52"/>
    </row>
    <row r="118" spans="2:17" ht="17.399999999999999" x14ac:dyDescent="0.4">
      <c r="B118" s="82">
        <v>42262</v>
      </c>
      <c r="C118" s="83">
        <v>10550</v>
      </c>
      <c r="D118" s="83">
        <v>10550</v>
      </c>
      <c r="E118" s="83">
        <v>10550</v>
      </c>
      <c r="F118" s="83">
        <v>10550</v>
      </c>
      <c r="G118" s="84">
        <v>0</v>
      </c>
      <c r="H118" s="13">
        <f t="shared" si="3"/>
        <v>0</v>
      </c>
      <c r="I118" s="83">
        <v>0</v>
      </c>
      <c r="J118" s="83">
        <v>0</v>
      </c>
      <c r="K118" s="14">
        <f t="shared" si="4"/>
        <v>0</v>
      </c>
      <c r="L118" s="63">
        <v>0</v>
      </c>
      <c r="M118" s="83">
        <v>0</v>
      </c>
      <c r="N118" s="14">
        <f t="shared" si="5"/>
        <v>0</v>
      </c>
      <c r="O118" s="14">
        <f t="shared" si="5"/>
        <v>0</v>
      </c>
      <c r="P118" s="4">
        <f t="shared" si="5"/>
        <v>0</v>
      </c>
      <c r="Q118" s="52"/>
    </row>
    <row r="119" spans="2:17" ht="17.399999999999999" x14ac:dyDescent="0.4">
      <c r="B119" s="82">
        <v>42263</v>
      </c>
      <c r="C119" s="83">
        <v>10550</v>
      </c>
      <c r="D119" s="83">
        <v>10550</v>
      </c>
      <c r="E119" s="83">
        <v>10550</v>
      </c>
      <c r="F119" s="83">
        <v>10550</v>
      </c>
      <c r="G119" s="84">
        <v>0</v>
      </c>
      <c r="H119" s="13">
        <f t="shared" si="3"/>
        <v>0</v>
      </c>
      <c r="I119" s="83">
        <v>0</v>
      </c>
      <c r="J119" s="83">
        <v>0</v>
      </c>
      <c r="K119" s="14">
        <f t="shared" si="4"/>
        <v>0</v>
      </c>
      <c r="L119" s="63">
        <v>0</v>
      </c>
      <c r="M119" s="83">
        <v>0</v>
      </c>
      <c r="N119" s="14">
        <f t="shared" si="5"/>
        <v>0</v>
      </c>
      <c r="O119" s="14">
        <f t="shared" si="5"/>
        <v>0</v>
      </c>
      <c r="P119" s="4">
        <f t="shared" si="5"/>
        <v>0</v>
      </c>
      <c r="Q119" s="52"/>
    </row>
    <row r="120" spans="2:17" ht="17.399999999999999" x14ac:dyDescent="0.4">
      <c r="B120" s="82">
        <v>42264</v>
      </c>
      <c r="C120" s="83">
        <v>10550</v>
      </c>
      <c r="D120" s="83">
        <v>10550</v>
      </c>
      <c r="E120" s="83">
        <v>10550</v>
      </c>
      <c r="F120" s="83">
        <v>10550</v>
      </c>
      <c r="G120" s="84">
        <v>0</v>
      </c>
      <c r="H120" s="13">
        <f t="shared" si="3"/>
        <v>0</v>
      </c>
      <c r="I120" s="83">
        <v>0</v>
      </c>
      <c r="J120" s="83">
        <v>0</v>
      </c>
      <c r="K120" s="14">
        <f t="shared" si="4"/>
        <v>0</v>
      </c>
      <c r="L120" s="63">
        <v>0</v>
      </c>
      <c r="M120" s="83">
        <v>0</v>
      </c>
      <c r="N120" s="14">
        <f t="shared" si="5"/>
        <v>0</v>
      </c>
      <c r="O120" s="14">
        <f t="shared" si="5"/>
        <v>0</v>
      </c>
      <c r="P120" s="4">
        <f t="shared" si="5"/>
        <v>0</v>
      </c>
      <c r="Q120" s="52"/>
    </row>
    <row r="121" spans="2:17" ht="17.399999999999999" x14ac:dyDescent="0.4">
      <c r="B121" s="82">
        <v>42265</v>
      </c>
      <c r="C121" s="83">
        <v>10550</v>
      </c>
      <c r="D121" s="83">
        <v>10550</v>
      </c>
      <c r="E121" s="83">
        <v>10550</v>
      </c>
      <c r="F121" s="83">
        <v>10550</v>
      </c>
      <c r="G121" s="84">
        <v>0</v>
      </c>
      <c r="H121" s="13">
        <f t="shared" si="3"/>
        <v>0</v>
      </c>
      <c r="I121" s="83">
        <v>0</v>
      </c>
      <c r="J121" s="83">
        <v>0</v>
      </c>
      <c r="K121" s="14">
        <f t="shared" si="4"/>
        <v>0</v>
      </c>
      <c r="L121" s="63">
        <v>0</v>
      </c>
      <c r="M121" s="83">
        <v>0</v>
      </c>
      <c r="N121" s="14">
        <f t="shared" si="5"/>
        <v>0</v>
      </c>
      <c r="O121" s="14">
        <f t="shared" si="5"/>
        <v>0</v>
      </c>
      <c r="P121" s="4">
        <f t="shared" si="5"/>
        <v>0</v>
      </c>
      <c r="Q121" s="52"/>
    </row>
    <row r="122" spans="2:17" ht="17.399999999999999" x14ac:dyDescent="0.4">
      <c r="B122" s="82">
        <v>42268</v>
      </c>
      <c r="C122" s="83">
        <v>10550</v>
      </c>
      <c r="D122" s="83">
        <v>10550</v>
      </c>
      <c r="E122" s="83">
        <v>10550</v>
      </c>
      <c r="F122" s="83">
        <v>10550</v>
      </c>
      <c r="G122" s="84">
        <v>0</v>
      </c>
      <c r="H122" s="13">
        <f t="shared" si="3"/>
        <v>0</v>
      </c>
      <c r="I122" s="83">
        <v>0</v>
      </c>
      <c r="J122" s="83">
        <v>0</v>
      </c>
      <c r="K122" s="14">
        <f t="shared" si="4"/>
        <v>0</v>
      </c>
      <c r="L122" s="63">
        <v>0</v>
      </c>
      <c r="M122" s="83">
        <v>0</v>
      </c>
      <c r="N122" s="14">
        <f t="shared" si="5"/>
        <v>0</v>
      </c>
      <c r="O122" s="14">
        <f t="shared" si="5"/>
        <v>0</v>
      </c>
      <c r="P122" s="4">
        <f t="shared" si="5"/>
        <v>0</v>
      </c>
      <c r="Q122" s="52"/>
    </row>
    <row r="123" spans="2:17" ht="17.399999999999999" x14ac:dyDescent="0.4">
      <c r="B123" s="82">
        <v>42269</v>
      </c>
      <c r="C123" s="83">
        <v>10550</v>
      </c>
      <c r="D123" s="83">
        <v>10550</v>
      </c>
      <c r="E123" s="83">
        <v>10550</v>
      </c>
      <c r="F123" s="83">
        <v>10550</v>
      </c>
      <c r="G123" s="84">
        <v>0</v>
      </c>
      <c r="H123" s="13">
        <f t="shared" si="3"/>
        <v>0</v>
      </c>
      <c r="I123" s="83">
        <v>0</v>
      </c>
      <c r="J123" s="83">
        <v>0</v>
      </c>
      <c r="K123" s="14">
        <f t="shared" si="4"/>
        <v>0</v>
      </c>
      <c r="L123" s="63">
        <v>0</v>
      </c>
      <c r="M123" s="83">
        <v>0</v>
      </c>
      <c r="N123" s="14">
        <f t="shared" si="5"/>
        <v>0</v>
      </c>
      <c r="O123" s="14">
        <f t="shared" si="5"/>
        <v>0</v>
      </c>
      <c r="P123" s="4">
        <f t="shared" si="5"/>
        <v>0</v>
      </c>
      <c r="Q123" s="52"/>
    </row>
    <row r="124" spans="2:17" ht="17.399999999999999" x14ac:dyDescent="0.4">
      <c r="B124" s="82">
        <v>42270</v>
      </c>
      <c r="C124" s="83">
        <v>10550</v>
      </c>
      <c r="D124" s="83">
        <v>10550</v>
      </c>
      <c r="E124" s="83">
        <v>10550</v>
      </c>
      <c r="F124" s="83">
        <v>10550</v>
      </c>
      <c r="G124" s="84">
        <v>0</v>
      </c>
      <c r="H124" s="13">
        <f t="shared" si="3"/>
        <v>0</v>
      </c>
      <c r="I124" s="83">
        <v>0</v>
      </c>
      <c r="J124" s="83">
        <v>0</v>
      </c>
      <c r="K124" s="14">
        <f t="shared" si="4"/>
        <v>0</v>
      </c>
      <c r="L124" s="63">
        <v>0</v>
      </c>
      <c r="M124" s="83">
        <v>0</v>
      </c>
      <c r="N124" s="14">
        <f t="shared" si="5"/>
        <v>0</v>
      </c>
      <c r="O124" s="14">
        <f t="shared" si="5"/>
        <v>0</v>
      </c>
      <c r="P124" s="4">
        <f t="shared" si="5"/>
        <v>0</v>
      </c>
      <c r="Q124" s="52"/>
    </row>
    <row r="125" spans="2:17" ht="17.399999999999999" x14ac:dyDescent="0.4">
      <c r="B125" s="82">
        <v>42271</v>
      </c>
      <c r="C125" s="83">
        <v>10550</v>
      </c>
      <c r="D125" s="83">
        <v>10550</v>
      </c>
      <c r="E125" s="83">
        <v>10550</v>
      </c>
      <c r="F125" s="83">
        <v>10550</v>
      </c>
      <c r="G125" s="84">
        <v>0</v>
      </c>
      <c r="H125" s="13">
        <f t="shared" si="3"/>
        <v>0</v>
      </c>
      <c r="I125" s="83">
        <v>0</v>
      </c>
      <c r="J125" s="83">
        <v>0</v>
      </c>
      <c r="K125" s="14">
        <f t="shared" si="4"/>
        <v>0</v>
      </c>
      <c r="L125" s="63">
        <v>0</v>
      </c>
      <c r="M125" s="83">
        <v>0</v>
      </c>
      <c r="N125" s="14">
        <f t="shared" si="5"/>
        <v>0</v>
      </c>
      <c r="O125" s="14">
        <f t="shared" si="5"/>
        <v>0</v>
      </c>
      <c r="P125" s="4">
        <f t="shared" si="5"/>
        <v>0</v>
      </c>
      <c r="Q125" s="52"/>
    </row>
    <row r="126" spans="2:17" ht="17.399999999999999" x14ac:dyDescent="0.4">
      <c r="B126" s="82">
        <v>42272</v>
      </c>
      <c r="C126" s="83">
        <v>10550</v>
      </c>
      <c r="D126" s="83">
        <v>10550</v>
      </c>
      <c r="E126" s="83">
        <v>10550</v>
      </c>
      <c r="F126" s="83">
        <v>10550</v>
      </c>
      <c r="G126" s="84">
        <v>0</v>
      </c>
      <c r="H126" s="13">
        <f t="shared" si="3"/>
        <v>0</v>
      </c>
      <c r="I126" s="83">
        <v>0</v>
      </c>
      <c r="J126" s="83">
        <v>0</v>
      </c>
      <c r="K126" s="14">
        <f t="shared" si="4"/>
        <v>0</v>
      </c>
      <c r="L126" s="63">
        <v>0</v>
      </c>
      <c r="M126" s="83">
        <v>0</v>
      </c>
      <c r="N126" s="14">
        <f t="shared" si="5"/>
        <v>0</v>
      </c>
      <c r="O126" s="14">
        <f t="shared" si="5"/>
        <v>0</v>
      </c>
      <c r="P126" s="4">
        <f t="shared" si="5"/>
        <v>0</v>
      </c>
      <c r="Q126" s="52"/>
    </row>
    <row r="127" spans="2:17" ht="17.399999999999999" x14ac:dyDescent="0.4">
      <c r="B127" s="82">
        <v>42277</v>
      </c>
      <c r="C127" s="83">
        <v>10550</v>
      </c>
      <c r="D127" s="83">
        <v>10550</v>
      </c>
      <c r="E127" s="83">
        <v>10550</v>
      </c>
      <c r="F127" s="83">
        <v>10550</v>
      </c>
      <c r="G127" s="84">
        <v>0</v>
      </c>
      <c r="H127" s="13">
        <f t="shared" si="3"/>
        <v>0</v>
      </c>
      <c r="I127" s="83">
        <v>0</v>
      </c>
      <c r="J127" s="83">
        <v>0</v>
      </c>
      <c r="K127" s="14">
        <f t="shared" si="4"/>
        <v>0</v>
      </c>
      <c r="L127" s="63">
        <v>0</v>
      </c>
      <c r="M127" s="83">
        <v>0</v>
      </c>
      <c r="N127" s="14">
        <f t="shared" si="5"/>
        <v>0</v>
      </c>
      <c r="O127" s="14">
        <f t="shared" si="5"/>
        <v>0</v>
      </c>
      <c r="P127" s="4">
        <f t="shared" si="5"/>
        <v>0</v>
      </c>
      <c r="Q127" s="52"/>
    </row>
    <row r="128" spans="2:17" ht="15" customHeight="1" x14ac:dyDescent="0.4">
      <c r="B128" s="82">
        <v>42278</v>
      </c>
      <c r="C128" s="83">
        <v>10550</v>
      </c>
      <c r="D128" s="83">
        <v>10550</v>
      </c>
      <c r="E128" s="83">
        <v>10550</v>
      </c>
      <c r="F128" s="83">
        <v>10550</v>
      </c>
      <c r="G128" s="84">
        <v>0</v>
      </c>
      <c r="H128" s="13">
        <f t="shared" si="3"/>
        <v>0</v>
      </c>
      <c r="I128" s="83">
        <v>0</v>
      </c>
      <c r="J128" s="83">
        <v>0</v>
      </c>
      <c r="K128" s="14">
        <f t="shared" si="4"/>
        <v>0</v>
      </c>
      <c r="L128" s="63">
        <v>0</v>
      </c>
      <c r="M128" s="83">
        <v>0</v>
      </c>
      <c r="N128" s="14">
        <f t="shared" si="5"/>
        <v>0</v>
      </c>
      <c r="O128" s="14">
        <f t="shared" si="5"/>
        <v>0</v>
      </c>
      <c r="P128" s="4">
        <f t="shared" si="5"/>
        <v>0</v>
      </c>
      <c r="Q128" s="52"/>
    </row>
    <row r="129" spans="2:17" ht="17.399999999999999" x14ac:dyDescent="0.4">
      <c r="B129" s="82">
        <v>42279</v>
      </c>
      <c r="C129" s="83">
        <v>10550</v>
      </c>
      <c r="D129" s="83">
        <v>10550</v>
      </c>
      <c r="E129" s="83">
        <v>10550</v>
      </c>
      <c r="F129" s="83">
        <v>10550</v>
      </c>
      <c r="G129" s="84">
        <v>0</v>
      </c>
      <c r="H129" s="13">
        <f t="shared" si="3"/>
        <v>0</v>
      </c>
      <c r="I129" s="83">
        <v>0</v>
      </c>
      <c r="J129" s="83">
        <v>0</v>
      </c>
      <c r="K129" s="14">
        <f t="shared" si="4"/>
        <v>0</v>
      </c>
      <c r="L129" s="63">
        <v>0</v>
      </c>
      <c r="M129" s="83">
        <v>0</v>
      </c>
      <c r="N129" s="14">
        <f t="shared" si="5"/>
        <v>0</v>
      </c>
      <c r="O129" s="14">
        <f t="shared" si="5"/>
        <v>0</v>
      </c>
      <c r="P129" s="4">
        <f t="shared" si="5"/>
        <v>0</v>
      </c>
      <c r="Q129" s="52"/>
    </row>
    <row r="130" spans="2:17" ht="17.399999999999999" x14ac:dyDescent="0.4">
      <c r="B130" s="82">
        <v>42282</v>
      </c>
      <c r="C130" s="83">
        <v>10550</v>
      </c>
      <c r="D130" s="83">
        <v>10550</v>
      </c>
      <c r="E130" s="83">
        <v>10550</v>
      </c>
      <c r="F130" s="83">
        <v>10550</v>
      </c>
      <c r="G130" s="84">
        <v>0</v>
      </c>
      <c r="H130" s="13">
        <f t="shared" si="3"/>
        <v>0</v>
      </c>
      <c r="I130" s="83">
        <v>0</v>
      </c>
      <c r="J130" s="83">
        <v>0</v>
      </c>
      <c r="K130" s="14">
        <f t="shared" si="4"/>
        <v>0</v>
      </c>
      <c r="L130" s="63">
        <v>0</v>
      </c>
      <c r="M130" s="83">
        <v>0</v>
      </c>
      <c r="N130" s="14">
        <f t="shared" si="5"/>
        <v>0</v>
      </c>
      <c r="O130" s="14">
        <f t="shared" si="5"/>
        <v>0</v>
      </c>
      <c r="P130" s="4">
        <f t="shared" si="5"/>
        <v>0</v>
      </c>
      <c r="Q130" s="52"/>
    </row>
    <row r="131" spans="2:17" ht="17.399999999999999" x14ac:dyDescent="0.4">
      <c r="B131" s="82">
        <v>42283</v>
      </c>
      <c r="C131" s="83">
        <v>10550</v>
      </c>
      <c r="D131" s="83">
        <v>10550</v>
      </c>
      <c r="E131" s="83">
        <v>10550</v>
      </c>
      <c r="F131" s="83">
        <v>10550</v>
      </c>
      <c r="G131" s="84">
        <v>0</v>
      </c>
      <c r="H131" s="13">
        <f t="shared" si="3"/>
        <v>0</v>
      </c>
      <c r="I131" s="83">
        <v>0</v>
      </c>
      <c r="J131" s="83">
        <v>0</v>
      </c>
      <c r="K131" s="14">
        <f t="shared" si="4"/>
        <v>0</v>
      </c>
      <c r="L131" s="63">
        <v>0</v>
      </c>
      <c r="M131" s="83">
        <v>0</v>
      </c>
      <c r="N131" s="14">
        <f t="shared" si="5"/>
        <v>0</v>
      </c>
      <c r="O131" s="14">
        <f t="shared" si="5"/>
        <v>0</v>
      </c>
      <c r="P131" s="4">
        <f t="shared" si="5"/>
        <v>0</v>
      </c>
      <c r="Q131" s="52"/>
    </row>
    <row r="132" spans="2:17" ht="17.399999999999999" x14ac:dyDescent="0.4">
      <c r="B132" s="82">
        <v>42284</v>
      </c>
      <c r="C132" s="83">
        <v>10550</v>
      </c>
      <c r="D132" s="83">
        <v>10550</v>
      </c>
      <c r="E132" s="83">
        <v>10550</v>
      </c>
      <c r="F132" s="83">
        <v>10550</v>
      </c>
      <c r="G132" s="84">
        <v>0</v>
      </c>
      <c r="H132" s="13">
        <f t="shared" si="3"/>
        <v>0</v>
      </c>
      <c r="I132" s="83">
        <v>0</v>
      </c>
      <c r="J132" s="83">
        <v>0</v>
      </c>
      <c r="K132" s="14">
        <f t="shared" si="4"/>
        <v>0</v>
      </c>
      <c r="L132" s="63">
        <v>0</v>
      </c>
      <c r="M132" s="83">
        <v>0</v>
      </c>
      <c r="N132" s="14">
        <f t="shared" si="5"/>
        <v>0</v>
      </c>
      <c r="O132" s="14">
        <f t="shared" si="5"/>
        <v>0</v>
      </c>
      <c r="P132" s="4">
        <f t="shared" si="5"/>
        <v>0</v>
      </c>
      <c r="Q132" s="52"/>
    </row>
    <row r="133" spans="2:17" ht="17.399999999999999" x14ac:dyDescent="0.4">
      <c r="B133" s="82">
        <v>42285</v>
      </c>
      <c r="C133" s="83">
        <v>10550</v>
      </c>
      <c r="D133" s="83">
        <v>10550</v>
      </c>
      <c r="E133" s="83">
        <v>10550</v>
      </c>
      <c r="F133" s="83">
        <v>10550</v>
      </c>
      <c r="G133" s="84">
        <v>0</v>
      </c>
      <c r="H133" s="13">
        <f t="shared" si="3"/>
        <v>0</v>
      </c>
      <c r="I133" s="83">
        <v>0</v>
      </c>
      <c r="J133" s="83">
        <v>0</v>
      </c>
      <c r="K133" s="14">
        <f t="shared" si="4"/>
        <v>0</v>
      </c>
      <c r="L133" s="63">
        <v>0</v>
      </c>
      <c r="M133" s="83">
        <v>0</v>
      </c>
      <c r="N133" s="14">
        <f t="shared" si="5"/>
        <v>0</v>
      </c>
      <c r="O133" s="14">
        <f t="shared" si="5"/>
        <v>0</v>
      </c>
      <c r="P133" s="4">
        <f t="shared" si="5"/>
        <v>0</v>
      </c>
      <c r="Q133" s="52"/>
    </row>
    <row r="134" spans="2:17" ht="17.399999999999999" x14ac:dyDescent="0.4">
      <c r="B134" s="82">
        <v>42289</v>
      </c>
      <c r="C134" s="83">
        <v>10550</v>
      </c>
      <c r="D134" s="83">
        <v>10550</v>
      </c>
      <c r="E134" s="83">
        <v>10550</v>
      </c>
      <c r="F134" s="83">
        <v>10550</v>
      </c>
      <c r="G134" s="84">
        <v>0</v>
      </c>
      <c r="H134" s="13">
        <f t="shared" si="3"/>
        <v>0</v>
      </c>
      <c r="I134" s="83">
        <v>0</v>
      </c>
      <c r="J134" s="83">
        <v>0</v>
      </c>
      <c r="K134" s="14">
        <f t="shared" si="4"/>
        <v>0</v>
      </c>
      <c r="L134" s="63">
        <v>0</v>
      </c>
      <c r="M134" s="83">
        <v>0</v>
      </c>
      <c r="N134" s="14">
        <f t="shared" si="5"/>
        <v>0</v>
      </c>
      <c r="O134" s="14">
        <f t="shared" si="5"/>
        <v>0</v>
      </c>
      <c r="P134" s="4">
        <f t="shared" si="5"/>
        <v>0</v>
      </c>
      <c r="Q134" s="52"/>
    </row>
    <row r="135" spans="2:17" ht="17.399999999999999" x14ac:dyDescent="0.4">
      <c r="B135" s="82">
        <v>42290</v>
      </c>
      <c r="C135" s="83">
        <v>10550</v>
      </c>
      <c r="D135" s="83">
        <v>10550</v>
      </c>
      <c r="E135" s="83">
        <v>10550</v>
      </c>
      <c r="F135" s="83">
        <v>10550</v>
      </c>
      <c r="G135" s="84">
        <v>0</v>
      </c>
      <c r="H135" s="13">
        <f t="shared" ref="H135:H198" si="6">J135-I135</f>
        <v>0</v>
      </c>
      <c r="I135" s="83">
        <v>0</v>
      </c>
      <c r="J135" s="83">
        <v>0</v>
      </c>
      <c r="K135" s="14">
        <f t="shared" ref="K135:K198" si="7">M135-L135</f>
        <v>0</v>
      </c>
      <c r="L135" s="63">
        <v>0</v>
      </c>
      <c r="M135" s="83">
        <v>0</v>
      </c>
      <c r="N135" s="14">
        <f t="shared" ref="N135:P198" si="8">IFERROR(K135/H135,0)</f>
        <v>0</v>
      </c>
      <c r="O135" s="14">
        <f t="shared" si="8"/>
        <v>0</v>
      </c>
      <c r="P135" s="4">
        <f t="shared" si="8"/>
        <v>0</v>
      </c>
      <c r="Q135" s="52"/>
    </row>
    <row r="136" spans="2:17" ht="17.399999999999999" x14ac:dyDescent="0.4">
      <c r="B136" s="82">
        <v>42291</v>
      </c>
      <c r="C136" s="83">
        <v>10550</v>
      </c>
      <c r="D136" s="83">
        <v>10550</v>
      </c>
      <c r="E136" s="83">
        <v>10550</v>
      </c>
      <c r="F136" s="83">
        <v>10550</v>
      </c>
      <c r="G136" s="84">
        <v>0</v>
      </c>
      <c r="H136" s="13">
        <f t="shared" si="6"/>
        <v>0</v>
      </c>
      <c r="I136" s="83">
        <v>0</v>
      </c>
      <c r="J136" s="83">
        <v>0</v>
      </c>
      <c r="K136" s="14">
        <f t="shared" si="7"/>
        <v>0</v>
      </c>
      <c r="L136" s="63">
        <v>0</v>
      </c>
      <c r="M136" s="83">
        <v>0</v>
      </c>
      <c r="N136" s="14">
        <f t="shared" si="8"/>
        <v>0</v>
      </c>
      <c r="O136" s="14">
        <f t="shared" si="8"/>
        <v>0</v>
      </c>
      <c r="P136" s="4">
        <f t="shared" si="8"/>
        <v>0</v>
      </c>
      <c r="Q136" s="52"/>
    </row>
    <row r="137" spans="2:17" ht="17.399999999999999" x14ac:dyDescent="0.4">
      <c r="B137" s="82">
        <v>42292</v>
      </c>
      <c r="C137" s="83">
        <v>10550</v>
      </c>
      <c r="D137" s="83">
        <v>10550</v>
      </c>
      <c r="E137" s="83">
        <v>10550</v>
      </c>
      <c r="F137" s="83">
        <v>10550</v>
      </c>
      <c r="G137" s="84">
        <v>0</v>
      </c>
      <c r="H137" s="13">
        <f t="shared" si="6"/>
        <v>0</v>
      </c>
      <c r="I137" s="83">
        <v>0</v>
      </c>
      <c r="J137" s="83">
        <v>0</v>
      </c>
      <c r="K137" s="14">
        <f t="shared" si="7"/>
        <v>0</v>
      </c>
      <c r="L137" s="63">
        <v>0</v>
      </c>
      <c r="M137" s="83">
        <v>0</v>
      </c>
      <c r="N137" s="14">
        <f t="shared" si="8"/>
        <v>0</v>
      </c>
      <c r="O137" s="14">
        <f t="shared" si="8"/>
        <v>0</v>
      </c>
      <c r="P137" s="4">
        <f t="shared" si="8"/>
        <v>0</v>
      </c>
      <c r="Q137" s="52"/>
    </row>
    <row r="138" spans="2:17" ht="17.399999999999999" x14ac:dyDescent="0.4">
      <c r="B138" s="82">
        <v>42293</v>
      </c>
      <c r="C138" s="83">
        <v>10550</v>
      </c>
      <c r="D138" s="83">
        <v>10550</v>
      </c>
      <c r="E138" s="83">
        <v>10550</v>
      </c>
      <c r="F138" s="83">
        <v>10550</v>
      </c>
      <c r="G138" s="84">
        <v>0</v>
      </c>
      <c r="H138" s="13">
        <f t="shared" si="6"/>
        <v>0</v>
      </c>
      <c r="I138" s="83">
        <v>0</v>
      </c>
      <c r="J138" s="83">
        <v>0</v>
      </c>
      <c r="K138" s="14">
        <f t="shared" si="7"/>
        <v>0</v>
      </c>
      <c r="L138" s="63">
        <v>0</v>
      </c>
      <c r="M138" s="83">
        <v>0</v>
      </c>
      <c r="N138" s="14">
        <f t="shared" si="8"/>
        <v>0</v>
      </c>
      <c r="O138" s="14">
        <f t="shared" si="8"/>
        <v>0</v>
      </c>
      <c r="P138" s="4">
        <f t="shared" si="8"/>
        <v>0</v>
      </c>
      <c r="Q138" s="52"/>
    </row>
    <row r="139" spans="2:17" ht="17.399999999999999" x14ac:dyDescent="0.4">
      <c r="B139" s="82">
        <v>42296</v>
      </c>
      <c r="C139" s="83">
        <v>10550</v>
      </c>
      <c r="D139" s="83">
        <v>10550</v>
      </c>
      <c r="E139" s="83">
        <v>10550</v>
      </c>
      <c r="F139" s="83">
        <v>10550</v>
      </c>
      <c r="G139" s="84">
        <v>0</v>
      </c>
      <c r="H139" s="13">
        <f t="shared" si="6"/>
        <v>0</v>
      </c>
      <c r="I139" s="83">
        <v>0</v>
      </c>
      <c r="J139" s="83">
        <v>0</v>
      </c>
      <c r="K139" s="14">
        <f t="shared" si="7"/>
        <v>0</v>
      </c>
      <c r="L139" s="63">
        <v>0</v>
      </c>
      <c r="M139" s="83">
        <v>0</v>
      </c>
      <c r="N139" s="14">
        <f t="shared" si="8"/>
        <v>0</v>
      </c>
      <c r="O139" s="14">
        <f t="shared" si="8"/>
        <v>0</v>
      </c>
      <c r="P139" s="4">
        <f t="shared" si="8"/>
        <v>0</v>
      </c>
      <c r="Q139" s="52"/>
    </row>
    <row r="140" spans="2:17" ht="17.399999999999999" x14ac:dyDescent="0.4">
      <c r="B140" s="82">
        <v>42297</v>
      </c>
      <c r="C140" s="83">
        <v>10550</v>
      </c>
      <c r="D140" s="83">
        <v>10550</v>
      </c>
      <c r="E140" s="83">
        <v>10550</v>
      </c>
      <c r="F140" s="83">
        <v>10550</v>
      </c>
      <c r="G140" s="84">
        <v>0</v>
      </c>
      <c r="H140" s="13">
        <f t="shared" si="6"/>
        <v>0</v>
      </c>
      <c r="I140" s="83">
        <v>0</v>
      </c>
      <c r="J140" s="83">
        <v>0</v>
      </c>
      <c r="K140" s="14">
        <f t="shared" si="7"/>
        <v>0</v>
      </c>
      <c r="L140" s="63">
        <v>0</v>
      </c>
      <c r="M140" s="83">
        <v>0</v>
      </c>
      <c r="N140" s="14">
        <f t="shared" si="8"/>
        <v>0</v>
      </c>
      <c r="O140" s="14">
        <f t="shared" si="8"/>
        <v>0</v>
      </c>
      <c r="P140" s="4">
        <f t="shared" si="8"/>
        <v>0</v>
      </c>
      <c r="Q140" s="52"/>
    </row>
    <row r="141" spans="2:17" ht="17.399999999999999" x14ac:dyDescent="0.4">
      <c r="B141" s="82">
        <v>42298</v>
      </c>
      <c r="C141" s="83">
        <v>10550</v>
      </c>
      <c r="D141" s="83">
        <v>10550</v>
      </c>
      <c r="E141" s="83">
        <v>10550</v>
      </c>
      <c r="F141" s="83">
        <v>10550</v>
      </c>
      <c r="G141" s="84">
        <v>0</v>
      </c>
      <c r="H141" s="13">
        <f t="shared" si="6"/>
        <v>0</v>
      </c>
      <c r="I141" s="83">
        <v>0</v>
      </c>
      <c r="J141" s="83">
        <v>0</v>
      </c>
      <c r="K141" s="14">
        <f t="shared" si="7"/>
        <v>0</v>
      </c>
      <c r="L141" s="63">
        <v>0</v>
      </c>
      <c r="M141" s="83">
        <v>0</v>
      </c>
      <c r="N141" s="14">
        <f t="shared" si="8"/>
        <v>0</v>
      </c>
      <c r="O141" s="14">
        <f t="shared" si="8"/>
        <v>0</v>
      </c>
      <c r="P141" s="4">
        <f t="shared" si="8"/>
        <v>0</v>
      </c>
      <c r="Q141" s="52"/>
    </row>
    <row r="142" spans="2:17" ht="17.399999999999999" x14ac:dyDescent="0.4">
      <c r="B142" s="82">
        <v>42299</v>
      </c>
      <c r="C142" s="83">
        <v>10550</v>
      </c>
      <c r="D142" s="83">
        <v>10550</v>
      </c>
      <c r="E142" s="83">
        <v>10550</v>
      </c>
      <c r="F142" s="83">
        <v>10550</v>
      </c>
      <c r="G142" s="84">
        <v>0</v>
      </c>
      <c r="H142" s="13">
        <f t="shared" si="6"/>
        <v>0</v>
      </c>
      <c r="I142" s="83">
        <v>0</v>
      </c>
      <c r="J142" s="83">
        <v>0</v>
      </c>
      <c r="K142" s="14">
        <f t="shared" si="7"/>
        <v>0</v>
      </c>
      <c r="L142" s="63">
        <v>0</v>
      </c>
      <c r="M142" s="83">
        <v>0</v>
      </c>
      <c r="N142" s="14">
        <f t="shared" si="8"/>
        <v>0</v>
      </c>
      <c r="O142" s="14">
        <f t="shared" si="8"/>
        <v>0</v>
      </c>
      <c r="P142" s="4">
        <f t="shared" si="8"/>
        <v>0</v>
      </c>
      <c r="Q142" s="52"/>
    </row>
    <row r="143" spans="2:17" ht="17.399999999999999" x14ac:dyDescent="0.4">
      <c r="B143" s="82">
        <v>42300</v>
      </c>
      <c r="C143" s="83">
        <v>10550</v>
      </c>
      <c r="D143" s="83">
        <v>10550</v>
      </c>
      <c r="E143" s="83">
        <v>10550</v>
      </c>
      <c r="F143" s="83">
        <v>10550</v>
      </c>
      <c r="G143" s="84">
        <v>0</v>
      </c>
      <c r="H143" s="13">
        <f t="shared" si="6"/>
        <v>0</v>
      </c>
      <c r="I143" s="83">
        <v>0</v>
      </c>
      <c r="J143" s="83">
        <v>0</v>
      </c>
      <c r="K143" s="14">
        <f t="shared" si="7"/>
        <v>0</v>
      </c>
      <c r="L143" s="63">
        <v>0</v>
      </c>
      <c r="M143" s="83">
        <v>0</v>
      </c>
      <c r="N143" s="14">
        <f t="shared" si="8"/>
        <v>0</v>
      </c>
      <c r="O143" s="14">
        <f t="shared" si="8"/>
        <v>0</v>
      </c>
      <c r="P143" s="4">
        <f t="shared" si="8"/>
        <v>0</v>
      </c>
      <c r="Q143" s="52"/>
    </row>
    <row r="144" spans="2:17" ht="17.399999999999999" x14ac:dyDescent="0.4">
      <c r="B144" s="82">
        <v>42303</v>
      </c>
      <c r="C144" s="83">
        <v>10550</v>
      </c>
      <c r="D144" s="83">
        <v>10550</v>
      </c>
      <c r="E144" s="83">
        <v>10550</v>
      </c>
      <c r="F144" s="83">
        <v>10550</v>
      </c>
      <c r="G144" s="84">
        <v>0</v>
      </c>
      <c r="H144" s="13">
        <f t="shared" si="6"/>
        <v>0</v>
      </c>
      <c r="I144" s="83">
        <v>0</v>
      </c>
      <c r="J144" s="83">
        <v>0</v>
      </c>
      <c r="K144" s="14">
        <f t="shared" si="7"/>
        <v>0</v>
      </c>
      <c r="L144" s="63">
        <v>0</v>
      </c>
      <c r="M144" s="83">
        <v>0</v>
      </c>
      <c r="N144" s="14">
        <f t="shared" si="8"/>
        <v>0</v>
      </c>
      <c r="O144" s="14">
        <f t="shared" si="8"/>
        <v>0</v>
      </c>
      <c r="P144" s="4">
        <f t="shared" si="8"/>
        <v>0</v>
      </c>
      <c r="Q144" s="52"/>
    </row>
    <row r="145" spans="2:17" ht="17.399999999999999" x14ac:dyDescent="0.4">
      <c r="B145" s="82">
        <v>42304</v>
      </c>
      <c r="C145" s="83">
        <v>10550</v>
      </c>
      <c r="D145" s="83">
        <v>10550</v>
      </c>
      <c r="E145" s="83">
        <v>10550</v>
      </c>
      <c r="F145" s="83">
        <v>10550</v>
      </c>
      <c r="G145" s="84">
        <v>0</v>
      </c>
      <c r="H145" s="13">
        <f t="shared" si="6"/>
        <v>0</v>
      </c>
      <c r="I145" s="83">
        <v>0</v>
      </c>
      <c r="J145" s="83">
        <v>0</v>
      </c>
      <c r="K145" s="14">
        <f t="shared" si="7"/>
        <v>0</v>
      </c>
      <c r="L145" s="63">
        <v>0</v>
      </c>
      <c r="M145" s="83">
        <v>0</v>
      </c>
      <c r="N145" s="14">
        <f t="shared" si="8"/>
        <v>0</v>
      </c>
      <c r="O145" s="14">
        <f t="shared" si="8"/>
        <v>0</v>
      </c>
      <c r="P145" s="4">
        <f t="shared" si="8"/>
        <v>0</v>
      </c>
      <c r="Q145" s="52"/>
    </row>
    <row r="146" spans="2:17" ht="17.399999999999999" x14ac:dyDescent="0.4">
      <c r="B146" s="82">
        <v>42305</v>
      </c>
      <c r="C146" s="83">
        <v>10550</v>
      </c>
      <c r="D146" s="83">
        <v>10550</v>
      </c>
      <c r="E146" s="83">
        <v>10550</v>
      </c>
      <c r="F146" s="83">
        <v>10550</v>
      </c>
      <c r="G146" s="84">
        <v>0</v>
      </c>
      <c r="H146" s="13">
        <f t="shared" si="6"/>
        <v>0</v>
      </c>
      <c r="I146" s="83">
        <v>0</v>
      </c>
      <c r="J146" s="83">
        <v>0</v>
      </c>
      <c r="K146" s="14">
        <f t="shared" si="7"/>
        <v>0</v>
      </c>
      <c r="L146" s="63">
        <v>0</v>
      </c>
      <c r="M146" s="83">
        <v>0</v>
      </c>
      <c r="N146" s="14">
        <f t="shared" si="8"/>
        <v>0</v>
      </c>
      <c r="O146" s="14">
        <f t="shared" si="8"/>
        <v>0</v>
      </c>
      <c r="P146" s="4">
        <f t="shared" si="8"/>
        <v>0</v>
      </c>
      <c r="Q146" s="52"/>
    </row>
    <row r="147" spans="2:17" ht="17.399999999999999" x14ac:dyDescent="0.4">
      <c r="B147" s="82">
        <v>42306</v>
      </c>
      <c r="C147" s="83">
        <v>10550</v>
      </c>
      <c r="D147" s="83">
        <v>10550</v>
      </c>
      <c r="E147" s="83">
        <v>10550</v>
      </c>
      <c r="F147" s="83">
        <v>10550</v>
      </c>
      <c r="G147" s="84">
        <v>0</v>
      </c>
      <c r="H147" s="13">
        <f t="shared" si="6"/>
        <v>0</v>
      </c>
      <c r="I147" s="83">
        <v>0</v>
      </c>
      <c r="J147" s="83">
        <v>0</v>
      </c>
      <c r="K147" s="14">
        <f t="shared" si="7"/>
        <v>0</v>
      </c>
      <c r="L147" s="63">
        <v>0</v>
      </c>
      <c r="M147" s="83">
        <v>0</v>
      </c>
      <c r="N147" s="14">
        <f t="shared" si="8"/>
        <v>0</v>
      </c>
      <c r="O147" s="14">
        <f t="shared" si="8"/>
        <v>0</v>
      </c>
      <c r="P147" s="4">
        <f t="shared" si="8"/>
        <v>0</v>
      </c>
      <c r="Q147" s="52"/>
    </row>
    <row r="148" spans="2:17" ht="17.399999999999999" x14ac:dyDescent="0.4">
      <c r="B148" s="82">
        <v>42307</v>
      </c>
      <c r="C148" s="83">
        <v>10550</v>
      </c>
      <c r="D148" s="83">
        <v>10550</v>
      </c>
      <c r="E148" s="83">
        <v>10550</v>
      </c>
      <c r="F148" s="83">
        <v>10550</v>
      </c>
      <c r="G148" s="84">
        <v>0</v>
      </c>
      <c r="H148" s="13">
        <f t="shared" si="6"/>
        <v>0</v>
      </c>
      <c r="I148" s="83">
        <v>0</v>
      </c>
      <c r="J148" s="83">
        <v>0</v>
      </c>
      <c r="K148" s="14">
        <f t="shared" si="7"/>
        <v>0</v>
      </c>
      <c r="L148" s="63">
        <v>0</v>
      </c>
      <c r="M148" s="83">
        <v>0</v>
      </c>
      <c r="N148" s="14">
        <f t="shared" si="8"/>
        <v>0</v>
      </c>
      <c r="O148" s="14">
        <f t="shared" si="8"/>
        <v>0</v>
      </c>
      <c r="P148" s="4">
        <f t="shared" si="8"/>
        <v>0</v>
      </c>
      <c r="Q148" s="52"/>
    </row>
    <row r="149" spans="2:17" ht="17.399999999999999" x14ac:dyDescent="0.4">
      <c r="B149" s="82">
        <v>42310</v>
      </c>
      <c r="C149" s="83">
        <v>10550</v>
      </c>
      <c r="D149" s="83">
        <v>10550</v>
      </c>
      <c r="E149" s="83">
        <v>10550</v>
      </c>
      <c r="F149" s="83">
        <v>10550</v>
      </c>
      <c r="G149" s="84">
        <v>0</v>
      </c>
      <c r="H149" s="13">
        <f t="shared" si="6"/>
        <v>0</v>
      </c>
      <c r="I149" s="83">
        <v>0</v>
      </c>
      <c r="J149" s="83">
        <v>0</v>
      </c>
      <c r="K149" s="14">
        <f t="shared" si="7"/>
        <v>0</v>
      </c>
      <c r="L149" s="63">
        <v>0</v>
      </c>
      <c r="M149" s="83">
        <v>0</v>
      </c>
      <c r="N149" s="14">
        <f t="shared" si="8"/>
        <v>0</v>
      </c>
      <c r="O149" s="14">
        <f t="shared" si="8"/>
        <v>0</v>
      </c>
      <c r="P149" s="4">
        <f t="shared" si="8"/>
        <v>0</v>
      </c>
      <c r="Q149" s="52"/>
    </row>
    <row r="150" spans="2:17" ht="17.399999999999999" x14ac:dyDescent="0.4">
      <c r="B150" s="82">
        <v>42311</v>
      </c>
      <c r="C150" s="83">
        <v>10550</v>
      </c>
      <c r="D150" s="83">
        <v>10550</v>
      </c>
      <c r="E150" s="83">
        <v>10550</v>
      </c>
      <c r="F150" s="83">
        <v>10550</v>
      </c>
      <c r="G150" s="84">
        <v>0</v>
      </c>
      <c r="H150" s="13">
        <f t="shared" si="6"/>
        <v>0</v>
      </c>
      <c r="I150" s="83">
        <v>0</v>
      </c>
      <c r="J150" s="83">
        <v>0</v>
      </c>
      <c r="K150" s="14">
        <f t="shared" si="7"/>
        <v>0</v>
      </c>
      <c r="L150" s="63">
        <v>0</v>
      </c>
      <c r="M150" s="83">
        <v>0</v>
      </c>
      <c r="N150" s="14">
        <f t="shared" si="8"/>
        <v>0</v>
      </c>
      <c r="O150" s="14">
        <f t="shared" si="8"/>
        <v>0</v>
      </c>
      <c r="P150" s="4">
        <f t="shared" si="8"/>
        <v>0</v>
      </c>
      <c r="Q150" s="52"/>
    </row>
    <row r="151" spans="2:17" ht="17.399999999999999" x14ac:dyDescent="0.4">
      <c r="B151" s="82">
        <v>42312</v>
      </c>
      <c r="C151" s="83">
        <v>10550</v>
      </c>
      <c r="D151" s="83">
        <v>10550</v>
      </c>
      <c r="E151" s="83">
        <v>10550</v>
      </c>
      <c r="F151" s="83">
        <v>10550</v>
      </c>
      <c r="G151" s="84">
        <v>0</v>
      </c>
      <c r="H151" s="13">
        <f t="shared" si="6"/>
        <v>0</v>
      </c>
      <c r="I151" s="83">
        <v>0</v>
      </c>
      <c r="J151" s="83">
        <v>0</v>
      </c>
      <c r="K151" s="14">
        <f t="shared" si="7"/>
        <v>0</v>
      </c>
      <c r="L151" s="63">
        <v>0</v>
      </c>
      <c r="M151" s="83">
        <v>0</v>
      </c>
      <c r="N151" s="14">
        <f t="shared" si="8"/>
        <v>0</v>
      </c>
      <c r="O151" s="14">
        <f t="shared" si="8"/>
        <v>0</v>
      </c>
      <c r="P151" s="4">
        <f t="shared" si="8"/>
        <v>0</v>
      </c>
      <c r="Q151" s="52"/>
    </row>
    <row r="152" spans="2:17" ht="17.399999999999999" x14ac:dyDescent="0.4">
      <c r="B152" s="82">
        <v>42313</v>
      </c>
      <c r="C152" s="83">
        <v>10550</v>
      </c>
      <c r="D152" s="83">
        <v>10550</v>
      </c>
      <c r="E152" s="83">
        <v>10550</v>
      </c>
      <c r="F152" s="83">
        <v>10550</v>
      </c>
      <c r="G152" s="84">
        <v>0</v>
      </c>
      <c r="H152" s="13">
        <f t="shared" si="6"/>
        <v>0</v>
      </c>
      <c r="I152" s="83">
        <v>0</v>
      </c>
      <c r="J152" s="83">
        <v>0</v>
      </c>
      <c r="K152" s="14">
        <f t="shared" si="7"/>
        <v>0</v>
      </c>
      <c r="L152" s="63">
        <v>0</v>
      </c>
      <c r="M152" s="83">
        <v>0</v>
      </c>
      <c r="N152" s="14">
        <f t="shared" si="8"/>
        <v>0</v>
      </c>
      <c r="O152" s="14">
        <f t="shared" si="8"/>
        <v>0</v>
      </c>
      <c r="P152" s="4">
        <f t="shared" si="8"/>
        <v>0</v>
      </c>
      <c r="Q152" s="52"/>
    </row>
    <row r="153" spans="2:17" ht="17.399999999999999" x14ac:dyDescent="0.4">
      <c r="B153" s="82">
        <v>42314</v>
      </c>
      <c r="C153" s="83">
        <v>10550</v>
      </c>
      <c r="D153" s="83">
        <v>10550</v>
      </c>
      <c r="E153" s="83">
        <v>10550</v>
      </c>
      <c r="F153" s="83">
        <v>10550</v>
      </c>
      <c r="G153" s="84">
        <v>0</v>
      </c>
      <c r="H153" s="13">
        <f t="shared" si="6"/>
        <v>0</v>
      </c>
      <c r="I153" s="83">
        <v>0</v>
      </c>
      <c r="J153" s="83">
        <v>0</v>
      </c>
      <c r="K153" s="14">
        <f t="shared" si="7"/>
        <v>0</v>
      </c>
      <c r="L153" s="63">
        <v>0</v>
      </c>
      <c r="M153" s="83">
        <v>0</v>
      </c>
      <c r="N153" s="14">
        <f t="shared" si="8"/>
        <v>0</v>
      </c>
      <c r="O153" s="14">
        <f t="shared" si="8"/>
        <v>0</v>
      </c>
      <c r="P153" s="4">
        <f t="shared" si="8"/>
        <v>0</v>
      </c>
      <c r="Q153" s="52"/>
    </row>
    <row r="154" spans="2:17" ht="17.399999999999999" x14ac:dyDescent="0.4">
      <c r="B154" s="82">
        <v>42317</v>
      </c>
      <c r="C154" s="83">
        <v>10550</v>
      </c>
      <c r="D154" s="83">
        <v>10550</v>
      </c>
      <c r="E154" s="83">
        <v>10550</v>
      </c>
      <c r="F154" s="83">
        <v>10550</v>
      </c>
      <c r="G154" s="84">
        <v>0</v>
      </c>
      <c r="H154" s="13">
        <f t="shared" si="6"/>
        <v>0</v>
      </c>
      <c r="I154" s="83">
        <v>0</v>
      </c>
      <c r="J154" s="83">
        <v>0</v>
      </c>
      <c r="K154" s="14">
        <f t="shared" si="7"/>
        <v>0</v>
      </c>
      <c r="L154" s="63">
        <v>0</v>
      </c>
      <c r="M154" s="83">
        <v>0</v>
      </c>
      <c r="N154" s="14">
        <f t="shared" si="8"/>
        <v>0</v>
      </c>
      <c r="O154" s="14">
        <f t="shared" si="8"/>
        <v>0</v>
      </c>
      <c r="P154" s="4">
        <f t="shared" si="8"/>
        <v>0</v>
      </c>
      <c r="Q154" s="52"/>
    </row>
    <row r="155" spans="2:17" ht="17.399999999999999" x14ac:dyDescent="0.4">
      <c r="B155" s="82">
        <v>42318</v>
      </c>
      <c r="C155" s="83">
        <v>10550</v>
      </c>
      <c r="D155" s="83">
        <v>10550</v>
      </c>
      <c r="E155" s="83">
        <v>10550</v>
      </c>
      <c r="F155" s="83">
        <v>10550</v>
      </c>
      <c r="G155" s="84">
        <v>0</v>
      </c>
      <c r="H155" s="13">
        <f t="shared" si="6"/>
        <v>0</v>
      </c>
      <c r="I155" s="83">
        <v>0</v>
      </c>
      <c r="J155" s="83">
        <v>0</v>
      </c>
      <c r="K155" s="14">
        <f t="shared" si="7"/>
        <v>0</v>
      </c>
      <c r="L155" s="63">
        <v>0</v>
      </c>
      <c r="M155" s="83">
        <v>0</v>
      </c>
      <c r="N155" s="14">
        <f t="shared" si="8"/>
        <v>0</v>
      </c>
      <c r="O155" s="14">
        <f t="shared" si="8"/>
        <v>0</v>
      </c>
      <c r="P155" s="4">
        <f t="shared" si="8"/>
        <v>0</v>
      </c>
      <c r="Q155" s="52"/>
    </row>
    <row r="156" spans="2:17" ht="17.399999999999999" x14ac:dyDescent="0.4">
      <c r="B156" s="82">
        <v>42319</v>
      </c>
      <c r="C156" s="83">
        <v>10550</v>
      </c>
      <c r="D156" s="83">
        <v>10550</v>
      </c>
      <c r="E156" s="83">
        <v>10550</v>
      </c>
      <c r="F156" s="83">
        <v>10550</v>
      </c>
      <c r="G156" s="84">
        <v>0</v>
      </c>
      <c r="H156" s="13">
        <f t="shared" si="6"/>
        <v>0</v>
      </c>
      <c r="I156" s="83">
        <v>0</v>
      </c>
      <c r="J156" s="83">
        <v>0</v>
      </c>
      <c r="K156" s="14">
        <f t="shared" si="7"/>
        <v>0</v>
      </c>
      <c r="L156" s="63">
        <v>0</v>
      </c>
      <c r="M156" s="83">
        <v>0</v>
      </c>
      <c r="N156" s="14">
        <f t="shared" si="8"/>
        <v>0</v>
      </c>
      <c r="O156" s="14">
        <f t="shared" si="8"/>
        <v>0</v>
      </c>
      <c r="P156" s="4">
        <f t="shared" si="8"/>
        <v>0</v>
      </c>
      <c r="Q156" s="52"/>
    </row>
    <row r="157" spans="2:17" ht="17.399999999999999" x14ac:dyDescent="0.4">
      <c r="B157" s="82">
        <v>42320</v>
      </c>
      <c r="C157" s="83">
        <v>10550</v>
      </c>
      <c r="D157" s="83">
        <v>10550</v>
      </c>
      <c r="E157" s="83">
        <v>10550</v>
      </c>
      <c r="F157" s="83">
        <v>10550</v>
      </c>
      <c r="G157" s="84">
        <v>0</v>
      </c>
      <c r="H157" s="13">
        <f t="shared" si="6"/>
        <v>0</v>
      </c>
      <c r="I157" s="83">
        <v>0</v>
      </c>
      <c r="J157" s="83">
        <v>0</v>
      </c>
      <c r="K157" s="14">
        <f t="shared" si="7"/>
        <v>0</v>
      </c>
      <c r="L157" s="63">
        <v>0</v>
      </c>
      <c r="M157" s="83">
        <v>0</v>
      </c>
      <c r="N157" s="14">
        <f t="shared" si="8"/>
        <v>0</v>
      </c>
      <c r="O157" s="14">
        <f t="shared" si="8"/>
        <v>0</v>
      </c>
      <c r="P157" s="4">
        <f t="shared" si="8"/>
        <v>0</v>
      </c>
      <c r="Q157" s="52"/>
    </row>
    <row r="158" spans="2:17" ht="17.399999999999999" x14ac:dyDescent="0.4">
      <c r="B158" s="82">
        <v>42321</v>
      </c>
      <c r="C158" s="83">
        <v>10550</v>
      </c>
      <c r="D158" s="83">
        <v>10550</v>
      </c>
      <c r="E158" s="83">
        <v>10550</v>
      </c>
      <c r="F158" s="83">
        <v>10550</v>
      </c>
      <c r="G158" s="84">
        <v>0</v>
      </c>
      <c r="H158" s="13">
        <f t="shared" si="6"/>
        <v>0</v>
      </c>
      <c r="I158" s="83">
        <v>0</v>
      </c>
      <c r="J158" s="83">
        <v>0</v>
      </c>
      <c r="K158" s="14">
        <f t="shared" si="7"/>
        <v>0</v>
      </c>
      <c r="L158" s="63">
        <v>0</v>
      </c>
      <c r="M158" s="83">
        <v>0</v>
      </c>
      <c r="N158" s="14">
        <f t="shared" si="8"/>
        <v>0</v>
      </c>
      <c r="O158" s="14">
        <f t="shared" si="8"/>
        <v>0</v>
      </c>
      <c r="P158" s="4">
        <f t="shared" si="8"/>
        <v>0</v>
      </c>
      <c r="Q158" s="52"/>
    </row>
    <row r="159" spans="2:17" ht="17.399999999999999" x14ac:dyDescent="0.4">
      <c r="B159" s="82">
        <v>42324</v>
      </c>
      <c r="C159" s="83">
        <v>10550</v>
      </c>
      <c r="D159" s="83">
        <v>10550</v>
      </c>
      <c r="E159" s="83">
        <v>10550</v>
      </c>
      <c r="F159" s="83">
        <v>10550</v>
      </c>
      <c r="G159" s="84">
        <v>0</v>
      </c>
      <c r="H159" s="13">
        <f t="shared" si="6"/>
        <v>0</v>
      </c>
      <c r="I159" s="83">
        <v>0</v>
      </c>
      <c r="J159" s="83">
        <v>0</v>
      </c>
      <c r="K159" s="14">
        <f t="shared" si="7"/>
        <v>0</v>
      </c>
      <c r="L159" s="63">
        <v>0</v>
      </c>
      <c r="M159" s="83">
        <v>0</v>
      </c>
      <c r="N159" s="14">
        <f t="shared" si="8"/>
        <v>0</v>
      </c>
      <c r="O159" s="14">
        <f t="shared" si="8"/>
        <v>0</v>
      </c>
      <c r="P159" s="4">
        <f t="shared" si="8"/>
        <v>0</v>
      </c>
      <c r="Q159" s="52"/>
    </row>
    <row r="160" spans="2:17" s="18" customFormat="1" x14ac:dyDescent="0.4">
      <c r="B160" s="82">
        <v>42325</v>
      </c>
      <c r="C160" s="83">
        <v>10550</v>
      </c>
      <c r="D160" s="83">
        <v>10550</v>
      </c>
      <c r="E160" s="83">
        <v>10550</v>
      </c>
      <c r="F160" s="83">
        <v>10550</v>
      </c>
      <c r="G160" s="84">
        <v>0</v>
      </c>
      <c r="H160" s="13">
        <f t="shared" si="6"/>
        <v>0</v>
      </c>
      <c r="I160" s="83">
        <v>0</v>
      </c>
      <c r="J160" s="83">
        <v>0</v>
      </c>
      <c r="K160" s="14">
        <f t="shared" si="7"/>
        <v>0</v>
      </c>
      <c r="L160" s="63">
        <v>0</v>
      </c>
      <c r="M160" s="83">
        <v>0</v>
      </c>
      <c r="N160" s="14">
        <f t="shared" si="8"/>
        <v>0</v>
      </c>
      <c r="O160" s="14">
        <f t="shared" si="8"/>
        <v>0</v>
      </c>
      <c r="P160" s="4">
        <f t="shared" si="8"/>
        <v>0</v>
      </c>
      <c r="Q160" s="52"/>
    </row>
    <row r="161" spans="2:17" s="18" customFormat="1" x14ac:dyDescent="0.4">
      <c r="B161" s="82">
        <v>42326</v>
      </c>
      <c r="C161" s="83">
        <v>10550</v>
      </c>
      <c r="D161" s="83">
        <v>10550</v>
      </c>
      <c r="E161" s="83">
        <v>10550</v>
      </c>
      <c r="F161" s="83">
        <v>10550</v>
      </c>
      <c r="G161" s="84">
        <v>0</v>
      </c>
      <c r="H161" s="13">
        <f t="shared" si="6"/>
        <v>0</v>
      </c>
      <c r="I161" s="83">
        <v>0</v>
      </c>
      <c r="J161" s="83">
        <v>0</v>
      </c>
      <c r="K161" s="14">
        <f t="shared" si="7"/>
        <v>0</v>
      </c>
      <c r="L161" s="63">
        <v>0</v>
      </c>
      <c r="M161" s="83">
        <v>0</v>
      </c>
      <c r="N161" s="14">
        <f t="shared" si="8"/>
        <v>0</v>
      </c>
      <c r="O161" s="14">
        <f t="shared" si="8"/>
        <v>0</v>
      </c>
      <c r="P161" s="4">
        <f t="shared" si="8"/>
        <v>0</v>
      </c>
      <c r="Q161" s="52"/>
    </row>
    <row r="162" spans="2:17" s="18" customFormat="1" x14ac:dyDescent="0.4">
      <c r="B162" s="82">
        <v>42327</v>
      </c>
      <c r="C162" s="83">
        <v>10550</v>
      </c>
      <c r="D162" s="83">
        <v>10550</v>
      </c>
      <c r="E162" s="83">
        <v>10550</v>
      </c>
      <c r="F162" s="83">
        <v>10550</v>
      </c>
      <c r="G162" s="84">
        <v>0</v>
      </c>
      <c r="H162" s="13">
        <f t="shared" si="6"/>
        <v>0</v>
      </c>
      <c r="I162" s="83">
        <v>0</v>
      </c>
      <c r="J162" s="83">
        <v>0</v>
      </c>
      <c r="K162" s="14">
        <f t="shared" si="7"/>
        <v>0</v>
      </c>
      <c r="L162" s="63">
        <v>0</v>
      </c>
      <c r="M162" s="83">
        <v>0</v>
      </c>
      <c r="N162" s="14">
        <f t="shared" si="8"/>
        <v>0</v>
      </c>
      <c r="O162" s="14">
        <f t="shared" si="8"/>
        <v>0</v>
      </c>
      <c r="P162" s="4">
        <f t="shared" si="8"/>
        <v>0</v>
      </c>
      <c r="Q162" s="52"/>
    </row>
    <row r="163" spans="2:17" s="18" customFormat="1" x14ac:dyDescent="0.4">
      <c r="B163" s="82">
        <v>42328</v>
      </c>
      <c r="C163" s="83">
        <v>10550</v>
      </c>
      <c r="D163" s="83">
        <v>10550</v>
      </c>
      <c r="E163" s="83">
        <v>10550</v>
      </c>
      <c r="F163" s="83">
        <v>10550</v>
      </c>
      <c r="G163" s="84">
        <v>0</v>
      </c>
      <c r="H163" s="13">
        <f t="shared" si="6"/>
        <v>0</v>
      </c>
      <c r="I163" s="83">
        <v>0</v>
      </c>
      <c r="J163" s="83">
        <v>0</v>
      </c>
      <c r="K163" s="14">
        <f t="shared" si="7"/>
        <v>0</v>
      </c>
      <c r="L163" s="63">
        <v>0</v>
      </c>
      <c r="M163" s="83">
        <v>0</v>
      </c>
      <c r="N163" s="14">
        <f t="shared" si="8"/>
        <v>0</v>
      </c>
      <c r="O163" s="14">
        <f t="shared" si="8"/>
        <v>0</v>
      </c>
      <c r="P163" s="4">
        <f t="shared" si="8"/>
        <v>0</v>
      </c>
      <c r="Q163" s="52"/>
    </row>
    <row r="164" spans="2:17" s="18" customFormat="1" x14ac:dyDescent="0.4">
      <c r="B164" s="82">
        <v>42331</v>
      </c>
      <c r="C164" s="83">
        <v>10550</v>
      </c>
      <c r="D164" s="83">
        <v>10550</v>
      </c>
      <c r="E164" s="83">
        <v>10550</v>
      </c>
      <c r="F164" s="83">
        <v>10550</v>
      </c>
      <c r="G164" s="84">
        <v>0</v>
      </c>
      <c r="H164" s="13">
        <f t="shared" si="6"/>
        <v>0</v>
      </c>
      <c r="I164" s="83">
        <v>0</v>
      </c>
      <c r="J164" s="83">
        <v>0</v>
      </c>
      <c r="K164" s="14">
        <f t="shared" si="7"/>
        <v>0</v>
      </c>
      <c r="L164" s="63">
        <v>0</v>
      </c>
      <c r="M164" s="83">
        <v>0</v>
      </c>
      <c r="N164" s="14">
        <f t="shared" si="8"/>
        <v>0</v>
      </c>
      <c r="O164" s="14">
        <f t="shared" si="8"/>
        <v>0</v>
      </c>
      <c r="P164" s="4">
        <f t="shared" si="8"/>
        <v>0</v>
      </c>
      <c r="Q164" s="52"/>
    </row>
    <row r="165" spans="2:17" s="18" customFormat="1" x14ac:dyDescent="0.4">
      <c r="B165" s="82">
        <v>42332</v>
      </c>
      <c r="C165" s="83">
        <v>10550</v>
      </c>
      <c r="D165" s="83">
        <v>10550</v>
      </c>
      <c r="E165" s="83">
        <v>10550</v>
      </c>
      <c r="F165" s="83">
        <v>10550</v>
      </c>
      <c r="G165" s="84">
        <v>0</v>
      </c>
      <c r="H165" s="13">
        <f t="shared" si="6"/>
        <v>0</v>
      </c>
      <c r="I165" s="83">
        <v>0</v>
      </c>
      <c r="J165" s="83">
        <v>0</v>
      </c>
      <c r="K165" s="14">
        <f t="shared" si="7"/>
        <v>0</v>
      </c>
      <c r="L165" s="63">
        <v>0</v>
      </c>
      <c r="M165" s="83">
        <v>0</v>
      </c>
      <c r="N165" s="14">
        <f t="shared" si="8"/>
        <v>0</v>
      </c>
      <c r="O165" s="14">
        <f t="shared" si="8"/>
        <v>0</v>
      </c>
      <c r="P165" s="4">
        <f t="shared" si="8"/>
        <v>0</v>
      </c>
      <c r="Q165" s="52"/>
    </row>
    <row r="166" spans="2:17" s="18" customFormat="1" x14ac:dyDescent="0.4">
      <c r="B166" s="82">
        <v>42333</v>
      </c>
      <c r="C166" s="83">
        <v>10550</v>
      </c>
      <c r="D166" s="83">
        <v>10550</v>
      </c>
      <c r="E166" s="83">
        <v>10550</v>
      </c>
      <c r="F166" s="83">
        <v>10550</v>
      </c>
      <c r="G166" s="84">
        <v>0</v>
      </c>
      <c r="H166" s="13">
        <f t="shared" si="6"/>
        <v>0</v>
      </c>
      <c r="I166" s="83">
        <v>0</v>
      </c>
      <c r="J166" s="83">
        <v>0</v>
      </c>
      <c r="K166" s="14">
        <f t="shared" si="7"/>
        <v>0</v>
      </c>
      <c r="L166" s="63">
        <v>0</v>
      </c>
      <c r="M166" s="83">
        <v>0</v>
      </c>
      <c r="N166" s="14">
        <f t="shared" si="8"/>
        <v>0</v>
      </c>
      <c r="O166" s="14">
        <f t="shared" si="8"/>
        <v>0</v>
      </c>
      <c r="P166" s="4">
        <f t="shared" si="8"/>
        <v>0</v>
      </c>
      <c r="Q166" s="52"/>
    </row>
    <row r="167" spans="2:17" s="18" customFormat="1" x14ac:dyDescent="0.4">
      <c r="B167" s="82">
        <v>42334</v>
      </c>
      <c r="C167" s="83">
        <v>10550</v>
      </c>
      <c r="D167" s="83">
        <v>10550</v>
      </c>
      <c r="E167" s="83">
        <v>10550</v>
      </c>
      <c r="F167" s="83">
        <v>10550</v>
      </c>
      <c r="G167" s="84">
        <v>0</v>
      </c>
      <c r="H167" s="13">
        <f t="shared" si="6"/>
        <v>0</v>
      </c>
      <c r="I167" s="83">
        <v>0</v>
      </c>
      <c r="J167" s="83">
        <v>0</v>
      </c>
      <c r="K167" s="14">
        <f t="shared" si="7"/>
        <v>0</v>
      </c>
      <c r="L167" s="63">
        <v>0</v>
      </c>
      <c r="M167" s="83">
        <v>0</v>
      </c>
      <c r="N167" s="14">
        <f t="shared" si="8"/>
        <v>0</v>
      </c>
      <c r="O167" s="14">
        <f t="shared" si="8"/>
        <v>0</v>
      </c>
      <c r="P167" s="4">
        <f t="shared" si="8"/>
        <v>0</v>
      </c>
      <c r="Q167" s="52"/>
    </row>
    <row r="168" spans="2:17" s="18" customFormat="1" x14ac:dyDescent="0.4">
      <c r="B168" s="82">
        <v>42335</v>
      </c>
      <c r="C168" s="83">
        <v>10550</v>
      </c>
      <c r="D168" s="83">
        <v>10550</v>
      </c>
      <c r="E168" s="83">
        <v>10550</v>
      </c>
      <c r="F168" s="83">
        <v>10550</v>
      </c>
      <c r="G168" s="84">
        <v>0</v>
      </c>
      <c r="H168" s="13">
        <f t="shared" si="6"/>
        <v>0</v>
      </c>
      <c r="I168" s="83">
        <v>0</v>
      </c>
      <c r="J168" s="83">
        <v>0</v>
      </c>
      <c r="K168" s="14">
        <f t="shared" si="7"/>
        <v>0</v>
      </c>
      <c r="L168" s="63">
        <v>0</v>
      </c>
      <c r="M168" s="83">
        <v>0</v>
      </c>
      <c r="N168" s="14">
        <f t="shared" si="8"/>
        <v>0</v>
      </c>
      <c r="O168" s="14">
        <f t="shared" si="8"/>
        <v>0</v>
      </c>
      <c r="P168" s="4">
        <f t="shared" si="8"/>
        <v>0</v>
      </c>
      <c r="Q168" s="52"/>
    </row>
    <row r="169" spans="2:17" s="18" customFormat="1" x14ac:dyDescent="0.4">
      <c r="B169" s="82">
        <v>42338</v>
      </c>
      <c r="C169" s="83">
        <v>10550</v>
      </c>
      <c r="D169" s="83">
        <v>10550</v>
      </c>
      <c r="E169" s="83">
        <v>10550</v>
      </c>
      <c r="F169" s="83">
        <v>10550</v>
      </c>
      <c r="G169" s="84">
        <v>0</v>
      </c>
      <c r="H169" s="13">
        <f t="shared" si="6"/>
        <v>0</v>
      </c>
      <c r="I169" s="83">
        <v>0</v>
      </c>
      <c r="J169" s="83">
        <v>0</v>
      </c>
      <c r="K169" s="14">
        <f t="shared" si="7"/>
        <v>0</v>
      </c>
      <c r="L169" s="63">
        <v>0</v>
      </c>
      <c r="M169" s="83">
        <v>0</v>
      </c>
      <c r="N169" s="14">
        <f t="shared" si="8"/>
        <v>0</v>
      </c>
      <c r="O169" s="14">
        <f t="shared" si="8"/>
        <v>0</v>
      </c>
      <c r="P169" s="4">
        <f t="shared" si="8"/>
        <v>0</v>
      </c>
      <c r="Q169" s="52"/>
    </row>
    <row r="170" spans="2:17" s="18" customFormat="1" x14ac:dyDescent="0.4">
      <c r="B170" s="82">
        <v>42339</v>
      </c>
      <c r="C170" s="83">
        <v>10550</v>
      </c>
      <c r="D170" s="83">
        <v>10550</v>
      </c>
      <c r="E170" s="83">
        <v>10550</v>
      </c>
      <c r="F170" s="83">
        <v>10550</v>
      </c>
      <c r="G170" s="84">
        <v>0</v>
      </c>
      <c r="H170" s="13">
        <f t="shared" si="6"/>
        <v>0</v>
      </c>
      <c r="I170" s="83">
        <v>0</v>
      </c>
      <c r="J170" s="83">
        <v>0</v>
      </c>
      <c r="K170" s="14">
        <f t="shared" si="7"/>
        <v>0</v>
      </c>
      <c r="L170" s="63">
        <v>0</v>
      </c>
      <c r="M170" s="83">
        <v>0</v>
      </c>
      <c r="N170" s="14">
        <f t="shared" si="8"/>
        <v>0</v>
      </c>
      <c r="O170" s="14">
        <f t="shared" si="8"/>
        <v>0</v>
      </c>
      <c r="P170" s="4">
        <f t="shared" si="8"/>
        <v>0</v>
      </c>
      <c r="Q170" s="52"/>
    </row>
    <row r="171" spans="2:17" s="18" customFormat="1" x14ac:dyDescent="0.4">
      <c r="B171" s="82">
        <v>42340</v>
      </c>
      <c r="C171" s="83">
        <v>10550</v>
      </c>
      <c r="D171" s="83">
        <v>10550</v>
      </c>
      <c r="E171" s="83">
        <v>10550</v>
      </c>
      <c r="F171" s="83">
        <v>10550</v>
      </c>
      <c r="G171" s="84">
        <v>0</v>
      </c>
      <c r="H171" s="13">
        <f t="shared" si="6"/>
        <v>0</v>
      </c>
      <c r="I171" s="83">
        <v>0</v>
      </c>
      <c r="J171" s="83">
        <v>0</v>
      </c>
      <c r="K171" s="14">
        <f t="shared" si="7"/>
        <v>0</v>
      </c>
      <c r="L171" s="63">
        <v>0</v>
      </c>
      <c r="M171" s="83">
        <v>0</v>
      </c>
      <c r="N171" s="14">
        <f t="shared" si="8"/>
        <v>0</v>
      </c>
      <c r="O171" s="14">
        <f t="shared" si="8"/>
        <v>0</v>
      </c>
      <c r="P171" s="4">
        <f t="shared" si="8"/>
        <v>0</v>
      </c>
      <c r="Q171" s="52"/>
    </row>
    <row r="172" spans="2:17" s="18" customFormat="1" x14ac:dyDescent="0.4">
      <c r="B172" s="82">
        <v>42341</v>
      </c>
      <c r="C172" s="83">
        <v>10550</v>
      </c>
      <c r="D172" s="83">
        <v>10550</v>
      </c>
      <c r="E172" s="83">
        <v>10550</v>
      </c>
      <c r="F172" s="83">
        <v>10550</v>
      </c>
      <c r="G172" s="84">
        <v>0</v>
      </c>
      <c r="H172" s="13">
        <f t="shared" si="6"/>
        <v>0</v>
      </c>
      <c r="I172" s="83">
        <v>0</v>
      </c>
      <c r="J172" s="83">
        <v>0</v>
      </c>
      <c r="K172" s="14">
        <f t="shared" si="7"/>
        <v>0</v>
      </c>
      <c r="L172" s="63">
        <v>0</v>
      </c>
      <c r="M172" s="83">
        <v>0</v>
      </c>
      <c r="N172" s="14">
        <f t="shared" si="8"/>
        <v>0</v>
      </c>
      <c r="O172" s="14">
        <f t="shared" si="8"/>
        <v>0</v>
      </c>
      <c r="P172" s="4">
        <f t="shared" si="8"/>
        <v>0</v>
      </c>
      <c r="Q172" s="52"/>
    </row>
    <row r="173" spans="2:17" s="18" customFormat="1" x14ac:dyDescent="0.4">
      <c r="B173" s="82">
        <v>42342</v>
      </c>
      <c r="C173" s="83">
        <v>10550</v>
      </c>
      <c r="D173" s="83">
        <v>10550</v>
      </c>
      <c r="E173" s="83">
        <v>10550</v>
      </c>
      <c r="F173" s="83">
        <v>10550</v>
      </c>
      <c r="G173" s="84">
        <v>0</v>
      </c>
      <c r="H173" s="13">
        <f t="shared" si="6"/>
        <v>0</v>
      </c>
      <c r="I173" s="83">
        <v>0</v>
      </c>
      <c r="J173" s="83">
        <v>0</v>
      </c>
      <c r="K173" s="14">
        <f t="shared" si="7"/>
        <v>0</v>
      </c>
      <c r="L173" s="63">
        <v>0</v>
      </c>
      <c r="M173" s="83">
        <v>0</v>
      </c>
      <c r="N173" s="14">
        <f t="shared" si="8"/>
        <v>0</v>
      </c>
      <c r="O173" s="14">
        <f t="shared" si="8"/>
        <v>0</v>
      </c>
      <c r="P173" s="4">
        <f t="shared" si="8"/>
        <v>0</v>
      </c>
      <c r="Q173" s="52"/>
    </row>
    <row r="174" spans="2:17" s="18" customFormat="1" x14ac:dyDescent="0.4">
      <c r="B174" s="82">
        <v>42345</v>
      </c>
      <c r="C174" s="83">
        <v>11000</v>
      </c>
      <c r="D174" s="83">
        <v>11000</v>
      </c>
      <c r="E174" s="83">
        <v>11000</v>
      </c>
      <c r="F174" s="83">
        <v>11000</v>
      </c>
      <c r="G174" s="84">
        <v>4.2699999999999996</v>
      </c>
      <c r="H174" s="13">
        <f t="shared" si="6"/>
        <v>0</v>
      </c>
      <c r="I174" s="83">
        <v>0</v>
      </c>
      <c r="J174" s="83">
        <v>0</v>
      </c>
      <c r="K174" s="14">
        <f t="shared" si="7"/>
        <v>0</v>
      </c>
      <c r="L174" s="63">
        <v>0</v>
      </c>
      <c r="M174" s="83">
        <v>0</v>
      </c>
      <c r="N174" s="14">
        <f t="shared" si="8"/>
        <v>0</v>
      </c>
      <c r="O174" s="14">
        <f t="shared" si="8"/>
        <v>0</v>
      </c>
      <c r="P174" s="4">
        <f t="shared" si="8"/>
        <v>0</v>
      </c>
      <c r="Q174" s="52"/>
    </row>
    <row r="175" spans="2:17" s="18" customFormat="1" x14ac:dyDescent="0.4">
      <c r="B175" s="82">
        <v>42346</v>
      </c>
      <c r="C175" s="83">
        <v>11000</v>
      </c>
      <c r="D175" s="83">
        <v>11000</v>
      </c>
      <c r="E175" s="83">
        <v>11000</v>
      </c>
      <c r="F175" s="83">
        <v>11000</v>
      </c>
      <c r="G175" s="84">
        <v>0</v>
      </c>
      <c r="H175" s="13">
        <f t="shared" si="6"/>
        <v>0</v>
      </c>
      <c r="I175" s="83">
        <v>0</v>
      </c>
      <c r="J175" s="83">
        <v>0</v>
      </c>
      <c r="K175" s="14">
        <f t="shared" si="7"/>
        <v>0</v>
      </c>
      <c r="L175" s="63">
        <v>0</v>
      </c>
      <c r="M175" s="83">
        <v>0</v>
      </c>
      <c r="N175" s="14">
        <f t="shared" si="8"/>
        <v>0</v>
      </c>
      <c r="O175" s="14">
        <f t="shared" si="8"/>
        <v>0</v>
      </c>
      <c r="P175" s="4">
        <f t="shared" si="8"/>
        <v>0</v>
      </c>
      <c r="Q175" s="52"/>
    </row>
    <row r="176" spans="2:17" s="18" customFormat="1" x14ac:dyDescent="0.4">
      <c r="B176" s="82">
        <v>42347</v>
      </c>
      <c r="C176" s="83">
        <v>11000</v>
      </c>
      <c r="D176" s="83">
        <v>11000</v>
      </c>
      <c r="E176" s="83">
        <v>11000</v>
      </c>
      <c r="F176" s="83">
        <v>11000</v>
      </c>
      <c r="G176" s="84">
        <v>0</v>
      </c>
      <c r="H176" s="13">
        <f t="shared" si="6"/>
        <v>0</v>
      </c>
      <c r="I176" s="83">
        <v>0</v>
      </c>
      <c r="J176" s="83">
        <v>0</v>
      </c>
      <c r="K176" s="14">
        <f t="shared" si="7"/>
        <v>0</v>
      </c>
      <c r="L176" s="63">
        <v>0</v>
      </c>
      <c r="M176" s="83">
        <v>0</v>
      </c>
      <c r="N176" s="14">
        <f t="shared" si="8"/>
        <v>0</v>
      </c>
      <c r="O176" s="14">
        <f t="shared" si="8"/>
        <v>0</v>
      </c>
      <c r="P176" s="4">
        <f t="shared" si="8"/>
        <v>0</v>
      </c>
      <c r="Q176" s="52"/>
    </row>
    <row r="177" spans="2:17" s="18" customFormat="1" x14ac:dyDescent="0.4">
      <c r="B177" s="82">
        <v>42348</v>
      </c>
      <c r="C177" s="83">
        <v>11000</v>
      </c>
      <c r="D177" s="83">
        <v>11000</v>
      </c>
      <c r="E177" s="83">
        <v>11000</v>
      </c>
      <c r="F177" s="83">
        <v>11000</v>
      </c>
      <c r="G177" s="84">
        <v>0</v>
      </c>
      <c r="H177" s="13">
        <f t="shared" si="6"/>
        <v>0</v>
      </c>
      <c r="I177" s="83">
        <v>0</v>
      </c>
      <c r="J177" s="83">
        <v>0</v>
      </c>
      <c r="K177" s="14">
        <f t="shared" si="7"/>
        <v>0</v>
      </c>
      <c r="L177" s="63">
        <v>0</v>
      </c>
      <c r="M177" s="83">
        <v>0</v>
      </c>
      <c r="N177" s="14">
        <f t="shared" si="8"/>
        <v>0</v>
      </c>
      <c r="O177" s="14">
        <f t="shared" si="8"/>
        <v>0</v>
      </c>
      <c r="P177" s="4">
        <f t="shared" si="8"/>
        <v>0</v>
      </c>
      <c r="Q177" s="52"/>
    </row>
    <row r="178" spans="2:17" s="18" customFormat="1" x14ac:dyDescent="0.4">
      <c r="B178" s="82">
        <v>42349</v>
      </c>
      <c r="C178" s="83">
        <v>11000</v>
      </c>
      <c r="D178" s="83">
        <v>11000</v>
      </c>
      <c r="E178" s="83">
        <v>11000</v>
      </c>
      <c r="F178" s="83">
        <v>11000</v>
      </c>
      <c r="G178" s="84">
        <v>0</v>
      </c>
      <c r="H178" s="13">
        <f t="shared" si="6"/>
        <v>0</v>
      </c>
      <c r="I178" s="83">
        <v>0</v>
      </c>
      <c r="J178" s="83">
        <v>0</v>
      </c>
      <c r="K178" s="14">
        <f t="shared" si="7"/>
        <v>0</v>
      </c>
      <c r="L178" s="63">
        <v>0</v>
      </c>
      <c r="M178" s="83">
        <v>0</v>
      </c>
      <c r="N178" s="14">
        <f t="shared" si="8"/>
        <v>0</v>
      </c>
      <c r="O178" s="14">
        <f t="shared" si="8"/>
        <v>0</v>
      </c>
      <c r="P178" s="4">
        <f t="shared" si="8"/>
        <v>0</v>
      </c>
      <c r="Q178" s="52"/>
    </row>
    <row r="179" spans="2:17" ht="17.399999999999999" x14ac:dyDescent="0.4">
      <c r="B179" s="82">
        <v>42352</v>
      </c>
      <c r="C179" s="83">
        <v>11000</v>
      </c>
      <c r="D179" s="83">
        <v>11000</v>
      </c>
      <c r="E179" s="83">
        <v>11000</v>
      </c>
      <c r="F179" s="83">
        <v>11000</v>
      </c>
      <c r="G179" s="84">
        <v>0</v>
      </c>
      <c r="H179" s="13">
        <f t="shared" si="6"/>
        <v>0</v>
      </c>
      <c r="I179" s="83">
        <v>0</v>
      </c>
      <c r="J179" s="83">
        <v>0</v>
      </c>
      <c r="K179" s="14">
        <f t="shared" si="7"/>
        <v>0</v>
      </c>
      <c r="L179" s="63">
        <v>0</v>
      </c>
      <c r="M179" s="83">
        <v>0</v>
      </c>
      <c r="N179" s="14">
        <f t="shared" si="8"/>
        <v>0</v>
      </c>
      <c r="O179" s="14">
        <f t="shared" si="8"/>
        <v>0</v>
      </c>
      <c r="P179" s="4">
        <f t="shared" si="8"/>
        <v>0</v>
      </c>
      <c r="Q179" s="53"/>
    </row>
    <row r="180" spans="2:17" ht="17.399999999999999" x14ac:dyDescent="0.4">
      <c r="B180" s="82">
        <v>42353</v>
      </c>
      <c r="C180" s="83">
        <v>11000</v>
      </c>
      <c r="D180" s="83">
        <v>11000</v>
      </c>
      <c r="E180" s="83">
        <v>11000</v>
      </c>
      <c r="F180" s="83">
        <v>11000</v>
      </c>
      <c r="G180" s="84">
        <v>0</v>
      </c>
      <c r="H180" s="13">
        <f t="shared" si="6"/>
        <v>0</v>
      </c>
      <c r="I180" s="83">
        <v>0</v>
      </c>
      <c r="J180" s="83">
        <v>0</v>
      </c>
      <c r="K180" s="14">
        <f t="shared" si="7"/>
        <v>0</v>
      </c>
      <c r="L180" s="63">
        <v>0</v>
      </c>
      <c r="M180" s="83">
        <v>0</v>
      </c>
      <c r="N180" s="14">
        <f t="shared" si="8"/>
        <v>0</v>
      </c>
      <c r="O180" s="14">
        <f t="shared" si="8"/>
        <v>0</v>
      </c>
      <c r="P180" s="4">
        <f t="shared" si="8"/>
        <v>0</v>
      </c>
      <c r="Q180" s="53"/>
    </row>
    <row r="181" spans="2:17" ht="17.399999999999999" x14ac:dyDescent="0.4">
      <c r="B181" s="82">
        <v>42354</v>
      </c>
      <c r="C181" s="83">
        <v>11000</v>
      </c>
      <c r="D181" s="83">
        <v>11000</v>
      </c>
      <c r="E181" s="83">
        <v>11000</v>
      </c>
      <c r="F181" s="83">
        <v>11000</v>
      </c>
      <c r="G181" s="84">
        <v>0</v>
      </c>
      <c r="H181" s="13">
        <f t="shared" si="6"/>
        <v>0</v>
      </c>
      <c r="I181" s="83">
        <v>0</v>
      </c>
      <c r="J181" s="83">
        <v>0</v>
      </c>
      <c r="K181" s="14">
        <f t="shared" si="7"/>
        <v>0</v>
      </c>
      <c r="L181" s="63">
        <v>0</v>
      </c>
      <c r="M181" s="83">
        <v>0</v>
      </c>
      <c r="N181" s="14">
        <f t="shared" si="8"/>
        <v>0</v>
      </c>
      <c r="O181" s="14">
        <f t="shared" si="8"/>
        <v>0</v>
      </c>
      <c r="P181" s="4">
        <f t="shared" si="8"/>
        <v>0</v>
      </c>
      <c r="Q181" s="53"/>
    </row>
    <row r="182" spans="2:17" ht="17.399999999999999" x14ac:dyDescent="0.4">
      <c r="B182" s="82">
        <v>42355</v>
      </c>
      <c r="C182" s="83">
        <v>11000</v>
      </c>
      <c r="D182" s="83">
        <v>11000</v>
      </c>
      <c r="E182" s="83">
        <v>11000</v>
      </c>
      <c r="F182" s="83">
        <v>11000</v>
      </c>
      <c r="G182" s="84">
        <v>0</v>
      </c>
      <c r="H182" s="13">
        <f t="shared" si="6"/>
        <v>0</v>
      </c>
      <c r="I182" s="83">
        <v>0</v>
      </c>
      <c r="J182" s="83">
        <v>0</v>
      </c>
      <c r="K182" s="14">
        <f t="shared" si="7"/>
        <v>0</v>
      </c>
      <c r="L182" s="63">
        <v>0</v>
      </c>
      <c r="M182" s="83">
        <v>0</v>
      </c>
      <c r="N182" s="14">
        <f t="shared" si="8"/>
        <v>0</v>
      </c>
      <c r="O182" s="14">
        <f t="shared" si="8"/>
        <v>0</v>
      </c>
      <c r="P182" s="4">
        <f t="shared" si="8"/>
        <v>0</v>
      </c>
      <c r="Q182" s="53"/>
    </row>
    <row r="183" spans="2:17" ht="17.399999999999999" x14ac:dyDescent="0.4">
      <c r="B183" s="82">
        <v>42356</v>
      </c>
      <c r="C183" s="83">
        <v>11100</v>
      </c>
      <c r="D183" s="83">
        <v>11100</v>
      </c>
      <c r="E183" s="83">
        <v>11100</v>
      </c>
      <c r="F183" s="83">
        <v>11100</v>
      </c>
      <c r="G183" s="84">
        <v>0.91</v>
      </c>
      <c r="H183" s="13">
        <f t="shared" si="6"/>
        <v>0</v>
      </c>
      <c r="I183" s="83">
        <v>0</v>
      </c>
      <c r="J183" s="83">
        <v>0</v>
      </c>
      <c r="K183" s="14">
        <f t="shared" si="7"/>
        <v>0</v>
      </c>
      <c r="L183" s="63">
        <v>0</v>
      </c>
      <c r="M183" s="83">
        <v>0</v>
      </c>
      <c r="N183" s="14">
        <f t="shared" si="8"/>
        <v>0</v>
      </c>
      <c r="O183" s="14">
        <f t="shared" si="8"/>
        <v>0</v>
      </c>
      <c r="P183" s="4">
        <f t="shared" si="8"/>
        <v>0</v>
      </c>
      <c r="Q183" s="52"/>
    </row>
    <row r="184" spans="2:17" ht="17.399999999999999" x14ac:dyDescent="0.4">
      <c r="B184" s="82">
        <v>42359</v>
      </c>
      <c r="C184" s="83">
        <v>12200</v>
      </c>
      <c r="D184" s="83">
        <v>12200</v>
      </c>
      <c r="E184" s="83">
        <v>12200</v>
      </c>
      <c r="F184" s="83">
        <v>12200</v>
      </c>
      <c r="G184" s="84">
        <v>9.91</v>
      </c>
      <c r="H184" s="13">
        <f t="shared" si="6"/>
        <v>10059</v>
      </c>
      <c r="I184" s="83">
        <v>0</v>
      </c>
      <c r="J184" s="83">
        <v>10059</v>
      </c>
      <c r="K184" s="14">
        <f t="shared" si="7"/>
        <v>122719800</v>
      </c>
      <c r="L184" s="63">
        <v>0</v>
      </c>
      <c r="M184" s="83">
        <v>122719800</v>
      </c>
      <c r="N184" s="14">
        <f t="shared" si="8"/>
        <v>12200</v>
      </c>
      <c r="O184" s="14">
        <f t="shared" si="8"/>
        <v>0</v>
      </c>
      <c r="P184" s="4">
        <f t="shared" si="8"/>
        <v>12200</v>
      </c>
      <c r="Q184" s="52"/>
    </row>
    <row r="185" spans="2:17" ht="17.399999999999999" x14ac:dyDescent="0.4">
      <c r="B185" s="82">
        <v>42360</v>
      </c>
      <c r="C185" s="83">
        <v>13050</v>
      </c>
      <c r="D185" s="83">
        <v>13400</v>
      </c>
      <c r="E185" s="83">
        <v>13050</v>
      </c>
      <c r="F185" s="83">
        <v>13400</v>
      </c>
      <c r="G185" s="84">
        <v>9.84</v>
      </c>
      <c r="H185" s="13">
        <f t="shared" si="6"/>
        <v>23000</v>
      </c>
      <c r="I185" s="83">
        <v>0</v>
      </c>
      <c r="J185" s="83">
        <v>23000</v>
      </c>
      <c r="K185" s="14">
        <f t="shared" si="7"/>
        <v>306650000</v>
      </c>
      <c r="L185" s="63">
        <v>0</v>
      </c>
      <c r="M185" s="83">
        <v>306650000</v>
      </c>
      <c r="N185" s="14">
        <f t="shared" si="8"/>
        <v>13332.608695652174</v>
      </c>
      <c r="O185" s="14">
        <f t="shared" si="8"/>
        <v>0</v>
      </c>
      <c r="P185" s="4">
        <f t="shared" si="8"/>
        <v>13332.608695652174</v>
      </c>
      <c r="Q185" s="52"/>
    </row>
    <row r="186" spans="2:17" ht="17.399999999999999" x14ac:dyDescent="0.4">
      <c r="B186" s="82">
        <v>42361</v>
      </c>
      <c r="C186" s="83">
        <v>13700</v>
      </c>
      <c r="D186" s="83">
        <v>13700</v>
      </c>
      <c r="E186" s="83">
        <v>13700</v>
      </c>
      <c r="F186" s="83">
        <v>13700</v>
      </c>
      <c r="G186" s="84">
        <v>2.2400000000000002</v>
      </c>
      <c r="H186" s="13">
        <f t="shared" si="6"/>
        <v>0</v>
      </c>
      <c r="I186" s="83">
        <v>78000</v>
      </c>
      <c r="J186" s="83">
        <v>78000</v>
      </c>
      <c r="K186" s="14">
        <f t="shared" si="7"/>
        <v>1138800000</v>
      </c>
      <c r="L186" s="63">
        <v>0</v>
      </c>
      <c r="M186" s="83">
        <v>1138800000</v>
      </c>
      <c r="N186" s="14">
        <f t="shared" si="8"/>
        <v>0</v>
      </c>
      <c r="O186" s="14">
        <f t="shared" si="8"/>
        <v>0</v>
      </c>
      <c r="P186" s="4">
        <f t="shared" si="8"/>
        <v>14600</v>
      </c>
      <c r="Q186" s="52"/>
    </row>
    <row r="187" spans="2:17" ht="17.399999999999999" x14ac:dyDescent="0.4">
      <c r="B187" s="82">
        <v>42362</v>
      </c>
      <c r="C187" s="83">
        <v>13700</v>
      </c>
      <c r="D187" s="83">
        <v>13700</v>
      </c>
      <c r="E187" s="83">
        <v>13700</v>
      </c>
      <c r="F187" s="83">
        <v>13700</v>
      </c>
      <c r="G187" s="84">
        <v>0</v>
      </c>
      <c r="H187" s="13">
        <f t="shared" si="6"/>
        <v>0</v>
      </c>
      <c r="I187" s="83">
        <v>0</v>
      </c>
      <c r="J187" s="83">
        <v>0</v>
      </c>
      <c r="K187" s="14">
        <f t="shared" si="7"/>
        <v>0</v>
      </c>
      <c r="L187" s="63">
        <v>0</v>
      </c>
      <c r="M187" s="83">
        <v>0</v>
      </c>
      <c r="N187" s="14">
        <f t="shared" si="8"/>
        <v>0</v>
      </c>
      <c r="O187" s="14">
        <f t="shared" si="8"/>
        <v>0</v>
      </c>
      <c r="P187" s="4">
        <f t="shared" si="8"/>
        <v>0</v>
      </c>
      <c r="Q187" s="52"/>
    </row>
    <row r="188" spans="2:17" ht="17.399999999999999" x14ac:dyDescent="0.4">
      <c r="B188" s="82">
        <v>42366</v>
      </c>
      <c r="C188" s="83">
        <v>13700</v>
      </c>
      <c r="D188" s="83">
        <v>13700</v>
      </c>
      <c r="E188" s="83">
        <v>13700</v>
      </c>
      <c r="F188" s="83">
        <v>13700</v>
      </c>
      <c r="G188" s="84">
        <v>0</v>
      </c>
      <c r="H188" s="13">
        <f t="shared" si="6"/>
        <v>0</v>
      </c>
      <c r="I188" s="83">
        <v>15000</v>
      </c>
      <c r="J188" s="83">
        <v>15000</v>
      </c>
      <c r="K188" s="14">
        <f t="shared" si="7"/>
        <v>219000000</v>
      </c>
      <c r="L188" s="63">
        <v>0</v>
      </c>
      <c r="M188" s="83">
        <v>219000000</v>
      </c>
      <c r="N188" s="14">
        <f t="shared" si="8"/>
        <v>0</v>
      </c>
      <c r="O188" s="14">
        <f t="shared" si="8"/>
        <v>0</v>
      </c>
      <c r="P188" s="4">
        <f t="shared" si="8"/>
        <v>14600</v>
      </c>
      <c r="Q188" s="52"/>
    </row>
    <row r="189" spans="2:17" ht="17.399999999999999" x14ac:dyDescent="0.4">
      <c r="B189" s="82">
        <v>42367</v>
      </c>
      <c r="C189" s="83">
        <v>13700</v>
      </c>
      <c r="D189" s="83">
        <v>13700</v>
      </c>
      <c r="E189" s="83">
        <v>13700</v>
      </c>
      <c r="F189" s="83">
        <v>13700</v>
      </c>
      <c r="G189" s="84">
        <v>0</v>
      </c>
      <c r="H189" s="13">
        <f t="shared" si="6"/>
        <v>0</v>
      </c>
      <c r="I189" s="83">
        <v>15000</v>
      </c>
      <c r="J189" s="83">
        <v>15000</v>
      </c>
      <c r="K189" s="14">
        <f t="shared" si="7"/>
        <v>219000000</v>
      </c>
      <c r="L189" s="63">
        <v>0</v>
      </c>
      <c r="M189" s="83">
        <v>219000000</v>
      </c>
      <c r="N189" s="14">
        <f t="shared" si="8"/>
        <v>0</v>
      </c>
      <c r="O189" s="14">
        <f t="shared" si="8"/>
        <v>0</v>
      </c>
      <c r="P189" s="4">
        <f t="shared" si="8"/>
        <v>14600</v>
      </c>
      <c r="Q189" s="52"/>
    </row>
    <row r="190" spans="2:17" ht="17.399999999999999" x14ac:dyDescent="0.4">
      <c r="B190" s="82">
        <v>42368</v>
      </c>
      <c r="C190" s="83">
        <v>13700</v>
      </c>
      <c r="D190" s="83">
        <v>13700</v>
      </c>
      <c r="E190" s="83">
        <v>13700</v>
      </c>
      <c r="F190" s="83">
        <v>13700</v>
      </c>
      <c r="G190" s="84">
        <v>0</v>
      </c>
      <c r="H190" s="13">
        <f t="shared" si="6"/>
        <v>0</v>
      </c>
      <c r="I190" s="83">
        <v>0</v>
      </c>
      <c r="J190" s="83">
        <v>0</v>
      </c>
      <c r="K190" s="14">
        <f t="shared" si="7"/>
        <v>0</v>
      </c>
      <c r="L190" s="63">
        <v>0</v>
      </c>
      <c r="M190" s="83">
        <v>0</v>
      </c>
      <c r="N190" s="14">
        <f t="shared" si="8"/>
        <v>0</v>
      </c>
      <c r="O190" s="14">
        <f t="shared" si="8"/>
        <v>0</v>
      </c>
      <c r="P190" s="4">
        <f t="shared" si="8"/>
        <v>0</v>
      </c>
      <c r="Q190" s="52"/>
    </row>
    <row r="191" spans="2:17" ht="17.399999999999999" x14ac:dyDescent="0.4">
      <c r="B191" s="82">
        <v>42373</v>
      </c>
      <c r="C191" s="83">
        <v>13700</v>
      </c>
      <c r="D191" s="83">
        <v>13700</v>
      </c>
      <c r="E191" s="83">
        <v>13700</v>
      </c>
      <c r="F191" s="83">
        <v>13700</v>
      </c>
      <c r="G191" s="84">
        <v>0</v>
      </c>
      <c r="H191" s="13">
        <f t="shared" si="6"/>
        <v>0</v>
      </c>
      <c r="I191" s="83">
        <v>0</v>
      </c>
      <c r="J191" s="83">
        <v>0</v>
      </c>
      <c r="K191" s="14">
        <f t="shared" si="7"/>
        <v>0</v>
      </c>
      <c r="L191" s="63">
        <v>0</v>
      </c>
      <c r="M191" s="83">
        <v>0</v>
      </c>
      <c r="N191" s="14">
        <f t="shared" si="8"/>
        <v>0</v>
      </c>
      <c r="O191" s="14">
        <f t="shared" si="8"/>
        <v>0</v>
      </c>
      <c r="P191" s="4">
        <f t="shared" si="8"/>
        <v>0</v>
      </c>
      <c r="Q191" s="52"/>
    </row>
    <row r="192" spans="2:17" ht="17.399999999999999" x14ac:dyDescent="0.4">
      <c r="B192" s="82">
        <v>42374</v>
      </c>
      <c r="C192" s="83">
        <v>13700</v>
      </c>
      <c r="D192" s="83">
        <v>13700</v>
      </c>
      <c r="E192" s="83">
        <v>13700</v>
      </c>
      <c r="F192" s="83">
        <v>13700</v>
      </c>
      <c r="G192" s="84">
        <v>0</v>
      </c>
      <c r="H192" s="13">
        <f t="shared" si="6"/>
        <v>0</v>
      </c>
      <c r="I192" s="83">
        <v>0</v>
      </c>
      <c r="J192" s="83">
        <v>0</v>
      </c>
      <c r="K192" s="14">
        <f t="shared" si="7"/>
        <v>0</v>
      </c>
      <c r="L192" s="63">
        <v>0</v>
      </c>
      <c r="M192" s="83">
        <v>0</v>
      </c>
      <c r="N192" s="14">
        <f t="shared" si="8"/>
        <v>0</v>
      </c>
      <c r="O192" s="14">
        <f t="shared" si="8"/>
        <v>0</v>
      </c>
      <c r="P192" s="4">
        <f t="shared" si="8"/>
        <v>0</v>
      </c>
      <c r="Q192" s="52"/>
    </row>
    <row r="193" spans="2:17" ht="17.399999999999999" x14ac:dyDescent="0.4">
      <c r="B193" s="82">
        <v>42375</v>
      </c>
      <c r="C193" s="83">
        <v>13700</v>
      </c>
      <c r="D193" s="83">
        <v>13700</v>
      </c>
      <c r="E193" s="83">
        <v>13700</v>
      </c>
      <c r="F193" s="83">
        <v>13700</v>
      </c>
      <c r="G193" s="84">
        <v>0</v>
      </c>
      <c r="H193" s="13">
        <f t="shared" si="6"/>
        <v>0</v>
      </c>
      <c r="I193" s="83">
        <v>0</v>
      </c>
      <c r="J193" s="83">
        <v>0</v>
      </c>
      <c r="K193" s="14">
        <f t="shared" si="7"/>
        <v>0</v>
      </c>
      <c r="L193" s="63">
        <v>0</v>
      </c>
      <c r="M193" s="83">
        <v>0</v>
      </c>
      <c r="N193" s="14">
        <f t="shared" si="8"/>
        <v>0</v>
      </c>
      <c r="O193" s="14">
        <f t="shared" si="8"/>
        <v>0</v>
      </c>
      <c r="P193" s="4">
        <f t="shared" si="8"/>
        <v>0</v>
      </c>
      <c r="Q193" s="52"/>
    </row>
    <row r="194" spans="2:17" ht="17.399999999999999" x14ac:dyDescent="0.4">
      <c r="B194" s="82">
        <v>42376</v>
      </c>
      <c r="C194" s="83">
        <v>13700</v>
      </c>
      <c r="D194" s="83">
        <v>13700</v>
      </c>
      <c r="E194" s="83">
        <v>13700</v>
      </c>
      <c r="F194" s="83">
        <v>13700</v>
      </c>
      <c r="G194" s="84">
        <v>0</v>
      </c>
      <c r="H194" s="13">
        <f t="shared" si="6"/>
        <v>0</v>
      </c>
      <c r="I194" s="83">
        <v>0</v>
      </c>
      <c r="J194" s="83">
        <v>0</v>
      </c>
      <c r="K194" s="14">
        <f t="shared" si="7"/>
        <v>0</v>
      </c>
      <c r="L194" s="63">
        <v>0</v>
      </c>
      <c r="M194" s="83">
        <v>0</v>
      </c>
      <c r="N194" s="14">
        <f t="shared" si="8"/>
        <v>0</v>
      </c>
      <c r="O194" s="14">
        <f t="shared" si="8"/>
        <v>0</v>
      </c>
      <c r="P194" s="4">
        <f t="shared" si="8"/>
        <v>0</v>
      </c>
      <c r="Q194" s="52"/>
    </row>
    <row r="195" spans="2:17" ht="17.399999999999999" x14ac:dyDescent="0.4">
      <c r="B195" s="82">
        <v>42377</v>
      </c>
      <c r="C195" s="83">
        <v>13700</v>
      </c>
      <c r="D195" s="83">
        <v>13700</v>
      </c>
      <c r="E195" s="83">
        <v>13700</v>
      </c>
      <c r="F195" s="83">
        <v>13700</v>
      </c>
      <c r="G195" s="84">
        <v>0</v>
      </c>
      <c r="H195" s="13">
        <f t="shared" si="6"/>
        <v>0</v>
      </c>
      <c r="I195" s="83">
        <v>0</v>
      </c>
      <c r="J195" s="83">
        <v>0</v>
      </c>
      <c r="K195" s="14">
        <f t="shared" si="7"/>
        <v>0</v>
      </c>
      <c r="L195" s="63">
        <v>0</v>
      </c>
      <c r="M195" s="83">
        <v>0</v>
      </c>
      <c r="N195" s="14">
        <f t="shared" si="8"/>
        <v>0</v>
      </c>
      <c r="O195" s="14">
        <f t="shared" si="8"/>
        <v>0</v>
      </c>
      <c r="P195" s="4">
        <f t="shared" si="8"/>
        <v>0</v>
      </c>
      <c r="Q195" s="52"/>
    </row>
    <row r="196" spans="2:17" ht="17.399999999999999" x14ac:dyDescent="0.4">
      <c r="B196" s="82">
        <v>42380</v>
      </c>
      <c r="C196" s="83">
        <v>13700</v>
      </c>
      <c r="D196" s="83">
        <v>13700</v>
      </c>
      <c r="E196" s="83">
        <v>13700</v>
      </c>
      <c r="F196" s="83">
        <v>13700</v>
      </c>
      <c r="G196" s="84">
        <v>0</v>
      </c>
      <c r="H196" s="13">
        <f t="shared" si="6"/>
        <v>0</v>
      </c>
      <c r="I196" s="83">
        <v>0</v>
      </c>
      <c r="J196" s="83">
        <v>0</v>
      </c>
      <c r="K196" s="14">
        <f t="shared" si="7"/>
        <v>0</v>
      </c>
      <c r="L196" s="63">
        <v>0</v>
      </c>
      <c r="M196" s="83">
        <v>0</v>
      </c>
      <c r="N196" s="14">
        <f t="shared" si="8"/>
        <v>0</v>
      </c>
      <c r="O196" s="14">
        <f t="shared" si="8"/>
        <v>0</v>
      </c>
      <c r="P196" s="4">
        <f t="shared" si="8"/>
        <v>0</v>
      </c>
      <c r="Q196" s="52"/>
    </row>
    <row r="197" spans="2:17" ht="17.399999999999999" x14ac:dyDescent="0.4">
      <c r="B197" s="82">
        <v>42381</v>
      </c>
      <c r="C197" s="83">
        <v>13700</v>
      </c>
      <c r="D197" s="83">
        <v>13700</v>
      </c>
      <c r="E197" s="83">
        <v>13700</v>
      </c>
      <c r="F197" s="83">
        <v>13700</v>
      </c>
      <c r="G197" s="84">
        <v>0</v>
      </c>
      <c r="H197" s="13">
        <f t="shared" si="6"/>
        <v>0</v>
      </c>
      <c r="I197" s="83">
        <v>0</v>
      </c>
      <c r="J197" s="83">
        <v>0</v>
      </c>
      <c r="K197" s="14">
        <f t="shared" si="7"/>
        <v>0</v>
      </c>
      <c r="L197" s="63">
        <v>0</v>
      </c>
      <c r="M197" s="83">
        <v>0</v>
      </c>
      <c r="N197" s="14">
        <f t="shared" si="8"/>
        <v>0</v>
      </c>
      <c r="O197" s="14">
        <f t="shared" si="8"/>
        <v>0</v>
      </c>
      <c r="P197" s="4">
        <f t="shared" si="8"/>
        <v>0</v>
      </c>
      <c r="Q197" s="52"/>
    </row>
    <row r="198" spans="2:17" ht="17.399999999999999" x14ac:dyDescent="0.4">
      <c r="B198" s="82">
        <v>42382</v>
      </c>
      <c r="C198" s="83">
        <v>13700</v>
      </c>
      <c r="D198" s="83">
        <v>13700</v>
      </c>
      <c r="E198" s="83">
        <v>13700</v>
      </c>
      <c r="F198" s="83">
        <v>13700</v>
      </c>
      <c r="G198" s="84">
        <v>0</v>
      </c>
      <c r="H198" s="13">
        <f t="shared" si="6"/>
        <v>0</v>
      </c>
      <c r="I198" s="83">
        <v>0</v>
      </c>
      <c r="J198" s="83">
        <v>0</v>
      </c>
      <c r="K198" s="14">
        <f t="shared" si="7"/>
        <v>0</v>
      </c>
      <c r="L198" s="63">
        <v>0</v>
      </c>
      <c r="M198" s="83">
        <v>0</v>
      </c>
      <c r="N198" s="14">
        <f t="shared" si="8"/>
        <v>0</v>
      </c>
      <c r="O198" s="14">
        <f t="shared" si="8"/>
        <v>0</v>
      </c>
      <c r="P198" s="4">
        <f t="shared" si="8"/>
        <v>0</v>
      </c>
      <c r="Q198" s="52"/>
    </row>
    <row r="199" spans="2:17" ht="17.399999999999999" x14ac:dyDescent="0.4">
      <c r="B199" s="82">
        <v>42383</v>
      </c>
      <c r="C199" s="83">
        <v>13700</v>
      </c>
      <c r="D199" s="83">
        <v>13700</v>
      </c>
      <c r="E199" s="83">
        <v>13700</v>
      </c>
      <c r="F199" s="83">
        <v>13700</v>
      </c>
      <c r="G199" s="84">
        <v>0</v>
      </c>
      <c r="H199" s="13">
        <f t="shared" ref="H199:H262" si="9">J199-I199</f>
        <v>0</v>
      </c>
      <c r="I199" s="83">
        <v>0</v>
      </c>
      <c r="J199" s="83">
        <v>0</v>
      </c>
      <c r="K199" s="14">
        <f t="shared" ref="K199:K262" si="10">M199-L199</f>
        <v>0</v>
      </c>
      <c r="L199" s="63">
        <v>0</v>
      </c>
      <c r="M199" s="83">
        <v>0</v>
      </c>
      <c r="N199" s="14">
        <f t="shared" ref="N199:P220" si="11">IFERROR(K199/H199,0)</f>
        <v>0</v>
      </c>
      <c r="O199" s="14">
        <f t="shared" si="11"/>
        <v>0</v>
      </c>
      <c r="P199" s="4">
        <f t="shared" si="11"/>
        <v>0</v>
      </c>
      <c r="Q199" s="52"/>
    </row>
    <row r="200" spans="2:17" ht="17.399999999999999" x14ac:dyDescent="0.4">
      <c r="B200" s="82">
        <v>42384</v>
      </c>
      <c r="C200" s="83">
        <v>13700</v>
      </c>
      <c r="D200" s="83">
        <v>13700</v>
      </c>
      <c r="E200" s="83">
        <v>13700</v>
      </c>
      <c r="F200" s="83">
        <v>13700</v>
      </c>
      <c r="G200" s="84">
        <v>0</v>
      </c>
      <c r="H200" s="13">
        <f t="shared" si="9"/>
        <v>0</v>
      </c>
      <c r="I200" s="83">
        <v>0</v>
      </c>
      <c r="J200" s="83">
        <v>0</v>
      </c>
      <c r="K200" s="14">
        <f t="shared" si="10"/>
        <v>0</v>
      </c>
      <c r="L200" s="63">
        <v>0</v>
      </c>
      <c r="M200" s="83">
        <v>0</v>
      </c>
      <c r="N200" s="14">
        <f t="shared" si="11"/>
        <v>0</v>
      </c>
      <c r="O200" s="14">
        <f t="shared" si="11"/>
        <v>0</v>
      </c>
      <c r="P200" s="4">
        <f t="shared" si="11"/>
        <v>0</v>
      </c>
      <c r="Q200" s="52"/>
    </row>
    <row r="201" spans="2:17" ht="17.399999999999999" x14ac:dyDescent="0.4">
      <c r="B201" s="82">
        <v>42387</v>
      </c>
      <c r="C201" s="83">
        <v>13700</v>
      </c>
      <c r="D201" s="83">
        <v>13700</v>
      </c>
      <c r="E201" s="83">
        <v>13700</v>
      </c>
      <c r="F201" s="83">
        <v>13700</v>
      </c>
      <c r="G201" s="84">
        <v>0</v>
      </c>
      <c r="H201" s="13">
        <f t="shared" si="9"/>
        <v>0</v>
      </c>
      <c r="I201" s="83">
        <v>0</v>
      </c>
      <c r="J201" s="83">
        <v>0</v>
      </c>
      <c r="K201" s="14">
        <f t="shared" si="10"/>
        <v>0</v>
      </c>
      <c r="L201" s="63">
        <v>0</v>
      </c>
      <c r="M201" s="83">
        <v>0</v>
      </c>
      <c r="N201" s="14">
        <f t="shared" si="11"/>
        <v>0</v>
      </c>
      <c r="O201" s="14">
        <f t="shared" si="11"/>
        <v>0</v>
      </c>
      <c r="P201" s="4">
        <f t="shared" si="11"/>
        <v>0</v>
      </c>
      <c r="Q201" s="52"/>
    </row>
    <row r="202" spans="2:17" ht="17.399999999999999" x14ac:dyDescent="0.4">
      <c r="B202" s="82">
        <v>42388</v>
      </c>
      <c r="C202" s="83">
        <v>13700</v>
      </c>
      <c r="D202" s="83">
        <v>13700</v>
      </c>
      <c r="E202" s="83">
        <v>13700</v>
      </c>
      <c r="F202" s="83">
        <v>13700</v>
      </c>
      <c r="G202" s="84">
        <v>0</v>
      </c>
      <c r="H202" s="13">
        <f t="shared" si="9"/>
        <v>0</v>
      </c>
      <c r="I202" s="83">
        <v>0</v>
      </c>
      <c r="J202" s="83">
        <v>0</v>
      </c>
      <c r="K202" s="14">
        <f t="shared" si="10"/>
        <v>0</v>
      </c>
      <c r="L202" s="63">
        <v>0</v>
      </c>
      <c r="M202" s="83">
        <v>0</v>
      </c>
      <c r="N202" s="14">
        <f t="shared" si="11"/>
        <v>0</v>
      </c>
      <c r="O202" s="14">
        <f t="shared" si="11"/>
        <v>0</v>
      </c>
      <c r="P202" s="4">
        <f t="shared" si="11"/>
        <v>0</v>
      </c>
      <c r="Q202" s="52"/>
    </row>
    <row r="203" spans="2:17" ht="17.399999999999999" x14ac:dyDescent="0.4">
      <c r="B203" s="82">
        <v>42389</v>
      </c>
      <c r="C203" s="83">
        <v>13700</v>
      </c>
      <c r="D203" s="83">
        <v>13700</v>
      </c>
      <c r="E203" s="83">
        <v>13700</v>
      </c>
      <c r="F203" s="83">
        <v>13700</v>
      </c>
      <c r="G203" s="84">
        <v>0</v>
      </c>
      <c r="H203" s="13">
        <f t="shared" si="9"/>
        <v>0</v>
      </c>
      <c r="I203" s="83">
        <v>0</v>
      </c>
      <c r="J203" s="83">
        <v>0</v>
      </c>
      <c r="K203" s="14">
        <f t="shared" si="10"/>
        <v>0</v>
      </c>
      <c r="L203" s="63">
        <v>0</v>
      </c>
      <c r="M203" s="83">
        <v>0</v>
      </c>
      <c r="N203" s="14">
        <f t="shared" si="11"/>
        <v>0</v>
      </c>
      <c r="O203" s="14">
        <f t="shared" si="11"/>
        <v>0</v>
      </c>
      <c r="P203" s="4">
        <f t="shared" si="11"/>
        <v>0</v>
      </c>
      <c r="Q203" s="52"/>
    </row>
    <row r="204" spans="2:17" ht="17.399999999999999" x14ac:dyDescent="0.4">
      <c r="B204" s="82">
        <v>42390</v>
      </c>
      <c r="C204" s="83">
        <v>13700</v>
      </c>
      <c r="D204" s="83">
        <v>13700</v>
      </c>
      <c r="E204" s="83">
        <v>13700</v>
      </c>
      <c r="F204" s="83">
        <v>13700</v>
      </c>
      <c r="G204" s="84">
        <v>0</v>
      </c>
      <c r="H204" s="13">
        <f t="shared" si="9"/>
        <v>0</v>
      </c>
      <c r="I204" s="83">
        <v>0</v>
      </c>
      <c r="J204" s="83">
        <v>0</v>
      </c>
      <c r="K204" s="14">
        <f t="shared" si="10"/>
        <v>0</v>
      </c>
      <c r="L204" s="63">
        <v>0</v>
      </c>
      <c r="M204" s="83">
        <v>0</v>
      </c>
      <c r="N204" s="14">
        <f t="shared" si="11"/>
        <v>0</v>
      </c>
      <c r="O204" s="14">
        <f t="shared" si="11"/>
        <v>0</v>
      </c>
      <c r="P204" s="4">
        <f t="shared" si="11"/>
        <v>0</v>
      </c>
      <c r="Q204" s="52"/>
    </row>
    <row r="205" spans="2:17" ht="17.399999999999999" x14ac:dyDescent="0.4">
      <c r="B205" s="82">
        <v>42391</v>
      </c>
      <c r="C205" s="83">
        <v>13700</v>
      </c>
      <c r="D205" s="83">
        <v>13700</v>
      </c>
      <c r="E205" s="83">
        <v>13700</v>
      </c>
      <c r="F205" s="83">
        <v>13700</v>
      </c>
      <c r="G205" s="84">
        <v>0</v>
      </c>
      <c r="H205" s="13">
        <f t="shared" si="9"/>
        <v>0</v>
      </c>
      <c r="I205" s="83">
        <v>0</v>
      </c>
      <c r="J205" s="83">
        <v>0</v>
      </c>
      <c r="K205" s="14">
        <f t="shared" si="10"/>
        <v>0</v>
      </c>
      <c r="L205" s="63">
        <v>0</v>
      </c>
      <c r="M205" s="83">
        <v>0</v>
      </c>
      <c r="N205" s="14">
        <f t="shared" si="11"/>
        <v>0</v>
      </c>
      <c r="O205" s="14">
        <f t="shared" si="11"/>
        <v>0</v>
      </c>
      <c r="P205" s="4">
        <f t="shared" si="11"/>
        <v>0</v>
      </c>
      <c r="Q205" s="52"/>
    </row>
    <row r="206" spans="2:17" ht="17.399999999999999" x14ac:dyDescent="0.4">
      <c r="B206" s="82">
        <v>42394</v>
      </c>
      <c r="C206" s="83">
        <v>13700</v>
      </c>
      <c r="D206" s="83">
        <v>13700</v>
      </c>
      <c r="E206" s="83">
        <v>13700</v>
      </c>
      <c r="F206" s="83">
        <v>13700</v>
      </c>
      <c r="G206" s="84">
        <v>0</v>
      </c>
      <c r="H206" s="13">
        <f t="shared" si="9"/>
        <v>0</v>
      </c>
      <c r="I206" s="83">
        <v>0</v>
      </c>
      <c r="J206" s="83">
        <v>0</v>
      </c>
      <c r="K206" s="14">
        <f t="shared" si="10"/>
        <v>0</v>
      </c>
      <c r="L206" s="63">
        <v>0</v>
      </c>
      <c r="M206" s="83">
        <v>0</v>
      </c>
      <c r="N206" s="14">
        <f t="shared" si="11"/>
        <v>0</v>
      </c>
      <c r="O206" s="14">
        <f t="shared" si="11"/>
        <v>0</v>
      </c>
      <c r="P206" s="4">
        <f t="shared" si="11"/>
        <v>0</v>
      </c>
      <c r="Q206" s="52"/>
    </row>
    <row r="207" spans="2:17" ht="17.399999999999999" x14ac:dyDescent="0.4">
      <c r="B207" s="82">
        <v>42395</v>
      </c>
      <c r="C207" s="83">
        <v>13700</v>
      </c>
      <c r="D207" s="83">
        <v>13700</v>
      </c>
      <c r="E207" s="83">
        <v>13700</v>
      </c>
      <c r="F207" s="83">
        <v>13700</v>
      </c>
      <c r="G207" s="84">
        <v>0</v>
      </c>
      <c r="H207" s="13">
        <f t="shared" si="9"/>
        <v>0</v>
      </c>
      <c r="I207" s="83">
        <v>0</v>
      </c>
      <c r="J207" s="83">
        <v>0</v>
      </c>
      <c r="K207" s="14">
        <f t="shared" si="10"/>
        <v>0</v>
      </c>
      <c r="L207" s="63">
        <v>0</v>
      </c>
      <c r="M207" s="83">
        <v>0</v>
      </c>
      <c r="N207" s="14">
        <f t="shared" si="11"/>
        <v>0</v>
      </c>
      <c r="O207" s="14">
        <f t="shared" si="11"/>
        <v>0</v>
      </c>
      <c r="P207" s="4">
        <f t="shared" si="11"/>
        <v>0</v>
      </c>
      <c r="Q207" s="52"/>
    </row>
    <row r="208" spans="2:17" ht="17.399999999999999" x14ac:dyDescent="0.4">
      <c r="B208" s="82">
        <v>42396</v>
      </c>
      <c r="C208" s="83">
        <v>13700</v>
      </c>
      <c r="D208" s="83">
        <v>13700</v>
      </c>
      <c r="E208" s="83">
        <v>13700</v>
      </c>
      <c r="F208" s="83">
        <v>13700</v>
      </c>
      <c r="G208" s="84">
        <v>0</v>
      </c>
      <c r="H208" s="13">
        <f t="shared" si="9"/>
        <v>0</v>
      </c>
      <c r="I208" s="83">
        <v>0</v>
      </c>
      <c r="J208" s="83">
        <v>0</v>
      </c>
      <c r="K208" s="14">
        <f t="shared" si="10"/>
        <v>0</v>
      </c>
      <c r="L208" s="63">
        <v>0</v>
      </c>
      <c r="M208" s="83">
        <v>0</v>
      </c>
      <c r="N208" s="14">
        <f t="shared" si="11"/>
        <v>0</v>
      </c>
      <c r="O208" s="14">
        <f t="shared" si="11"/>
        <v>0</v>
      </c>
      <c r="P208" s="4">
        <f t="shared" si="11"/>
        <v>0</v>
      </c>
      <c r="Q208" s="52"/>
    </row>
    <row r="209" spans="2:17" ht="17.399999999999999" x14ac:dyDescent="0.4">
      <c r="B209" s="82">
        <v>42397</v>
      </c>
      <c r="C209" s="83">
        <v>13700</v>
      </c>
      <c r="D209" s="83">
        <v>13700</v>
      </c>
      <c r="E209" s="83">
        <v>13700</v>
      </c>
      <c r="F209" s="83">
        <v>13700</v>
      </c>
      <c r="G209" s="84">
        <v>0</v>
      </c>
      <c r="H209" s="13">
        <f t="shared" si="9"/>
        <v>0</v>
      </c>
      <c r="I209" s="83">
        <v>0</v>
      </c>
      <c r="J209" s="83">
        <v>0</v>
      </c>
      <c r="K209" s="14">
        <f t="shared" si="10"/>
        <v>0</v>
      </c>
      <c r="L209" s="63">
        <v>0</v>
      </c>
      <c r="M209" s="83">
        <v>0</v>
      </c>
      <c r="N209" s="14">
        <f t="shared" si="11"/>
        <v>0</v>
      </c>
      <c r="O209" s="14">
        <f t="shared" si="11"/>
        <v>0</v>
      </c>
      <c r="P209" s="4">
        <f t="shared" si="11"/>
        <v>0</v>
      </c>
      <c r="Q209" s="52"/>
    </row>
    <row r="210" spans="2:17" ht="17.399999999999999" x14ac:dyDescent="0.4">
      <c r="B210" s="82">
        <v>42398</v>
      </c>
      <c r="C210" s="83">
        <v>13700</v>
      </c>
      <c r="D210" s="83">
        <v>13700</v>
      </c>
      <c r="E210" s="83">
        <v>13700</v>
      </c>
      <c r="F210" s="83">
        <v>13700</v>
      </c>
      <c r="G210" s="84">
        <v>0</v>
      </c>
      <c r="H210" s="13">
        <f t="shared" si="9"/>
        <v>0</v>
      </c>
      <c r="I210" s="83">
        <v>0</v>
      </c>
      <c r="J210" s="83">
        <v>0</v>
      </c>
      <c r="K210" s="14">
        <f t="shared" si="10"/>
        <v>0</v>
      </c>
      <c r="L210" s="63">
        <v>0</v>
      </c>
      <c r="M210" s="83">
        <v>0</v>
      </c>
      <c r="N210" s="14">
        <f t="shared" si="11"/>
        <v>0</v>
      </c>
      <c r="O210" s="14">
        <f t="shared" si="11"/>
        <v>0</v>
      </c>
      <c r="P210" s="4">
        <f t="shared" si="11"/>
        <v>0</v>
      </c>
      <c r="Q210" s="52"/>
    </row>
    <row r="211" spans="2:17" ht="17.399999999999999" x14ac:dyDescent="0.4">
      <c r="B211" s="82">
        <v>42401</v>
      </c>
      <c r="C211" s="83">
        <v>13700</v>
      </c>
      <c r="D211" s="83">
        <v>13700</v>
      </c>
      <c r="E211" s="83">
        <v>13700</v>
      </c>
      <c r="F211" s="83">
        <v>13700</v>
      </c>
      <c r="G211" s="84">
        <v>0</v>
      </c>
      <c r="H211" s="13">
        <f t="shared" si="9"/>
        <v>0</v>
      </c>
      <c r="I211" s="83">
        <v>0</v>
      </c>
      <c r="J211" s="83">
        <v>0</v>
      </c>
      <c r="K211" s="14">
        <f t="shared" si="10"/>
        <v>0</v>
      </c>
      <c r="L211" s="63">
        <v>0</v>
      </c>
      <c r="M211" s="83">
        <v>0</v>
      </c>
      <c r="N211" s="14">
        <f t="shared" si="11"/>
        <v>0</v>
      </c>
      <c r="O211" s="14">
        <f t="shared" si="11"/>
        <v>0</v>
      </c>
      <c r="P211" s="4">
        <f t="shared" si="11"/>
        <v>0</v>
      </c>
      <c r="Q211" s="52"/>
    </row>
    <row r="212" spans="2:17" ht="17.399999999999999" x14ac:dyDescent="0.4">
      <c r="B212" s="82">
        <v>42402</v>
      </c>
      <c r="C212" s="83">
        <v>13700</v>
      </c>
      <c r="D212" s="83">
        <v>13700</v>
      </c>
      <c r="E212" s="83">
        <v>13700</v>
      </c>
      <c r="F212" s="83">
        <v>13700</v>
      </c>
      <c r="G212" s="84">
        <v>0</v>
      </c>
      <c r="H212" s="13">
        <f t="shared" si="9"/>
        <v>0</v>
      </c>
      <c r="I212" s="83">
        <v>0</v>
      </c>
      <c r="J212" s="83">
        <v>0</v>
      </c>
      <c r="K212" s="14">
        <f t="shared" si="10"/>
        <v>0</v>
      </c>
      <c r="L212" s="63">
        <v>0</v>
      </c>
      <c r="M212" s="83">
        <v>0</v>
      </c>
      <c r="N212" s="14">
        <f t="shared" si="11"/>
        <v>0</v>
      </c>
      <c r="O212" s="14">
        <f t="shared" si="11"/>
        <v>0</v>
      </c>
      <c r="P212" s="4">
        <f t="shared" si="11"/>
        <v>0</v>
      </c>
      <c r="Q212" s="52"/>
    </row>
    <row r="213" spans="2:17" ht="17.399999999999999" x14ac:dyDescent="0.4">
      <c r="B213" s="82">
        <v>42403</v>
      </c>
      <c r="C213" s="83">
        <v>13700</v>
      </c>
      <c r="D213" s="83">
        <v>13700</v>
      </c>
      <c r="E213" s="83">
        <v>13700</v>
      </c>
      <c r="F213" s="83">
        <v>13700</v>
      </c>
      <c r="G213" s="84">
        <v>0</v>
      </c>
      <c r="H213" s="13">
        <f t="shared" si="9"/>
        <v>0</v>
      </c>
      <c r="I213" s="83">
        <v>0</v>
      </c>
      <c r="J213" s="83">
        <v>0</v>
      </c>
      <c r="K213" s="14">
        <f t="shared" si="10"/>
        <v>0</v>
      </c>
      <c r="L213" s="63">
        <v>0</v>
      </c>
      <c r="M213" s="83">
        <v>0</v>
      </c>
      <c r="N213" s="14">
        <f t="shared" si="11"/>
        <v>0</v>
      </c>
      <c r="O213" s="14">
        <f t="shared" si="11"/>
        <v>0</v>
      </c>
      <c r="P213" s="4">
        <f t="shared" si="11"/>
        <v>0</v>
      </c>
      <c r="Q213" s="52"/>
    </row>
    <row r="214" spans="2:17" ht="17.399999999999999" x14ac:dyDescent="0.4">
      <c r="B214" s="82">
        <v>42404</v>
      </c>
      <c r="C214" s="83">
        <v>13700</v>
      </c>
      <c r="D214" s="83">
        <v>13700</v>
      </c>
      <c r="E214" s="83">
        <v>13700</v>
      </c>
      <c r="F214" s="83">
        <v>13700</v>
      </c>
      <c r="G214" s="84">
        <v>0</v>
      </c>
      <c r="H214" s="13">
        <f t="shared" si="9"/>
        <v>0</v>
      </c>
      <c r="I214" s="83">
        <v>0</v>
      </c>
      <c r="J214" s="83">
        <v>0</v>
      </c>
      <c r="K214" s="14">
        <f t="shared" si="10"/>
        <v>0</v>
      </c>
      <c r="L214" s="63">
        <v>0</v>
      </c>
      <c r="M214" s="83">
        <v>0</v>
      </c>
      <c r="N214" s="14">
        <f t="shared" si="11"/>
        <v>0</v>
      </c>
      <c r="O214" s="14">
        <f t="shared" si="11"/>
        <v>0</v>
      </c>
      <c r="P214" s="4">
        <f t="shared" si="11"/>
        <v>0</v>
      </c>
      <c r="Q214" s="52"/>
    </row>
    <row r="215" spans="2:17" ht="17.399999999999999" x14ac:dyDescent="0.4">
      <c r="B215" s="82">
        <v>42405</v>
      </c>
      <c r="C215" s="83">
        <v>13700</v>
      </c>
      <c r="D215" s="83">
        <v>13700</v>
      </c>
      <c r="E215" s="83">
        <v>13700</v>
      </c>
      <c r="F215" s="83">
        <v>13700</v>
      </c>
      <c r="G215" s="84">
        <v>0</v>
      </c>
      <c r="H215" s="13">
        <f t="shared" si="9"/>
        <v>0</v>
      </c>
      <c r="I215" s="83">
        <v>0</v>
      </c>
      <c r="J215" s="83">
        <v>0</v>
      </c>
      <c r="K215" s="14">
        <f t="shared" si="10"/>
        <v>0</v>
      </c>
      <c r="L215" s="63">
        <v>0</v>
      </c>
      <c r="M215" s="83">
        <v>0</v>
      </c>
      <c r="N215" s="14">
        <f t="shared" si="11"/>
        <v>0</v>
      </c>
      <c r="O215" s="14">
        <f t="shared" si="11"/>
        <v>0</v>
      </c>
      <c r="P215" s="4">
        <f t="shared" si="11"/>
        <v>0</v>
      </c>
      <c r="Q215" s="52"/>
    </row>
    <row r="216" spans="2:17" ht="17.399999999999999" x14ac:dyDescent="0.4">
      <c r="B216" s="82">
        <v>42411</v>
      </c>
      <c r="C216" s="83">
        <v>13700</v>
      </c>
      <c r="D216" s="83">
        <v>13700</v>
      </c>
      <c r="E216" s="83">
        <v>13700</v>
      </c>
      <c r="F216" s="83">
        <v>13700</v>
      </c>
      <c r="G216" s="84">
        <v>0</v>
      </c>
      <c r="H216" s="13">
        <f t="shared" si="9"/>
        <v>0</v>
      </c>
      <c r="I216" s="83">
        <v>0</v>
      </c>
      <c r="J216" s="83">
        <v>0</v>
      </c>
      <c r="K216" s="14">
        <f t="shared" si="10"/>
        <v>0</v>
      </c>
      <c r="L216" s="63">
        <v>0</v>
      </c>
      <c r="M216" s="83">
        <v>0</v>
      </c>
      <c r="N216" s="14">
        <f t="shared" si="11"/>
        <v>0</v>
      </c>
      <c r="O216" s="14">
        <f t="shared" si="11"/>
        <v>0</v>
      </c>
      <c r="P216" s="4">
        <f t="shared" si="11"/>
        <v>0</v>
      </c>
      <c r="Q216" s="52"/>
    </row>
    <row r="217" spans="2:17" ht="17.399999999999999" x14ac:dyDescent="0.4">
      <c r="B217" s="82">
        <v>42412</v>
      </c>
      <c r="C217" s="83">
        <v>13700</v>
      </c>
      <c r="D217" s="83">
        <v>13700</v>
      </c>
      <c r="E217" s="83">
        <v>13700</v>
      </c>
      <c r="F217" s="83">
        <v>13700</v>
      </c>
      <c r="G217" s="84">
        <v>0</v>
      </c>
      <c r="H217" s="13">
        <f t="shared" si="9"/>
        <v>0</v>
      </c>
      <c r="I217" s="83">
        <v>0</v>
      </c>
      <c r="J217" s="83">
        <v>0</v>
      </c>
      <c r="K217" s="14">
        <f t="shared" si="10"/>
        <v>0</v>
      </c>
      <c r="L217" s="63">
        <v>0</v>
      </c>
      <c r="M217" s="83">
        <v>0</v>
      </c>
      <c r="N217" s="14">
        <f t="shared" si="11"/>
        <v>0</v>
      </c>
      <c r="O217" s="14">
        <f t="shared" si="11"/>
        <v>0</v>
      </c>
      <c r="P217" s="4">
        <f t="shared" si="11"/>
        <v>0</v>
      </c>
      <c r="Q217" s="52"/>
    </row>
    <row r="218" spans="2:17" ht="17.399999999999999" x14ac:dyDescent="0.4">
      <c r="B218" s="82">
        <v>42415</v>
      </c>
      <c r="C218" s="83">
        <v>13700</v>
      </c>
      <c r="D218" s="83">
        <v>13700</v>
      </c>
      <c r="E218" s="83">
        <v>13700</v>
      </c>
      <c r="F218" s="83">
        <v>13700</v>
      </c>
      <c r="G218" s="84">
        <v>0</v>
      </c>
      <c r="H218" s="13">
        <f t="shared" si="9"/>
        <v>0</v>
      </c>
      <c r="I218" s="83">
        <v>0</v>
      </c>
      <c r="J218" s="83">
        <v>0</v>
      </c>
      <c r="K218" s="14">
        <f t="shared" si="10"/>
        <v>0</v>
      </c>
      <c r="L218" s="63">
        <v>0</v>
      </c>
      <c r="M218" s="83">
        <v>0</v>
      </c>
      <c r="N218" s="14">
        <f t="shared" si="11"/>
        <v>0</v>
      </c>
      <c r="O218" s="14">
        <f t="shared" si="11"/>
        <v>0</v>
      </c>
      <c r="P218" s="4">
        <f t="shared" si="11"/>
        <v>0</v>
      </c>
      <c r="Q218" s="52"/>
    </row>
    <row r="219" spans="2:17" ht="17.399999999999999" x14ac:dyDescent="0.4">
      <c r="B219" s="82">
        <v>42416</v>
      </c>
      <c r="C219" s="83">
        <v>13700</v>
      </c>
      <c r="D219" s="83">
        <v>13700</v>
      </c>
      <c r="E219" s="83">
        <v>13700</v>
      </c>
      <c r="F219" s="83">
        <v>13700</v>
      </c>
      <c r="G219" s="84">
        <v>0</v>
      </c>
      <c r="H219" s="13">
        <f t="shared" si="9"/>
        <v>0</v>
      </c>
      <c r="I219" s="83">
        <v>0</v>
      </c>
      <c r="J219" s="83">
        <v>0</v>
      </c>
      <c r="K219" s="14">
        <f t="shared" si="10"/>
        <v>0</v>
      </c>
      <c r="L219" s="63">
        <v>0</v>
      </c>
      <c r="M219" s="83">
        <v>0</v>
      </c>
      <c r="N219" s="14">
        <f t="shared" si="11"/>
        <v>0</v>
      </c>
      <c r="O219" s="14">
        <f t="shared" si="11"/>
        <v>0</v>
      </c>
      <c r="P219" s="4">
        <f t="shared" si="11"/>
        <v>0</v>
      </c>
      <c r="Q219" s="52"/>
    </row>
    <row r="220" spans="2:17" ht="17.399999999999999" x14ac:dyDescent="0.4">
      <c r="B220" s="82">
        <v>42417</v>
      </c>
      <c r="C220" s="83">
        <v>15000</v>
      </c>
      <c r="D220" s="83">
        <v>15000</v>
      </c>
      <c r="E220" s="83">
        <v>15000</v>
      </c>
      <c r="F220" s="83">
        <v>15000</v>
      </c>
      <c r="G220" s="84">
        <v>9.49</v>
      </c>
      <c r="H220" s="13">
        <f t="shared" si="9"/>
        <v>20000</v>
      </c>
      <c r="I220" s="83">
        <v>0</v>
      </c>
      <c r="J220" s="83">
        <v>20000</v>
      </c>
      <c r="K220" s="14">
        <f t="shared" si="10"/>
        <v>300000000</v>
      </c>
      <c r="L220" s="63">
        <v>0</v>
      </c>
      <c r="M220" s="83">
        <v>300000000</v>
      </c>
      <c r="N220" s="14">
        <f t="shared" si="11"/>
        <v>15000</v>
      </c>
      <c r="O220" s="14">
        <f t="shared" si="11"/>
        <v>0</v>
      </c>
      <c r="P220" s="4">
        <f t="shared" si="11"/>
        <v>15000</v>
      </c>
      <c r="Q220" s="52"/>
    </row>
    <row r="221" spans="2:17" ht="17.399999999999999" x14ac:dyDescent="0.4">
      <c r="B221" s="82">
        <v>42418</v>
      </c>
      <c r="C221" s="83">
        <v>16000</v>
      </c>
      <c r="D221" s="83">
        <v>16000</v>
      </c>
      <c r="E221" s="83">
        <v>16000</v>
      </c>
      <c r="F221" s="83">
        <v>16000</v>
      </c>
      <c r="G221" s="84">
        <v>6.67</v>
      </c>
      <c r="H221" s="13">
        <f t="shared" si="9"/>
        <v>3000</v>
      </c>
      <c r="I221" s="83">
        <v>230000</v>
      </c>
      <c r="J221" s="83">
        <v>233000</v>
      </c>
      <c r="K221" s="14">
        <f>16000*3000</f>
        <v>48000000</v>
      </c>
      <c r="L221" s="14">
        <f>M221-K221</f>
        <v>3795000000</v>
      </c>
      <c r="M221" s="83">
        <v>3843000000</v>
      </c>
      <c r="N221" s="14">
        <f>K221/H221</f>
        <v>16000</v>
      </c>
      <c r="O221" s="14">
        <f>L221/I221</f>
        <v>16500</v>
      </c>
      <c r="P221" s="14">
        <f>M221/J221</f>
        <v>16493.562231759657</v>
      </c>
      <c r="Q221" s="52"/>
    </row>
    <row r="222" spans="2:17" ht="17.399999999999999" x14ac:dyDescent="0.4">
      <c r="B222" s="82">
        <v>42419</v>
      </c>
      <c r="C222" s="83">
        <v>16000</v>
      </c>
      <c r="D222" s="83">
        <v>16000</v>
      </c>
      <c r="E222" s="83">
        <v>16000</v>
      </c>
      <c r="F222" s="83">
        <v>16000</v>
      </c>
      <c r="G222" s="84">
        <v>0</v>
      </c>
      <c r="H222" s="13">
        <f t="shared" si="9"/>
        <v>0</v>
      </c>
      <c r="I222" s="83">
        <v>0</v>
      </c>
      <c r="J222" s="83">
        <v>0</v>
      </c>
      <c r="K222" s="14">
        <f t="shared" si="10"/>
        <v>0</v>
      </c>
      <c r="L222" s="63">
        <v>0</v>
      </c>
      <c r="M222" s="83">
        <v>0</v>
      </c>
      <c r="N222" s="14">
        <f>IFERROR(K222/H222,0)</f>
        <v>0</v>
      </c>
      <c r="O222" s="14">
        <f>IFERROR(L222/I222,0)</f>
        <v>0</v>
      </c>
      <c r="P222" s="4">
        <f>IFERROR(M222/J222,0)</f>
        <v>0</v>
      </c>
      <c r="Q222" s="52"/>
    </row>
    <row r="223" spans="2:17" ht="17.399999999999999" x14ac:dyDescent="0.4">
      <c r="B223" s="82">
        <v>42422</v>
      </c>
      <c r="C223" s="83">
        <v>16000</v>
      </c>
      <c r="D223" s="83">
        <v>16000</v>
      </c>
      <c r="E223" s="83">
        <v>16000</v>
      </c>
      <c r="F223" s="83">
        <v>16000</v>
      </c>
      <c r="G223" s="84">
        <v>0</v>
      </c>
      <c r="H223" s="13">
        <f t="shared" si="9"/>
        <v>0</v>
      </c>
      <c r="I223" s="83">
        <v>60000</v>
      </c>
      <c r="J223" s="83">
        <v>60000</v>
      </c>
      <c r="K223" s="14">
        <f t="shared" si="10"/>
        <v>1020000000</v>
      </c>
      <c r="L223" s="63">
        <v>0</v>
      </c>
      <c r="M223" s="83">
        <v>1020000000</v>
      </c>
      <c r="N223" s="14">
        <f t="shared" ref="N223:P264" si="12">IFERROR(K223/H223,0)</f>
        <v>0</v>
      </c>
      <c r="O223" s="14">
        <f t="shared" si="12"/>
        <v>0</v>
      </c>
      <c r="P223" s="4">
        <f t="shared" si="12"/>
        <v>17000</v>
      </c>
      <c r="Q223" s="52"/>
    </row>
    <row r="224" spans="2:17" ht="17.399999999999999" x14ac:dyDescent="0.4">
      <c r="B224" s="82">
        <v>42423</v>
      </c>
      <c r="C224" s="83">
        <v>16000</v>
      </c>
      <c r="D224" s="83">
        <v>16000</v>
      </c>
      <c r="E224" s="83">
        <v>16000</v>
      </c>
      <c r="F224" s="83">
        <v>16000</v>
      </c>
      <c r="G224" s="84">
        <v>0</v>
      </c>
      <c r="H224" s="13">
        <f t="shared" si="9"/>
        <v>0</v>
      </c>
      <c r="I224" s="83">
        <v>0</v>
      </c>
      <c r="J224" s="83">
        <v>0</v>
      </c>
      <c r="K224" s="14">
        <f t="shared" si="10"/>
        <v>0</v>
      </c>
      <c r="L224" s="63">
        <v>0</v>
      </c>
      <c r="M224" s="83">
        <v>0</v>
      </c>
      <c r="N224" s="14">
        <f t="shared" si="12"/>
        <v>0</v>
      </c>
      <c r="O224" s="14">
        <f t="shared" si="12"/>
        <v>0</v>
      </c>
      <c r="P224" s="4">
        <f t="shared" si="12"/>
        <v>0</v>
      </c>
      <c r="Q224" s="52"/>
    </row>
    <row r="225" spans="2:17" ht="17.399999999999999" x14ac:dyDescent="0.4">
      <c r="B225" s="82">
        <v>42424</v>
      </c>
      <c r="C225" s="83">
        <v>16000</v>
      </c>
      <c r="D225" s="83">
        <v>16000</v>
      </c>
      <c r="E225" s="83">
        <v>16000</v>
      </c>
      <c r="F225" s="83">
        <v>16000</v>
      </c>
      <c r="G225" s="84">
        <v>0</v>
      </c>
      <c r="H225" s="13">
        <f t="shared" si="9"/>
        <v>0</v>
      </c>
      <c r="I225" s="83">
        <v>0</v>
      </c>
      <c r="J225" s="83">
        <v>0</v>
      </c>
      <c r="K225" s="14">
        <f t="shared" si="10"/>
        <v>0</v>
      </c>
      <c r="L225" s="63">
        <v>0</v>
      </c>
      <c r="M225" s="83">
        <v>0</v>
      </c>
      <c r="N225" s="14">
        <f t="shared" si="12"/>
        <v>0</v>
      </c>
      <c r="O225" s="14">
        <f t="shared" si="12"/>
        <v>0</v>
      </c>
      <c r="P225" s="4">
        <f t="shared" si="12"/>
        <v>0</v>
      </c>
      <c r="Q225" s="52"/>
    </row>
    <row r="226" spans="2:17" ht="17.399999999999999" x14ac:dyDescent="0.4">
      <c r="B226" s="82">
        <v>42425</v>
      </c>
      <c r="C226" s="83">
        <v>16000</v>
      </c>
      <c r="D226" s="83">
        <v>16000</v>
      </c>
      <c r="E226" s="83">
        <v>16000</v>
      </c>
      <c r="F226" s="83">
        <v>16000</v>
      </c>
      <c r="G226" s="84">
        <v>0</v>
      </c>
      <c r="H226" s="13">
        <f t="shared" si="9"/>
        <v>0</v>
      </c>
      <c r="I226" s="83">
        <v>0</v>
      </c>
      <c r="J226" s="83">
        <v>0</v>
      </c>
      <c r="K226" s="14">
        <f t="shared" si="10"/>
        <v>0</v>
      </c>
      <c r="L226" s="63">
        <v>0</v>
      </c>
      <c r="M226" s="83">
        <v>0</v>
      </c>
      <c r="N226" s="14">
        <f t="shared" si="12"/>
        <v>0</v>
      </c>
      <c r="O226" s="14">
        <f t="shared" si="12"/>
        <v>0</v>
      </c>
      <c r="P226" s="4">
        <f t="shared" si="12"/>
        <v>0</v>
      </c>
      <c r="Q226" s="52"/>
    </row>
    <row r="227" spans="2:17" ht="17.399999999999999" x14ac:dyDescent="0.4">
      <c r="B227" s="82">
        <v>42426</v>
      </c>
      <c r="C227" s="83">
        <v>16000</v>
      </c>
      <c r="D227" s="83">
        <v>16000</v>
      </c>
      <c r="E227" s="83">
        <v>16000</v>
      </c>
      <c r="F227" s="83">
        <v>16000</v>
      </c>
      <c r="G227" s="84">
        <v>0</v>
      </c>
      <c r="H227" s="13">
        <f t="shared" si="9"/>
        <v>0</v>
      </c>
      <c r="I227" s="83">
        <v>0</v>
      </c>
      <c r="J227" s="83">
        <v>0</v>
      </c>
      <c r="K227" s="14">
        <f t="shared" si="10"/>
        <v>0</v>
      </c>
      <c r="L227" s="63">
        <v>0</v>
      </c>
      <c r="M227" s="83">
        <v>0</v>
      </c>
      <c r="N227" s="14">
        <f t="shared" si="12"/>
        <v>0</v>
      </c>
      <c r="O227" s="14">
        <f t="shared" si="12"/>
        <v>0</v>
      </c>
      <c r="P227" s="4">
        <f t="shared" si="12"/>
        <v>0</v>
      </c>
      <c r="Q227" s="52"/>
    </row>
    <row r="228" spans="2:17" ht="17.399999999999999" x14ac:dyDescent="0.4">
      <c r="B228" s="82">
        <v>42429</v>
      </c>
      <c r="C228" s="83">
        <v>16000</v>
      </c>
      <c r="D228" s="83">
        <v>16000</v>
      </c>
      <c r="E228" s="83">
        <v>16000</v>
      </c>
      <c r="F228" s="83">
        <v>16000</v>
      </c>
      <c r="G228" s="84">
        <v>0</v>
      </c>
      <c r="H228" s="13">
        <f t="shared" si="9"/>
        <v>0</v>
      </c>
      <c r="I228" s="83">
        <v>0</v>
      </c>
      <c r="J228" s="83">
        <v>0</v>
      </c>
      <c r="K228" s="14">
        <f t="shared" si="10"/>
        <v>0</v>
      </c>
      <c r="L228" s="63">
        <v>0</v>
      </c>
      <c r="M228" s="83">
        <v>0</v>
      </c>
      <c r="N228" s="14">
        <f t="shared" si="12"/>
        <v>0</v>
      </c>
      <c r="O228" s="14">
        <f t="shared" si="12"/>
        <v>0</v>
      </c>
      <c r="P228" s="4">
        <f t="shared" si="12"/>
        <v>0</v>
      </c>
      <c r="Q228" s="52"/>
    </row>
    <row r="229" spans="2:17" ht="17.399999999999999" x14ac:dyDescent="0.4">
      <c r="B229" s="82">
        <v>42431</v>
      </c>
      <c r="C229" s="83">
        <v>16000</v>
      </c>
      <c r="D229" s="83">
        <v>16000</v>
      </c>
      <c r="E229" s="83">
        <v>16000</v>
      </c>
      <c r="F229" s="83">
        <v>16000</v>
      </c>
      <c r="G229" s="84">
        <v>0</v>
      </c>
      <c r="H229" s="13">
        <f t="shared" si="9"/>
        <v>0</v>
      </c>
      <c r="I229" s="83">
        <v>0</v>
      </c>
      <c r="J229" s="83">
        <v>0</v>
      </c>
      <c r="K229" s="14">
        <f t="shared" si="10"/>
        <v>0</v>
      </c>
      <c r="L229" s="63">
        <v>0</v>
      </c>
      <c r="M229" s="83">
        <v>0</v>
      </c>
      <c r="N229" s="14">
        <f t="shared" si="12"/>
        <v>0</v>
      </c>
      <c r="O229" s="14">
        <f t="shared" si="12"/>
        <v>0</v>
      </c>
      <c r="P229" s="4">
        <f t="shared" si="12"/>
        <v>0</v>
      </c>
      <c r="Q229" s="52"/>
    </row>
    <row r="230" spans="2:17" ht="17.399999999999999" x14ac:dyDescent="0.4">
      <c r="B230" s="82">
        <v>42432</v>
      </c>
      <c r="C230" s="83">
        <v>16000</v>
      </c>
      <c r="D230" s="83">
        <v>16000</v>
      </c>
      <c r="E230" s="83">
        <v>16000</v>
      </c>
      <c r="F230" s="83">
        <v>16000</v>
      </c>
      <c r="G230" s="84">
        <v>0</v>
      </c>
      <c r="H230" s="13">
        <f t="shared" si="9"/>
        <v>0</v>
      </c>
      <c r="I230" s="83">
        <v>0</v>
      </c>
      <c r="J230" s="83">
        <v>0</v>
      </c>
      <c r="K230" s="14">
        <f t="shared" si="10"/>
        <v>0</v>
      </c>
      <c r="L230" s="63">
        <v>0</v>
      </c>
      <c r="M230" s="83">
        <v>0</v>
      </c>
      <c r="N230" s="14">
        <f t="shared" si="12"/>
        <v>0</v>
      </c>
      <c r="O230" s="14">
        <f t="shared" si="12"/>
        <v>0</v>
      </c>
      <c r="P230" s="4">
        <f t="shared" si="12"/>
        <v>0</v>
      </c>
      <c r="Q230" s="52"/>
    </row>
    <row r="231" spans="2:17" ht="17.399999999999999" x14ac:dyDescent="0.4">
      <c r="B231" s="82">
        <v>42433</v>
      </c>
      <c r="C231" s="83">
        <v>16000</v>
      </c>
      <c r="D231" s="83">
        <v>16000</v>
      </c>
      <c r="E231" s="83">
        <v>16000</v>
      </c>
      <c r="F231" s="83">
        <v>16000</v>
      </c>
      <c r="G231" s="84">
        <v>0</v>
      </c>
      <c r="H231" s="13">
        <f t="shared" si="9"/>
        <v>0</v>
      </c>
      <c r="I231" s="83">
        <v>0</v>
      </c>
      <c r="J231" s="83">
        <v>0</v>
      </c>
      <c r="K231" s="14">
        <f t="shared" si="10"/>
        <v>0</v>
      </c>
      <c r="L231" s="63">
        <v>0</v>
      </c>
      <c r="M231" s="83">
        <v>0</v>
      </c>
      <c r="N231" s="14">
        <f t="shared" si="12"/>
        <v>0</v>
      </c>
      <c r="O231" s="14">
        <f t="shared" si="12"/>
        <v>0</v>
      </c>
      <c r="P231" s="4">
        <f t="shared" si="12"/>
        <v>0</v>
      </c>
      <c r="Q231" s="52"/>
    </row>
    <row r="232" spans="2:17" ht="17.399999999999999" x14ac:dyDescent="0.4">
      <c r="B232" s="82">
        <v>42436</v>
      </c>
      <c r="C232" s="83">
        <v>16000</v>
      </c>
      <c r="D232" s="83">
        <v>16000</v>
      </c>
      <c r="E232" s="83">
        <v>16000</v>
      </c>
      <c r="F232" s="83">
        <v>16000</v>
      </c>
      <c r="G232" s="84">
        <v>0</v>
      </c>
      <c r="H232" s="13">
        <f t="shared" si="9"/>
        <v>0</v>
      </c>
      <c r="I232" s="83">
        <v>0</v>
      </c>
      <c r="J232" s="83">
        <v>0</v>
      </c>
      <c r="K232" s="14">
        <f t="shared" si="10"/>
        <v>0</v>
      </c>
      <c r="L232" s="63">
        <v>0</v>
      </c>
      <c r="M232" s="83">
        <v>0</v>
      </c>
      <c r="N232" s="14">
        <f t="shared" si="12"/>
        <v>0</v>
      </c>
      <c r="O232" s="14">
        <f t="shared" si="12"/>
        <v>0</v>
      </c>
      <c r="P232" s="4">
        <f t="shared" si="12"/>
        <v>0</v>
      </c>
      <c r="Q232" s="52"/>
    </row>
    <row r="233" spans="2:17" ht="17.399999999999999" x14ac:dyDescent="0.4">
      <c r="B233" s="82">
        <v>42437</v>
      </c>
      <c r="C233" s="83">
        <v>17500</v>
      </c>
      <c r="D233" s="83">
        <v>17600</v>
      </c>
      <c r="E233" s="83">
        <v>17500</v>
      </c>
      <c r="F233" s="83">
        <v>17600</v>
      </c>
      <c r="G233" s="84">
        <v>10</v>
      </c>
      <c r="H233" s="13">
        <f t="shared" si="9"/>
        <v>8300</v>
      </c>
      <c r="I233" s="83">
        <v>0</v>
      </c>
      <c r="J233" s="83">
        <v>8300</v>
      </c>
      <c r="K233" s="14">
        <f t="shared" si="10"/>
        <v>145750000</v>
      </c>
      <c r="L233" s="63">
        <v>0</v>
      </c>
      <c r="M233" s="83">
        <v>145750000</v>
      </c>
      <c r="N233" s="14">
        <f t="shared" si="12"/>
        <v>17560.24096385542</v>
      </c>
      <c r="O233" s="14">
        <f t="shared" si="12"/>
        <v>0</v>
      </c>
      <c r="P233" s="4">
        <f t="shared" si="12"/>
        <v>17560.24096385542</v>
      </c>
      <c r="Q233" s="52"/>
    </row>
    <row r="234" spans="2:17" ht="17.399999999999999" x14ac:dyDescent="0.4">
      <c r="B234" s="82">
        <v>42438</v>
      </c>
      <c r="C234" s="83">
        <v>17600</v>
      </c>
      <c r="D234" s="83">
        <v>17600</v>
      </c>
      <c r="E234" s="83">
        <v>17600</v>
      </c>
      <c r="F234" s="83">
        <v>17600</v>
      </c>
      <c r="G234" s="84">
        <v>0</v>
      </c>
      <c r="H234" s="13">
        <f t="shared" si="9"/>
        <v>0</v>
      </c>
      <c r="I234" s="83">
        <v>0</v>
      </c>
      <c r="J234" s="83">
        <v>0</v>
      </c>
      <c r="K234" s="14">
        <f t="shared" si="10"/>
        <v>0</v>
      </c>
      <c r="L234" s="63">
        <v>0</v>
      </c>
      <c r="M234" s="83">
        <v>0</v>
      </c>
      <c r="N234" s="14">
        <f t="shared" si="12"/>
        <v>0</v>
      </c>
      <c r="O234" s="14">
        <f t="shared" si="12"/>
        <v>0</v>
      </c>
      <c r="P234" s="4">
        <f t="shared" si="12"/>
        <v>0</v>
      </c>
      <c r="Q234" s="52"/>
    </row>
    <row r="235" spans="2:17" ht="17.399999999999999" x14ac:dyDescent="0.4">
      <c r="B235" s="82">
        <v>42439</v>
      </c>
      <c r="C235" s="83">
        <v>18000</v>
      </c>
      <c r="D235" s="83">
        <v>18000</v>
      </c>
      <c r="E235" s="83">
        <v>18000</v>
      </c>
      <c r="F235" s="83">
        <v>18000</v>
      </c>
      <c r="G235" s="84">
        <v>2.27</v>
      </c>
      <c r="H235" s="13">
        <f t="shared" si="9"/>
        <v>2500</v>
      </c>
      <c r="I235" s="83">
        <v>0</v>
      </c>
      <c r="J235" s="83">
        <v>2500</v>
      </c>
      <c r="K235" s="14">
        <f t="shared" si="10"/>
        <v>45000000</v>
      </c>
      <c r="L235" s="63">
        <v>0</v>
      </c>
      <c r="M235" s="83">
        <v>45000000</v>
      </c>
      <c r="N235" s="14">
        <f t="shared" si="12"/>
        <v>18000</v>
      </c>
      <c r="O235" s="14">
        <f t="shared" si="12"/>
        <v>0</v>
      </c>
      <c r="P235" s="4">
        <f t="shared" si="12"/>
        <v>18000</v>
      </c>
      <c r="Q235" s="52"/>
    </row>
    <row r="236" spans="2:17" ht="17.399999999999999" x14ac:dyDescent="0.4">
      <c r="B236" s="82">
        <v>42440</v>
      </c>
      <c r="C236" s="83">
        <v>18000</v>
      </c>
      <c r="D236" s="83">
        <v>18000</v>
      </c>
      <c r="E236" s="83">
        <v>18000</v>
      </c>
      <c r="F236" s="83">
        <v>18000</v>
      </c>
      <c r="G236" s="84">
        <v>0</v>
      </c>
      <c r="H236" s="13">
        <f t="shared" si="9"/>
        <v>0</v>
      </c>
      <c r="I236" s="83">
        <v>0</v>
      </c>
      <c r="J236" s="83">
        <v>0</v>
      </c>
      <c r="K236" s="14">
        <f t="shared" si="10"/>
        <v>0</v>
      </c>
      <c r="L236" s="63">
        <v>0</v>
      </c>
      <c r="M236" s="83">
        <v>0</v>
      </c>
      <c r="N236" s="14">
        <f t="shared" si="12"/>
        <v>0</v>
      </c>
      <c r="O236" s="14">
        <f t="shared" si="12"/>
        <v>0</v>
      </c>
      <c r="P236" s="4">
        <f t="shared" si="12"/>
        <v>0</v>
      </c>
      <c r="Q236" s="52"/>
    </row>
    <row r="237" spans="2:17" ht="17.399999999999999" x14ac:dyDescent="0.4">
      <c r="B237" s="82">
        <v>42443</v>
      </c>
      <c r="C237" s="83">
        <v>18000</v>
      </c>
      <c r="D237" s="83">
        <v>18000</v>
      </c>
      <c r="E237" s="83">
        <v>18000</v>
      </c>
      <c r="F237" s="83">
        <v>18000</v>
      </c>
      <c r="G237" s="84">
        <v>0</v>
      </c>
      <c r="H237" s="13">
        <f t="shared" si="9"/>
        <v>0</v>
      </c>
      <c r="I237" s="83">
        <v>0</v>
      </c>
      <c r="J237" s="83">
        <v>0</v>
      </c>
      <c r="K237" s="14">
        <f t="shared" si="10"/>
        <v>0</v>
      </c>
      <c r="L237" s="63">
        <v>0</v>
      </c>
      <c r="M237" s="83">
        <v>0</v>
      </c>
      <c r="N237" s="14">
        <f t="shared" si="12"/>
        <v>0</v>
      </c>
      <c r="O237" s="14">
        <f t="shared" si="12"/>
        <v>0</v>
      </c>
      <c r="P237" s="4">
        <f t="shared" si="12"/>
        <v>0</v>
      </c>
      <c r="Q237" s="52"/>
    </row>
    <row r="238" spans="2:17" ht="17.399999999999999" x14ac:dyDescent="0.4">
      <c r="B238" s="82">
        <v>42444</v>
      </c>
      <c r="C238" s="83">
        <v>18500</v>
      </c>
      <c r="D238" s="83">
        <v>18500</v>
      </c>
      <c r="E238" s="83">
        <v>18500</v>
      </c>
      <c r="F238" s="83">
        <v>18500</v>
      </c>
      <c r="G238" s="84">
        <v>2.78</v>
      </c>
      <c r="H238" s="13">
        <f t="shared" si="9"/>
        <v>2529</v>
      </c>
      <c r="I238" s="83">
        <v>0</v>
      </c>
      <c r="J238" s="83">
        <v>2529</v>
      </c>
      <c r="K238" s="14">
        <f t="shared" si="10"/>
        <v>46786500</v>
      </c>
      <c r="L238" s="63">
        <v>0</v>
      </c>
      <c r="M238" s="83">
        <v>46786500</v>
      </c>
      <c r="N238" s="14">
        <f t="shared" si="12"/>
        <v>18500</v>
      </c>
      <c r="O238" s="14">
        <f t="shared" si="12"/>
        <v>0</v>
      </c>
      <c r="P238" s="4">
        <f t="shared" si="12"/>
        <v>18500</v>
      </c>
      <c r="Q238" s="52"/>
    </row>
    <row r="239" spans="2:17" ht="17.399999999999999" x14ac:dyDescent="0.4">
      <c r="B239" s="82">
        <v>42445</v>
      </c>
      <c r="C239" s="83">
        <v>18500</v>
      </c>
      <c r="D239" s="83">
        <v>18500</v>
      </c>
      <c r="E239" s="83">
        <v>18500</v>
      </c>
      <c r="F239" s="83">
        <v>18500</v>
      </c>
      <c r="G239" s="84">
        <v>0</v>
      </c>
      <c r="H239" s="13">
        <f t="shared" si="9"/>
        <v>500</v>
      </c>
      <c r="I239" s="83">
        <v>0</v>
      </c>
      <c r="J239" s="83">
        <v>500</v>
      </c>
      <c r="K239" s="14">
        <f t="shared" si="10"/>
        <v>9250000</v>
      </c>
      <c r="L239" s="63">
        <v>0</v>
      </c>
      <c r="M239" s="83">
        <v>9250000</v>
      </c>
      <c r="N239" s="14">
        <f t="shared" si="12"/>
        <v>18500</v>
      </c>
      <c r="O239" s="14">
        <f t="shared" si="12"/>
        <v>0</v>
      </c>
      <c r="P239" s="4">
        <f t="shared" si="12"/>
        <v>18500</v>
      </c>
      <c r="Q239" s="52"/>
    </row>
    <row r="240" spans="2:17" ht="17.399999999999999" x14ac:dyDescent="0.4">
      <c r="B240" s="82">
        <v>42446</v>
      </c>
      <c r="C240" s="83">
        <v>18500</v>
      </c>
      <c r="D240" s="83">
        <v>18500</v>
      </c>
      <c r="E240" s="83">
        <v>18500</v>
      </c>
      <c r="F240" s="83">
        <v>18500</v>
      </c>
      <c r="G240" s="84">
        <v>0</v>
      </c>
      <c r="H240" s="13">
        <f t="shared" si="9"/>
        <v>0</v>
      </c>
      <c r="I240" s="83">
        <v>0</v>
      </c>
      <c r="J240" s="83">
        <v>0</v>
      </c>
      <c r="K240" s="14">
        <f t="shared" si="10"/>
        <v>0</v>
      </c>
      <c r="L240" s="63">
        <v>0</v>
      </c>
      <c r="M240" s="83">
        <v>0</v>
      </c>
      <c r="N240" s="14">
        <f t="shared" si="12"/>
        <v>0</v>
      </c>
      <c r="O240" s="14">
        <f t="shared" si="12"/>
        <v>0</v>
      </c>
      <c r="P240" s="4">
        <f t="shared" si="12"/>
        <v>0</v>
      </c>
      <c r="Q240" s="52"/>
    </row>
    <row r="241" spans="2:17" ht="17.399999999999999" x14ac:dyDescent="0.4">
      <c r="B241" s="82">
        <v>42447</v>
      </c>
      <c r="C241" s="83">
        <v>18500</v>
      </c>
      <c r="D241" s="83">
        <v>18500</v>
      </c>
      <c r="E241" s="83">
        <v>18500</v>
      </c>
      <c r="F241" s="83">
        <v>18500</v>
      </c>
      <c r="G241" s="84">
        <v>0</v>
      </c>
      <c r="H241" s="13">
        <f t="shared" si="9"/>
        <v>0</v>
      </c>
      <c r="I241" s="83">
        <v>0</v>
      </c>
      <c r="J241" s="83">
        <v>0</v>
      </c>
      <c r="K241" s="14">
        <f t="shared" si="10"/>
        <v>0</v>
      </c>
      <c r="L241" s="63">
        <v>0</v>
      </c>
      <c r="M241" s="83">
        <v>0</v>
      </c>
      <c r="N241" s="14">
        <f t="shared" si="12"/>
        <v>0</v>
      </c>
      <c r="O241" s="14">
        <f t="shared" si="12"/>
        <v>0</v>
      </c>
      <c r="P241" s="4">
        <f t="shared" si="12"/>
        <v>0</v>
      </c>
      <c r="Q241" s="52"/>
    </row>
    <row r="242" spans="2:17" ht="17.399999999999999" x14ac:dyDescent="0.4">
      <c r="B242" s="85">
        <v>42450</v>
      </c>
      <c r="C242" s="86">
        <v>18500</v>
      </c>
      <c r="D242" s="86">
        <v>18500</v>
      </c>
      <c r="E242" s="86">
        <v>18500</v>
      </c>
      <c r="F242" s="47">
        <v>18500</v>
      </c>
      <c r="G242" s="50">
        <v>0</v>
      </c>
      <c r="H242" s="13">
        <f t="shared" si="9"/>
        <v>0</v>
      </c>
      <c r="I242" s="47">
        <v>0</v>
      </c>
      <c r="J242" s="47">
        <v>0</v>
      </c>
      <c r="K242" s="14">
        <f t="shared" si="10"/>
        <v>0</v>
      </c>
      <c r="L242" s="63">
        <v>0</v>
      </c>
      <c r="M242" s="47">
        <v>0</v>
      </c>
      <c r="N242" s="14">
        <f t="shared" si="12"/>
        <v>0</v>
      </c>
      <c r="O242" s="14">
        <f t="shared" si="12"/>
        <v>0</v>
      </c>
      <c r="P242" s="4">
        <f t="shared" si="12"/>
        <v>0</v>
      </c>
      <c r="Q242" s="52"/>
    </row>
    <row r="243" spans="2:17" ht="17.399999999999999" x14ac:dyDescent="0.4">
      <c r="B243" s="85">
        <v>42451</v>
      </c>
      <c r="C243" s="86">
        <v>18500</v>
      </c>
      <c r="D243" s="86">
        <v>18500</v>
      </c>
      <c r="E243" s="86">
        <v>18500</v>
      </c>
      <c r="F243" s="47">
        <v>18500</v>
      </c>
      <c r="G243" s="50">
        <v>0</v>
      </c>
      <c r="H243" s="13">
        <f t="shared" si="9"/>
        <v>0</v>
      </c>
      <c r="I243" s="47">
        <v>0</v>
      </c>
      <c r="J243" s="47">
        <v>0</v>
      </c>
      <c r="K243" s="14">
        <f t="shared" si="10"/>
        <v>0</v>
      </c>
      <c r="L243" s="63">
        <v>0</v>
      </c>
      <c r="M243" s="47">
        <v>0</v>
      </c>
      <c r="N243" s="14">
        <f t="shared" si="12"/>
        <v>0</v>
      </c>
      <c r="O243" s="14">
        <f t="shared" si="12"/>
        <v>0</v>
      </c>
      <c r="P243" s="4">
        <f t="shared" si="12"/>
        <v>0</v>
      </c>
      <c r="Q243" s="52"/>
    </row>
    <row r="244" spans="2:17" ht="17.399999999999999" x14ac:dyDescent="0.4">
      <c r="B244" s="85">
        <v>42452</v>
      </c>
      <c r="C244" s="86">
        <v>18500</v>
      </c>
      <c r="D244" s="86">
        <v>18500</v>
      </c>
      <c r="E244" s="86">
        <v>18500</v>
      </c>
      <c r="F244" s="47">
        <v>18500</v>
      </c>
      <c r="G244" s="50">
        <v>0</v>
      </c>
      <c r="H244" s="13">
        <f t="shared" si="9"/>
        <v>0</v>
      </c>
      <c r="I244" s="47">
        <v>0</v>
      </c>
      <c r="J244" s="47">
        <v>0</v>
      </c>
      <c r="K244" s="14">
        <f t="shared" si="10"/>
        <v>0</v>
      </c>
      <c r="L244" s="63">
        <v>0</v>
      </c>
      <c r="M244" s="47">
        <v>0</v>
      </c>
      <c r="N244" s="14">
        <f t="shared" si="12"/>
        <v>0</v>
      </c>
      <c r="O244" s="14">
        <f t="shared" si="12"/>
        <v>0</v>
      </c>
      <c r="P244" s="4">
        <f t="shared" si="12"/>
        <v>0</v>
      </c>
      <c r="Q244" s="52"/>
    </row>
    <row r="245" spans="2:17" ht="17.399999999999999" x14ac:dyDescent="0.4">
      <c r="B245" s="85">
        <v>42453</v>
      </c>
      <c r="C245" s="86">
        <v>18500</v>
      </c>
      <c r="D245" s="86">
        <v>18500</v>
      </c>
      <c r="E245" s="86">
        <v>18500</v>
      </c>
      <c r="F245" s="47">
        <v>18500</v>
      </c>
      <c r="G245" s="50">
        <v>0</v>
      </c>
      <c r="H245" s="13">
        <f t="shared" si="9"/>
        <v>0</v>
      </c>
      <c r="I245" s="47">
        <v>0</v>
      </c>
      <c r="J245" s="47">
        <v>0</v>
      </c>
      <c r="K245" s="14">
        <f t="shared" si="10"/>
        <v>0</v>
      </c>
      <c r="L245" s="63">
        <v>0</v>
      </c>
      <c r="M245" s="47">
        <v>0</v>
      </c>
      <c r="N245" s="14">
        <f t="shared" si="12"/>
        <v>0</v>
      </c>
      <c r="O245" s="14">
        <f t="shared" si="12"/>
        <v>0</v>
      </c>
      <c r="P245" s="4">
        <f t="shared" si="12"/>
        <v>0</v>
      </c>
      <c r="Q245" s="52"/>
    </row>
    <row r="246" spans="2:17" ht="17.399999999999999" x14ac:dyDescent="0.4">
      <c r="B246" s="85">
        <v>42454</v>
      </c>
      <c r="C246" s="86">
        <v>18500</v>
      </c>
      <c r="D246" s="86">
        <v>18500</v>
      </c>
      <c r="E246" s="86">
        <v>18500</v>
      </c>
      <c r="F246" s="47">
        <v>18500</v>
      </c>
      <c r="G246" s="50">
        <v>0</v>
      </c>
      <c r="H246" s="13">
        <f t="shared" si="9"/>
        <v>0</v>
      </c>
      <c r="I246" s="47">
        <v>0</v>
      </c>
      <c r="J246" s="47">
        <v>0</v>
      </c>
      <c r="K246" s="14">
        <f t="shared" si="10"/>
        <v>0</v>
      </c>
      <c r="L246" s="63">
        <v>0</v>
      </c>
      <c r="M246" s="47">
        <v>0</v>
      </c>
      <c r="N246" s="14">
        <f t="shared" si="12"/>
        <v>0</v>
      </c>
      <c r="O246" s="14">
        <f t="shared" si="12"/>
        <v>0</v>
      </c>
      <c r="P246" s="4">
        <f t="shared" si="12"/>
        <v>0</v>
      </c>
      <c r="Q246" s="52"/>
    </row>
    <row r="247" spans="2:17" ht="17.399999999999999" x14ac:dyDescent="0.4">
      <c r="B247" s="85">
        <v>42457</v>
      </c>
      <c r="C247" s="86">
        <v>18500</v>
      </c>
      <c r="D247" s="86">
        <v>18500</v>
      </c>
      <c r="E247" s="86">
        <v>18500</v>
      </c>
      <c r="F247" s="47">
        <v>18500</v>
      </c>
      <c r="G247" s="50">
        <v>0</v>
      </c>
      <c r="H247" s="13">
        <f t="shared" si="9"/>
        <v>0</v>
      </c>
      <c r="I247" s="47">
        <v>0</v>
      </c>
      <c r="J247" s="47">
        <v>0</v>
      </c>
      <c r="K247" s="14">
        <f t="shared" si="10"/>
        <v>0</v>
      </c>
      <c r="L247" s="63">
        <v>0</v>
      </c>
      <c r="M247" s="47">
        <v>0</v>
      </c>
      <c r="N247" s="14">
        <f t="shared" si="12"/>
        <v>0</v>
      </c>
      <c r="O247" s="14">
        <f t="shared" si="12"/>
        <v>0</v>
      </c>
      <c r="P247" s="4">
        <f t="shared" si="12"/>
        <v>0</v>
      </c>
      <c r="Q247" s="52"/>
    </row>
    <row r="248" spans="2:17" ht="17.399999999999999" x14ac:dyDescent="0.4">
      <c r="B248" s="85">
        <v>42458</v>
      </c>
      <c r="C248" s="86">
        <v>18500</v>
      </c>
      <c r="D248" s="86">
        <v>18500</v>
      </c>
      <c r="E248" s="86">
        <v>18500</v>
      </c>
      <c r="F248" s="47">
        <v>18500</v>
      </c>
      <c r="G248" s="50">
        <v>0</v>
      </c>
      <c r="H248" s="13">
        <f t="shared" si="9"/>
        <v>0</v>
      </c>
      <c r="I248" s="47">
        <v>0</v>
      </c>
      <c r="J248" s="47">
        <v>0</v>
      </c>
      <c r="K248" s="14">
        <f t="shared" si="10"/>
        <v>0</v>
      </c>
      <c r="L248" s="63">
        <v>0</v>
      </c>
      <c r="M248" s="47">
        <v>0</v>
      </c>
      <c r="N248" s="14">
        <f t="shared" si="12"/>
        <v>0</v>
      </c>
      <c r="O248" s="14">
        <f t="shared" si="12"/>
        <v>0</v>
      </c>
      <c r="P248" s="4">
        <f t="shared" si="12"/>
        <v>0</v>
      </c>
      <c r="Q248" s="52"/>
    </row>
    <row r="249" spans="2:17" ht="17.399999999999999" x14ac:dyDescent="0.4">
      <c r="B249" s="85">
        <v>42459</v>
      </c>
      <c r="C249" s="86">
        <v>18500</v>
      </c>
      <c r="D249" s="86">
        <v>18500</v>
      </c>
      <c r="E249" s="86">
        <v>18500</v>
      </c>
      <c r="F249" s="47">
        <v>18500</v>
      </c>
      <c r="G249" s="50">
        <v>0</v>
      </c>
      <c r="H249" s="13">
        <f t="shared" si="9"/>
        <v>0</v>
      </c>
      <c r="I249" s="47">
        <v>0</v>
      </c>
      <c r="J249" s="47">
        <v>0</v>
      </c>
      <c r="K249" s="14">
        <f t="shared" si="10"/>
        <v>0</v>
      </c>
      <c r="L249" s="63">
        <v>0</v>
      </c>
      <c r="M249" s="47">
        <v>0</v>
      </c>
      <c r="N249" s="14">
        <f t="shared" si="12"/>
        <v>0</v>
      </c>
      <c r="O249" s="14">
        <f t="shared" si="12"/>
        <v>0</v>
      </c>
      <c r="P249" s="4">
        <f t="shared" si="12"/>
        <v>0</v>
      </c>
      <c r="Q249" s="52"/>
    </row>
    <row r="250" spans="2:17" ht="17.399999999999999" x14ac:dyDescent="0.4">
      <c r="B250" s="85">
        <v>42460</v>
      </c>
      <c r="C250" s="86">
        <v>18500</v>
      </c>
      <c r="D250" s="86">
        <v>18500</v>
      </c>
      <c r="E250" s="86">
        <v>18500</v>
      </c>
      <c r="F250" s="47">
        <v>18500</v>
      </c>
      <c r="G250" s="50">
        <v>0</v>
      </c>
      <c r="H250" s="13">
        <f t="shared" si="9"/>
        <v>0</v>
      </c>
      <c r="I250" s="47">
        <v>0</v>
      </c>
      <c r="J250" s="47">
        <v>0</v>
      </c>
      <c r="K250" s="14">
        <f t="shared" si="10"/>
        <v>0</v>
      </c>
      <c r="L250" s="63">
        <v>0</v>
      </c>
      <c r="M250" s="47">
        <v>0</v>
      </c>
      <c r="N250" s="14">
        <f t="shared" si="12"/>
        <v>0</v>
      </c>
      <c r="O250" s="14">
        <f t="shared" si="12"/>
        <v>0</v>
      </c>
      <c r="P250" s="4">
        <f t="shared" si="12"/>
        <v>0</v>
      </c>
      <c r="Q250" s="52"/>
    </row>
    <row r="251" spans="2:17" ht="17.399999999999999" x14ac:dyDescent="0.4">
      <c r="B251" s="85">
        <v>42461</v>
      </c>
      <c r="C251" s="86">
        <v>18500</v>
      </c>
      <c r="D251" s="86">
        <v>18500</v>
      </c>
      <c r="E251" s="86">
        <v>18500</v>
      </c>
      <c r="F251" s="47">
        <v>18500</v>
      </c>
      <c r="G251" s="50">
        <v>0</v>
      </c>
      <c r="H251" s="13">
        <f t="shared" si="9"/>
        <v>0</v>
      </c>
      <c r="I251" s="47">
        <v>0</v>
      </c>
      <c r="J251" s="47">
        <v>0</v>
      </c>
      <c r="K251" s="14">
        <f t="shared" si="10"/>
        <v>0</v>
      </c>
      <c r="L251" s="63">
        <v>0</v>
      </c>
      <c r="M251" s="47">
        <v>0</v>
      </c>
      <c r="N251" s="14">
        <f t="shared" si="12"/>
        <v>0</v>
      </c>
      <c r="O251" s="14">
        <f t="shared" si="12"/>
        <v>0</v>
      </c>
      <c r="P251" s="4">
        <f t="shared" si="12"/>
        <v>0</v>
      </c>
      <c r="Q251" s="52"/>
    </row>
    <row r="252" spans="2:17" ht="17.399999999999999" x14ac:dyDescent="0.4">
      <c r="B252" s="85">
        <v>42464</v>
      </c>
      <c r="C252" s="86">
        <v>18500</v>
      </c>
      <c r="D252" s="86">
        <v>18500</v>
      </c>
      <c r="E252" s="86">
        <v>18500</v>
      </c>
      <c r="F252" s="47">
        <v>18500</v>
      </c>
      <c r="G252" s="50">
        <v>0</v>
      </c>
      <c r="H252" s="13">
        <f t="shared" si="9"/>
        <v>0</v>
      </c>
      <c r="I252" s="47">
        <v>0</v>
      </c>
      <c r="J252" s="47">
        <v>0</v>
      </c>
      <c r="K252" s="14">
        <f t="shared" si="10"/>
        <v>0</v>
      </c>
      <c r="L252" s="63">
        <v>0</v>
      </c>
      <c r="M252" s="47">
        <v>0</v>
      </c>
      <c r="N252" s="14">
        <f t="shared" si="12"/>
        <v>0</v>
      </c>
      <c r="O252" s="14">
        <f t="shared" si="12"/>
        <v>0</v>
      </c>
      <c r="P252" s="4">
        <f t="shared" si="12"/>
        <v>0</v>
      </c>
      <c r="Q252" s="52"/>
    </row>
    <row r="253" spans="2:17" ht="17.399999999999999" x14ac:dyDescent="0.4">
      <c r="B253" s="85">
        <v>42465</v>
      </c>
      <c r="C253" s="86">
        <v>18500</v>
      </c>
      <c r="D253" s="86">
        <v>18500</v>
      </c>
      <c r="E253" s="86">
        <v>18500</v>
      </c>
      <c r="F253" s="47">
        <v>18500</v>
      </c>
      <c r="G253" s="50">
        <v>0</v>
      </c>
      <c r="H253" s="13">
        <f t="shared" si="9"/>
        <v>0</v>
      </c>
      <c r="I253" s="47">
        <v>0</v>
      </c>
      <c r="J253" s="47">
        <v>0</v>
      </c>
      <c r="K253" s="14">
        <f t="shared" si="10"/>
        <v>0</v>
      </c>
      <c r="L253" s="63">
        <v>0</v>
      </c>
      <c r="M253" s="47">
        <v>0</v>
      </c>
      <c r="N253" s="14">
        <f t="shared" si="12"/>
        <v>0</v>
      </c>
      <c r="O253" s="14">
        <f t="shared" si="12"/>
        <v>0</v>
      </c>
      <c r="P253" s="4">
        <f t="shared" si="12"/>
        <v>0</v>
      </c>
      <c r="Q253" s="52"/>
    </row>
    <row r="254" spans="2:17" ht="17.399999999999999" x14ac:dyDescent="0.4">
      <c r="B254" s="85">
        <v>42466</v>
      </c>
      <c r="C254" s="86">
        <v>18500</v>
      </c>
      <c r="D254" s="86">
        <v>18500</v>
      </c>
      <c r="E254" s="86">
        <v>18500</v>
      </c>
      <c r="F254" s="47">
        <v>18500</v>
      </c>
      <c r="G254" s="50">
        <v>0</v>
      </c>
      <c r="H254" s="13">
        <f t="shared" si="9"/>
        <v>0</v>
      </c>
      <c r="I254" s="47">
        <v>0</v>
      </c>
      <c r="J254" s="47">
        <v>0</v>
      </c>
      <c r="K254" s="14">
        <f t="shared" si="10"/>
        <v>0</v>
      </c>
      <c r="L254" s="63">
        <v>0</v>
      </c>
      <c r="M254" s="47">
        <v>0</v>
      </c>
      <c r="N254" s="14">
        <f t="shared" si="12"/>
        <v>0</v>
      </c>
      <c r="O254" s="14">
        <f t="shared" si="12"/>
        <v>0</v>
      </c>
      <c r="P254" s="4">
        <f t="shared" si="12"/>
        <v>0</v>
      </c>
      <c r="Q254" s="52"/>
    </row>
    <row r="255" spans="2:17" ht="17.399999999999999" x14ac:dyDescent="0.4">
      <c r="B255" s="85">
        <v>42467</v>
      </c>
      <c r="C255" s="86">
        <v>18500</v>
      </c>
      <c r="D255" s="86">
        <v>18500</v>
      </c>
      <c r="E255" s="86">
        <v>18500</v>
      </c>
      <c r="F255" s="47">
        <v>18500</v>
      </c>
      <c r="G255" s="50">
        <v>0</v>
      </c>
      <c r="H255" s="13">
        <f t="shared" si="9"/>
        <v>0</v>
      </c>
      <c r="I255" s="47">
        <v>0</v>
      </c>
      <c r="J255" s="47">
        <v>0</v>
      </c>
      <c r="K255" s="14">
        <f t="shared" si="10"/>
        <v>0</v>
      </c>
      <c r="L255" s="63">
        <v>0</v>
      </c>
      <c r="M255" s="47">
        <v>0</v>
      </c>
      <c r="N255" s="14">
        <f t="shared" si="12"/>
        <v>0</v>
      </c>
      <c r="O255" s="14">
        <f t="shared" si="12"/>
        <v>0</v>
      </c>
      <c r="P255" s="4">
        <f t="shared" si="12"/>
        <v>0</v>
      </c>
      <c r="Q255" s="52"/>
    </row>
    <row r="256" spans="2:17" ht="17.399999999999999" x14ac:dyDescent="0.4">
      <c r="B256" s="85">
        <v>42468</v>
      </c>
      <c r="C256" s="86">
        <v>18500</v>
      </c>
      <c r="D256" s="86">
        <v>18500</v>
      </c>
      <c r="E256" s="86">
        <v>18500</v>
      </c>
      <c r="F256" s="47">
        <v>18500</v>
      </c>
      <c r="G256" s="50">
        <v>0</v>
      </c>
      <c r="H256" s="13">
        <f t="shared" si="9"/>
        <v>0</v>
      </c>
      <c r="I256" s="47">
        <v>0</v>
      </c>
      <c r="J256" s="47">
        <v>0</v>
      </c>
      <c r="K256" s="14">
        <f t="shared" si="10"/>
        <v>0</v>
      </c>
      <c r="L256" s="63">
        <v>0</v>
      </c>
      <c r="M256" s="47">
        <v>0</v>
      </c>
      <c r="N256" s="14">
        <f t="shared" si="12"/>
        <v>0</v>
      </c>
      <c r="O256" s="14">
        <f t="shared" si="12"/>
        <v>0</v>
      </c>
      <c r="P256" s="4">
        <f t="shared" si="12"/>
        <v>0</v>
      </c>
      <c r="Q256" s="52"/>
    </row>
    <row r="257" spans="2:17" ht="17.399999999999999" x14ac:dyDescent="0.4">
      <c r="B257" s="85">
        <v>42471</v>
      </c>
      <c r="C257" s="86">
        <v>18500</v>
      </c>
      <c r="D257" s="86">
        <v>18500</v>
      </c>
      <c r="E257" s="86">
        <v>18500</v>
      </c>
      <c r="F257" s="47">
        <v>18500</v>
      </c>
      <c r="G257" s="50">
        <v>0</v>
      </c>
      <c r="H257" s="13">
        <f t="shared" si="9"/>
        <v>10000</v>
      </c>
      <c r="I257" s="47">
        <v>0</v>
      </c>
      <c r="J257" s="47">
        <v>10000</v>
      </c>
      <c r="K257" s="14">
        <f t="shared" si="10"/>
        <v>185000000</v>
      </c>
      <c r="L257" s="63">
        <v>0</v>
      </c>
      <c r="M257" s="47">
        <v>185000000</v>
      </c>
      <c r="N257" s="14">
        <f t="shared" si="12"/>
        <v>18500</v>
      </c>
      <c r="O257" s="14">
        <f t="shared" si="12"/>
        <v>0</v>
      </c>
      <c r="P257" s="4">
        <f t="shared" si="12"/>
        <v>18500</v>
      </c>
      <c r="Q257" s="52"/>
    </row>
    <row r="258" spans="2:17" ht="17.399999999999999" x14ac:dyDescent="0.4">
      <c r="B258" s="85">
        <v>42472</v>
      </c>
      <c r="C258" s="86">
        <v>18500</v>
      </c>
      <c r="D258" s="86">
        <v>18500</v>
      </c>
      <c r="E258" s="86">
        <v>18500</v>
      </c>
      <c r="F258" s="47">
        <v>18500</v>
      </c>
      <c r="G258" s="50">
        <v>0</v>
      </c>
      <c r="H258" s="13">
        <f t="shared" si="9"/>
        <v>10000</v>
      </c>
      <c r="I258" s="47">
        <v>0</v>
      </c>
      <c r="J258" s="47">
        <v>10000</v>
      </c>
      <c r="K258" s="14">
        <f t="shared" si="10"/>
        <v>185000000</v>
      </c>
      <c r="L258" s="63">
        <v>0</v>
      </c>
      <c r="M258" s="47">
        <v>185000000</v>
      </c>
      <c r="N258" s="14">
        <f t="shared" si="12"/>
        <v>18500</v>
      </c>
      <c r="O258" s="14">
        <f t="shared" si="12"/>
        <v>0</v>
      </c>
      <c r="P258" s="4">
        <f t="shared" si="12"/>
        <v>18500</v>
      </c>
      <c r="Q258" s="52"/>
    </row>
    <row r="259" spans="2:17" ht="17.399999999999999" x14ac:dyDescent="0.4">
      <c r="B259" s="85">
        <v>42474</v>
      </c>
      <c r="C259" s="86">
        <v>18500</v>
      </c>
      <c r="D259" s="86">
        <v>18500</v>
      </c>
      <c r="E259" s="86">
        <v>18500</v>
      </c>
      <c r="F259" s="47">
        <v>18500</v>
      </c>
      <c r="G259" s="50">
        <v>0</v>
      </c>
      <c r="H259" s="13">
        <f t="shared" si="9"/>
        <v>10000</v>
      </c>
      <c r="I259" s="47">
        <v>0</v>
      </c>
      <c r="J259" s="47">
        <v>10000</v>
      </c>
      <c r="K259" s="14">
        <f t="shared" si="10"/>
        <v>185000000</v>
      </c>
      <c r="L259" s="63">
        <v>0</v>
      </c>
      <c r="M259" s="47">
        <v>185000000</v>
      </c>
      <c r="N259" s="14">
        <f t="shared" si="12"/>
        <v>18500</v>
      </c>
      <c r="O259" s="14">
        <f t="shared" si="12"/>
        <v>0</v>
      </c>
      <c r="P259" s="4">
        <f t="shared" si="12"/>
        <v>18500</v>
      </c>
      <c r="Q259" s="52"/>
    </row>
    <row r="260" spans="2:17" ht="17.399999999999999" x14ac:dyDescent="0.4">
      <c r="B260" s="85">
        <v>42475</v>
      </c>
      <c r="C260" s="86">
        <v>18500</v>
      </c>
      <c r="D260" s="86">
        <v>18500</v>
      </c>
      <c r="E260" s="86">
        <v>18500</v>
      </c>
      <c r="F260" s="47">
        <v>18500</v>
      </c>
      <c r="G260" s="50">
        <v>0</v>
      </c>
      <c r="H260" s="13">
        <f t="shared" si="9"/>
        <v>0</v>
      </c>
      <c r="I260" s="47">
        <v>0</v>
      </c>
      <c r="J260" s="47">
        <v>0</v>
      </c>
      <c r="K260" s="14">
        <f t="shared" si="10"/>
        <v>0</v>
      </c>
      <c r="L260" s="63">
        <v>0</v>
      </c>
      <c r="M260" s="47">
        <v>0</v>
      </c>
      <c r="N260" s="14">
        <f t="shared" si="12"/>
        <v>0</v>
      </c>
      <c r="O260" s="14">
        <f t="shared" si="12"/>
        <v>0</v>
      </c>
      <c r="P260" s="4">
        <f t="shared" si="12"/>
        <v>0</v>
      </c>
      <c r="Q260" s="52"/>
    </row>
    <row r="261" spans="2:17" ht="17.399999999999999" x14ac:dyDescent="0.4">
      <c r="B261" s="85">
        <v>42478</v>
      </c>
      <c r="C261" s="86">
        <v>18500</v>
      </c>
      <c r="D261" s="86">
        <v>18500</v>
      </c>
      <c r="E261" s="86">
        <v>18500</v>
      </c>
      <c r="F261" s="47">
        <v>18500</v>
      </c>
      <c r="G261" s="50">
        <v>0</v>
      </c>
      <c r="H261" s="13">
        <f t="shared" si="9"/>
        <v>10000</v>
      </c>
      <c r="I261" s="47">
        <v>0</v>
      </c>
      <c r="J261" s="47">
        <v>10000</v>
      </c>
      <c r="K261" s="14">
        <f t="shared" si="10"/>
        <v>185000000</v>
      </c>
      <c r="L261" s="63">
        <v>0</v>
      </c>
      <c r="M261" s="47">
        <v>185000000</v>
      </c>
      <c r="N261" s="14">
        <f t="shared" si="12"/>
        <v>18500</v>
      </c>
      <c r="O261" s="14">
        <f t="shared" si="12"/>
        <v>0</v>
      </c>
      <c r="P261" s="4">
        <f t="shared" si="12"/>
        <v>18500</v>
      </c>
      <c r="Q261" s="52"/>
    </row>
    <row r="262" spans="2:17" ht="17.399999999999999" x14ac:dyDescent="0.4">
      <c r="B262" s="85">
        <v>42479</v>
      </c>
      <c r="C262" s="86">
        <v>18500</v>
      </c>
      <c r="D262" s="86">
        <v>18500</v>
      </c>
      <c r="E262" s="86">
        <v>18500</v>
      </c>
      <c r="F262" s="47">
        <v>18500</v>
      </c>
      <c r="G262" s="50">
        <v>0</v>
      </c>
      <c r="H262" s="13">
        <f t="shared" si="9"/>
        <v>0</v>
      </c>
      <c r="I262" s="47">
        <v>0</v>
      </c>
      <c r="J262" s="47">
        <v>0</v>
      </c>
      <c r="K262" s="14">
        <f t="shared" si="10"/>
        <v>0</v>
      </c>
      <c r="L262" s="63">
        <v>0</v>
      </c>
      <c r="M262" s="47">
        <v>0</v>
      </c>
      <c r="N262" s="14">
        <f t="shared" si="12"/>
        <v>0</v>
      </c>
      <c r="O262" s="14">
        <f t="shared" si="12"/>
        <v>0</v>
      </c>
      <c r="P262" s="4">
        <f t="shared" si="12"/>
        <v>0</v>
      </c>
      <c r="Q262" s="52"/>
    </row>
    <row r="263" spans="2:17" ht="17.399999999999999" x14ac:dyDescent="0.4">
      <c r="B263" s="85">
        <v>42480</v>
      </c>
      <c r="C263" s="86">
        <v>18500</v>
      </c>
      <c r="D263" s="86">
        <v>18500</v>
      </c>
      <c r="E263" s="86">
        <v>18500</v>
      </c>
      <c r="F263" s="47">
        <v>18500</v>
      </c>
      <c r="G263" s="50">
        <v>0</v>
      </c>
      <c r="H263" s="13">
        <f t="shared" ref="H263:H311" si="13">J263-I263</f>
        <v>10000</v>
      </c>
      <c r="I263" s="47">
        <v>0</v>
      </c>
      <c r="J263" s="47">
        <v>10000</v>
      </c>
      <c r="K263" s="14">
        <f t="shared" ref="K263:K311" si="14">M263-L263</f>
        <v>185000000</v>
      </c>
      <c r="L263" s="63">
        <v>0</v>
      </c>
      <c r="M263" s="47">
        <v>185000000</v>
      </c>
      <c r="N263" s="14">
        <f t="shared" si="12"/>
        <v>18500</v>
      </c>
      <c r="O263" s="14">
        <f t="shared" si="12"/>
        <v>0</v>
      </c>
      <c r="P263" s="4">
        <f t="shared" si="12"/>
        <v>18500</v>
      </c>
      <c r="Q263" s="52"/>
    </row>
    <row r="264" spans="2:17" ht="17.399999999999999" x14ac:dyDescent="0.4">
      <c r="B264" s="85">
        <v>42481</v>
      </c>
      <c r="C264" s="86">
        <v>18500</v>
      </c>
      <c r="D264" s="86">
        <v>18500</v>
      </c>
      <c r="E264" s="86">
        <v>18500</v>
      </c>
      <c r="F264" s="47">
        <v>18500</v>
      </c>
      <c r="G264" s="50">
        <v>0</v>
      </c>
      <c r="H264" s="13">
        <f t="shared" si="13"/>
        <v>0</v>
      </c>
      <c r="I264" s="47">
        <v>0</v>
      </c>
      <c r="J264" s="47">
        <v>0</v>
      </c>
      <c r="K264" s="14">
        <f t="shared" si="14"/>
        <v>0</v>
      </c>
      <c r="L264" s="63">
        <v>0</v>
      </c>
      <c r="M264" s="47">
        <v>0</v>
      </c>
      <c r="N264" s="14">
        <f t="shared" si="12"/>
        <v>0</v>
      </c>
      <c r="O264" s="14">
        <f t="shared" si="12"/>
        <v>0</v>
      </c>
      <c r="P264" s="4">
        <f t="shared" si="12"/>
        <v>0</v>
      </c>
      <c r="Q264" s="52"/>
    </row>
    <row r="265" spans="2:17" ht="17.399999999999999" x14ac:dyDescent="0.4">
      <c r="B265" s="85">
        <v>42482</v>
      </c>
      <c r="C265" s="75">
        <v>18500</v>
      </c>
      <c r="D265" s="75">
        <v>18500</v>
      </c>
      <c r="E265" s="75">
        <v>18500</v>
      </c>
      <c r="F265" s="47">
        <v>18500</v>
      </c>
      <c r="G265" s="50">
        <v>0</v>
      </c>
      <c r="H265" s="13">
        <f t="shared" si="13"/>
        <v>10000</v>
      </c>
      <c r="I265" s="47">
        <v>250000</v>
      </c>
      <c r="J265" s="47">
        <v>260000</v>
      </c>
      <c r="K265" s="14">
        <f>18500*10000</f>
        <v>185000000</v>
      </c>
      <c r="L265" s="14">
        <f>M265-K265</f>
        <v>4625000000</v>
      </c>
      <c r="M265" s="47">
        <v>4810000000</v>
      </c>
      <c r="N265" s="14">
        <f>K265/H265</f>
        <v>18500</v>
      </c>
      <c r="O265" s="14">
        <f>L265/I265</f>
        <v>18500</v>
      </c>
      <c r="P265" s="14">
        <f>M265/J265</f>
        <v>18500</v>
      </c>
      <c r="Q265" s="52"/>
    </row>
    <row r="266" spans="2:17" ht="17.399999999999999" x14ac:dyDescent="0.4">
      <c r="B266" s="85">
        <v>42485</v>
      </c>
      <c r="C266" s="75">
        <v>18500</v>
      </c>
      <c r="D266" s="75">
        <v>18500</v>
      </c>
      <c r="E266" s="75">
        <v>18500</v>
      </c>
      <c r="F266" s="47">
        <v>18500</v>
      </c>
      <c r="G266" s="50">
        <v>0</v>
      </c>
      <c r="H266" s="13">
        <f t="shared" si="13"/>
        <v>10000</v>
      </c>
      <c r="I266" s="47">
        <v>0</v>
      </c>
      <c r="J266" s="47">
        <v>10000</v>
      </c>
      <c r="K266" s="14">
        <f t="shared" si="14"/>
        <v>185000000</v>
      </c>
      <c r="L266" s="63">
        <v>0</v>
      </c>
      <c r="M266" s="47">
        <v>185000000</v>
      </c>
      <c r="N266" s="14">
        <f>IFERROR(K266/H266,0)</f>
        <v>18500</v>
      </c>
      <c r="O266" s="14">
        <f>IFERROR(L266/I266,0)</f>
        <v>0</v>
      </c>
      <c r="P266" s="4">
        <f>IFERROR(M266/J266,0)</f>
        <v>18500</v>
      </c>
      <c r="Q266" s="52"/>
    </row>
    <row r="267" spans="2:17" ht="17.399999999999999" x14ac:dyDescent="0.4">
      <c r="B267" s="85">
        <v>42486</v>
      </c>
      <c r="C267" s="75">
        <v>18500</v>
      </c>
      <c r="D267" s="75">
        <v>18500</v>
      </c>
      <c r="E267" s="75">
        <v>18500</v>
      </c>
      <c r="F267" s="47">
        <v>18500</v>
      </c>
      <c r="G267" s="50">
        <v>0</v>
      </c>
      <c r="H267" s="13">
        <f t="shared" si="13"/>
        <v>0</v>
      </c>
      <c r="I267" s="47">
        <v>0</v>
      </c>
      <c r="J267" s="47">
        <v>0</v>
      </c>
      <c r="K267" s="14">
        <f t="shared" si="14"/>
        <v>0</v>
      </c>
      <c r="L267" s="63">
        <v>0</v>
      </c>
      <c r="M267" s="47">
        <v>0</v>
      </c>
      <c r="N267" s="14">
        <f t="shared" ref="N267:P292" si="15">IFERROR(K267/H267,0)</f>
        <v>0</v>
      </c>
      <c r="O267" s="14">
        <f t="shared" si="15"/>
        <v>0</v>
      </c>
      <c r="P267" s="4">
        <f t="shared" si="15"/>
        <v>0</v>
      </c>
      <c r="Q267" s="52"/>
    </row>
    <row r="268" spans="2:17" ht="17.399999999999999" x14ac:dyDescent="0.4">
      <c r="B268" s="85">
        <v>42487</v>
      </c>
      <c r="C268" s="75">
        <v>18500</v>
      </c>
      <c r="D268" s="75">
        <v>18500</v>
      </c>
      <c r="E268" s="75">
        <v>18500</v>
      </c>
      <c r="F268" s="47">
        <v>18500</v>
      </c>
      <c r="G268" s="50">
        <v>0</v>
      </c>
      <c r="H268" s="13">
        <f t="shared" si="13"/>
        <v>10000</v>
      </c>
      <c r="I268" s="47">
        <v>0</v>
      </c>
      <c r="J268" s="47">
        <v>10000</v>
      </c>
      <c r="K268" s="14">
        <f t="shared" si="14"/>
        <v>185000000</v>
      </c>
      <c r="L268" s="63">
        <v>0</v>
      </c>
      <c r="M268" s="47">
        <v>185000000</v>
      </c>
      <c r="N268" s="14">
        <f t="shared" si="15"/>
        <v>18500</v>
      </c>
      <c r="O268" s="14">
        <f t="shared" si="15"/>
        <v>0</v>
      </c>
      <c r="P268" s="4">
        <f t="shared" si="15"/>
        <v>18500</v>
      </c>
      <c r="Q268" s="52"/>
    </row>
    <row r="269" spans="2:17" ht="17.399999999999999" x14ac:dyDescent="0.4">
      <c r="B269" s="85">
        <v>42488</v>
      </c>
      <c r="C269" s="75">
        <v>18500</v>
      </c>
      <c r="D269" s="75">
        <v>18500</v>
      </c>
      <c r="E269" s="75">
        <v>18500</v>
      </c>
      <c r="F269" s="47">
        <v>18500</v>
      </c>
      <c r="G269" s="50">
        <v>0</v>
      </c>
      <c r="H269" s="13">
        <f t="shared" si="13"/>
        <v>10000</v>
      </c>
      <c r="I269" s="47">
        <v>0</v>
      </c>
      <c r="J269" s="47">
        <v>10000</v>
      </c>
      <c r="K269" s="14">
        <f t="shared" si="14"/>
        <v>185000000</v>
      </c>
      <c r="L269" s="63">
        <v>0</v>
      </c>
      <c r="M269" s="47">
        <v>185000000</v>
      </c>
      <c r="N269" s="14">
        <f t="shared" si="15"/>
        <v>18500</v>
      </c>
      <c r="O269" s="14">
        <f t="shared" si="15"/>
        <v>0</v>
      </c>
      <c r="P269" s="4">
        <f t="shared" si="15"/>
        <v>18500</v>
      </c>
      <c r="Q269" s="52"/>
    </row>
    <row r="270" spans="2:17" ht="17.399999999999999" x14ac:dyDescent="0.4">
      <c r="B270" s="85">
        <v>42489</v>
      </c>
      <c r="C270" s="75">
        <v>18500</v>
      </c>
      <c r="D270" s="75">
        <v>18500</v>
      </c>
      <c r="E270" s="75">
        <v>18500</v>
      </c>
      <c r="F270" s="47">
        <v>18500</v>
      </c>
      <c r="G270" s="50">
        <v>0</v>
      </c>
      <c r="H270" s="13">
        <f t="shared" si="13"/>
        <v>0</v>
      </c>
      <c r="I270" s="47">
        <v>0</v>
      </c>
      <c r="J270" s="47">
        <v>0</v>
      </c>
      <c r="K270" s="14">
        <f t="shared" si="14"/>
        <v>0</v>
      </c>
      <c r="L270" s="63">
        <v>0</v>
      </c>
      <c r="M270" s="47">
        <v>0</v>
      </c>
      <c r="N270" s="14">
        <f t="shared" si="15"/>
        <v>0</v>
      </c>
      <c r="O270" s="14">
        <f t="shared" si="15"/>
        <v>0</v>
      </c>
      <c r="P270" s="4">
        <f t="shared" si="15"/>
        <v>0</v>
      </c>
      <c r="Q270" s="52"/>
    </row>
    <row r="271" spans="2:17" ht="17.399999999999999" x14ac:dyDescent="0.4">
      <c r="B271" s="85">
        <v>42492</v>
      </c>
      <c r="C271" s="75">
        <v>18500</v>
      </c>
      <c r="D271" s="75">
        <v>18500</v>
      </c>
      <c r="E271" s="75">
        <v>18500</v>
      </c>
      <c r="F271" s="47">
        <v>18500</v>
      </c>
      <c r="G271" s="50">
        <v>0</v>
      </c>
      <c r="H271" s="13">
        <f t="shared" si="13"/>
        <v>0</v>
      </c>
      <c r="I271" s="47">
        <v>0</v>
      </c>
      <c r="J271" s="47">
        <v>0</v>
      </c>
      <c r="K271" s="14">
        <f t="shared" si="14"/>
        <v>0</v>
      </c>
      <c r="L271" s="63">
        <v>0</v>
      </c>
      <c r="M271" s="47">
        <v>0</v>
      </c>
      <c r="N271" s="14">
        <f t="shared" si="15"/>
        <v>0</v>
      </c>
      <c r="O271" s="14">
        <f t="shared" si="15"/>
        <v>0</v>
      </c>
      <c r="P271" s="4">
        <f t="shared" si="15"/>
        <v>0</v>
      </c>
      <c r="Q271" s="52"/>
    </row>
    <row r="272" spans="2:17" ht="17.399999999999999" x14ac:dyDescent="0.4">
      <c r="B272" s="85">
        <v>42493</v>
      </c>
      <c r="C272" s="75">
        <v>18500</v>
      </c>
      <c r="D272" s="75">
        <v>18500</v>
      </c>
      <c r="E272" s="75">
        <v>18500</v>
      </c>
      <c r="F272" s="47">
        <v>18500</v>
      </c>
      <c r="G272" s="50">
        <v>0</v>
      </c>
      <c r="H272" s="13">
        <f t="shared" si="13"/>
        <v>0</v>
      </c>
      <c r="I272" s="47">
        <v>0</v>
      </c>
      <c r="J272" s="47">
        <v>0</v>
      </c>
      <c r="K272" s="14">
        <f t="shared" si="14"/>
        <v>0</v>
      </c>
      <c r="L272" s="63">
        <v>0</v>
      </c>
      <c r="M272" s="47">
        <v>0</v>
      </c>
      <c r="N272" s="14">
        <f t="shared" si="15"/>
        <v>0</v>
      </c>
      <c r="O272" s="14">
        <f t="shared" si="15"/>
        <v>0</v>
      </c>
      <c r="P272" s="4">
        <f t="shared" si="15"/>
        <v>0</v>
      </c>
      <c r="Q272" s="52"/>
    </row>
    <row r="273" spans="2:17" ht="17.399999999999999" x14ac:dyDescent="0.4">
      <c r="B273" s="85">
        <v>42494</v>
      </c>
      <c r="C273" s="75">
        <v>18500</v>
      </c>
      <c r="D273" s="75">
        <v>18500</v>
      </c>
      <c r="E273" s="75">
        <v>18500</v>
      </c>
      <c r="F273" s="47">
        <v>18500</v>
      </c>
      <c r="G273" s="50">
        <v>0</v>
      </c>
      <c r="H273" s="13">
        <f t="shared" si="13"/>
        <v>0</v>
      </c>
      <c r="I273" s="47">
        <v>0</v>
      </c>
      <c r="J273" s="47">
        <v>0</v>
      </c>
      <c r="K273" s="14">
        <f t="shared" si="14"/>
        <v>0</v>
      </c>
      <c r="L273" s="63">
        <v>0</v>
      </c>
      <c r="M273" s="47">
        <v>0</v>
      </c>
      <c r="N273" s="14">
        <f t="shared" si="15"/>
        <v>0</v>
      </c>
      <c r="O273" s="14">
        <f t="shared" si="15"/>
        <v>0</v>
      </c>
      <c r="P273" s="4">
        <f t="shared" si="15"/>
        <v>0</v>
      </c>
      <c r="Q273" s="52"/>
    </row>
    <row r="274" spans="2:17" ht="17.399999999999999" x14ac:dyDescent="0.4">
      <c r="B274" s="85">
        <v>42499</v>
      </c>
      <c r="C274" s="75">
        <v>18500</v>
      </c>
      <c r="D274" s="75">
        <v>18500</v>
      </c>
      <c r="E274" s="75">
        <v>18500</v>
      </c>
      <c r="F274" s="47">
        <v>18500</v>
      </c>
      <c r="G274" s="50">
        <v>0</v>
      </c>
      <c r="H274" s="13">
        <f t="shared" si="13"/>
        <v>0</v>
      </c>
      <c r="I274" s="47">
        <v>250000</v>
      </c>
      <c r="J274" s="47">
        <v>250000</v>
      </c>
      <c r="K274" s="14">
        <f t="shared" si="14"/>
        <v>4625000000</v>
      </c>
      <c r="L274" s="63">
        <v>0</v>
      </c>
      <c r="M274" s="47">
        <v>4625000000</v>
      </c>
      <c r="N274" s="14">
        <f t="shared" si="15"/>
        <v>0</v>
      </c>
      <c r="O274" s="14">
        <f t="shared" si="15"/>
        <v>0</v>
      </c>
      <c r="P274" s="4">
        <f t="shared" si="15"/>
        <v>18500</v>
      </c>
      <c r="Q274" s="52"/>
    </row>
    <row r="275" spans="2:17" ht="17.399999999999999" x14ac:dyDescent="0.4">
      <c r="B275" s="85">
        <v>42500</v>
      </c>
      <c r="C275" s="75">
        <v>18500</v>
      </c>
      <c r="D275" s="75">
        <v>18500</v>
      </c>
      <c r="E275" s="75">
        <v>18500</v>
      </c>
      <c r="F275" s="47">
        <v>18500</v>
      </c>
      <c r="G275" s="50">
        <v>0</v>
      </c>
      <c r="H275" s="13">
        <f t="shared" si="13"/>
        <v>0</v>
      </c>
      <c r="I275" s="47">
        <v>1400</v>
      </c>
      <c r="J275" s="47">
        <v>1400</v>
      </c>
      <c r="K275" s="14">
        <f t="shared" si="14"/>
        <v>25900000</v>
      </c>
      <c r="L275" s="63">
        <v>0</v>
      </c>
      <c r="M275" s="47">
        <v>25900000</v>
      </c>
      <c r="N275" s="14">
        <f t="shared" si="15"/>
        <v>0</v>
      </c>
      <c r="O275" s="14">
        <f t="shared" si="15"/>
        <v>0</v>
      </c>
      <c r="P275" s="4">
        <f t="shared" si="15"/>
        <v>18500</v>
      </c>
      <c r="Q275" s="52"/>
    </row>
    <row r="276" spans="2:17" ht="17.399999999999999" x14ac:dyDescent="0.4">
      <c r="B276" s="85">
        <v>42501</v>
      </c>
      <c r="C276" s="75">
        <v>18500</v>
      </c>
      <c r="D276" s="75">
        <v>18500</v>
      </c>
      <c r="E276" s="75">
        <v>18500</v>
      </c>
      <c r="F276" s="47">
        <v>18500</v>
      </c>
      <c r="G276" s="50">
        <v>0</v>
      </c>
      <c r="H276" s="13">
        <f t="shared" si="13"/>
        <v>0</v>
      </c>
      <c r="I276" s="47">
        <v>0</v>
      </c>
      <c r="J276" s="47">
        <v>0</v>
      </c>
      <c r="K276" s="14">
        <f t="shared" si="14"/>
        <v>0</v>
      </c>
      <c r="L276" s="63">
        <v>0</v>
      </c>
      <c r="M276" s="47">
        <v>0</v>
      </c>
      <c r="N276" s="14">
        <f t="shared" si="15"/>
        <v>0</v>
      </c>
      <c r="O276" s="14">
        <f t="shared" si="15"/>
        <v>0</v>
      </c>
      <c r="P276" s="4">
        <f t="shared" si="15"/>
        <v>0</v>
      </c>
      <c r="Q276" s="52"/>
    </row>
    <row r="277" spans="2:17" ht="17.399999999999999" x14ac:dyDescent="0.4">
      <c r="B277" s="85">
        <v>42502</v>
      </c>
      <c r="C277" s="75">
        <v>18500</v>
      </c>
      <c r="D277" s="75">
        <v>18500</v>
      </c>
      <c r="E277" s="75">
        <v>18500</v>
      </c>
      <c r="F277" s="47">
        <v>18500</v>
      </c>
      <c r="G277" s="50">
        <v>0</v>
      </c>
      <c r="H277" s="13">
        <f t="shared" si="13"/>
        <v>10000</v>
      </c>
      <c r="I277" s="47">
        <v>0</v>
      </c>
      <c r="J277" s="47">
        <v>10000</v>
      </c>
      <c r="K277" s="14">
        <f t="shared" si="14"/>
        <v>185000000</v>
      </c>
      <c r="L277" s="63">
        <v>0</v>
      </c>
      <c r="M277" s="47">
        <v>185000000</v>
      </c>
      <c r="N277" s="14">
        <f t="shared" si="15"/>
        <v>18500</v>
      </c>
      <c r="O277" s="14">
        <f t="shared" si="15"/>
        <v>0</v>
      </c>
      <c r="P277" s="4">
        <f t="shared" si="15"/>
        <v>18500</v>
      </c>
      <c r="Q277" s="52"/>
    </row>
    <row r="278" spans="2:17" ht="17.399999999999999" x14ac:dyDescent="0.4">
      <c r="B278" s="85">
        <v>42503</v>
      </c>
      <c r="C278" s="75">
        <v>18500</v>
      </c>
      <c r="D278" s="75">
        <v>18500</v>
      </c>
      <c r="E278" s="75">
        <v>18500</v>
      </c>
      <c r="F278" s="47">
        <v>18500</v>
      </c>
      <c r="G278" s="50">
        <v>0</v>
      </c>
      <c r="H278" s="13">
        <f t="shared" si="13"/>
        <v>10000</v>
      </c>
      <c r="I278" s="47">
        <v>0</v>
      </c>
      <c r="J278" s="47">
        <v>10000</v>
      </c>
      <c r="K278" s="14">
        <f t="shared" si="14"/>
        <v>185000000</v>
      </c>
      <c r="L278" s="63">
        <v>0</v>
      </c>
      <c r="M278" s="47">
        <v>185000000</v>
      </c>
      <c r="N278" s="14">
        <f t="shared" si="15"/>
        <v>18500</v>
      </c>
      <c r="O278" s="14">
        <f t="shared" si="15"/>
        <v>0</v>
      </c>
      <c r="P278" s="4">
        <f t="shared" si="15"/>
        <v>18500</v>
      </c>
      <c r="Q278" s="52"/>
    </row>
    <row r="279" spans="2:17" ht="17.399999999999999" x14ac:dyDescent="0.4">
      <c r="B279" s="85">
        <v>42506</v>
      </c>
      <c r="C279" s="75">
        <v>18500</v>
      </c>
      <c r="D279" s="75">
        <v>18500</v>
      </c>
      <c r="E279" s="75">
        <v>18500</v>
      </c>
      <c r="F279" s="47">
        <v>18500</v>
      </c>
      <c r="G279" s="50">
        <v>0</v>
      </c>
      <c r="H279" s="13">
        <f t="shared" si="13"/>
        <v>10000</v>
      </c>
      <c r="I279" s="47">
        <v>0</v>
      </c>
      <c r="J279" s="47">
        <v>10000</v>
      </c>
      <c r="K279" s="14">
        <f t="shared" si="14"/>
        <v>185000000</v>
      </c>
      <c r="L279" s="63">
        <v>0</v>
      </c>
      <c r="M279" s="47">
        <v>185000000</v>
      </c>
      <c r="N279" s="14">
        <f t="shared" si="15"/>
        <v>18500</v>
      </c>
      <c r="O279" s="14">
        <f t="shared" si="15"/>
        <v>0</v>
      </c>
      <c r="P279" s="4">
        <f t="shared" si="15"/>
        <v>18500</v>
      </c>
      <c r="Q279" s="52"/>
    </row>
    <row r="280" spans="2:17" ht="17.399999999999999" x14ac:dyDescent="0.4">
      <c r="B280" s="85">
        <v>42507</v>
      </c>
      <c r="C280" s="75">
        <v>18500</v>
      </c>
      <c r="D280" s="75">
        <v>18500</v>
      </c>
      <c r="E280" s="75">
        <v>18500</v>
      </c>
      <c r="F280" s="47">
        <v>18500</v>
      </c>
      <c r="G280" s="50">
        <v>0</v>
      </c>
      <c r="H280" s="13">
        <f t="shared" si="13"/>
        <v>10000</v>
      </c>
      <c r="I280" s="47">
        <v>0</v>
      </c>
      <c r="J280" s="47">
        <v>10000</v>
      </c>
      <c r="K280" s="14">
        <f t="shared" si="14"/>
        <v>185000000</v>
      </c>
      <c r="L280" s="63">
        <v>0</v>
      </c>
      <c r="M280" s="47">
        <v>185000000</v>
      </c>
      <c r="N280" s="14">
        <f t="shared" si="15"/>
        <v>18500</v>
      </c>
      <c r="O280" s="14">
        <f t="shared" si="15"/>
        <v>0</v>
      </c>
      <c r="P280" s="4">
        <f t="shared" si="15"/>
        <v>18500</v>
      </c>
      <c r="Q280" s="52"/>
    </row>
    <row r="281" spans="2:17" ht="17.399999999999999" x14ac:dyDescent="0.4">
      <c r="B281" s="85">
        <v>42508</v>
      </c>
      <c r="C281" s="75">
        <v>18500</v>
      </c>
      <c r="D281" s="75">
        <v>18500</v>
      </c>
      <c r="E281" s="75">
        <v>18500</v>
      </c>
      <c r="F281" s="47">
        <v>18500</v>
      </c>
      <c r="G281" s="50">
        <v>0</v>
      </c>
      <c r="H281" s="13">
        <f t="shared" si="13"/>
        <v>10000</v>
      </c>
      <c r="I281" s="47">
        <v>0</v>
      </c>
      <c r="J281" s="47">
        <v>10000</v>
      </c>
      <c r="K281" s="14">
        <f t="shared" si="14"/>
        <v>185000000</v>
      </c>
      <c r="L281" s="63">
        <v>0</v>
      </c>
      <c r="M281" s="47">
        <v>185000000</v>
      </c>
      <c r="N281" s="14">
        <f t="shared" si="15"/>
        <v>18500</v>
      </c>
      <c r="O281" s="14">
        <f t="shared" si="15"/>
        <v>0</v>
      </c>
      <c r="P281" s="4">
        <f t="shared" si="15"/>
        <v>18500</v>
      </c>
      <c r="Q281" s="52"/>
    </row>
    <row r="282" spans="2:17" ht="17.399999999999999" x14ac:dyDescent="0.4">
      <c r="B282" s="85">
        <v>42509</v>
      </c>
      <c r="C282" s="75">
        <v>18500</v>
      </c>
      <c r="D282" s="75">
        <v>18500</v>
      </c>
      <c r="E282" s="75">
        <v>18500</v>
      </c>
      <c r="F282" s="47">
        <v>18500</v>
      </c>
      <c r="G282" s="50">
        <v>0</v>
      </c>
      <c r="H282" s="13">
        <f t="shared" si="13"/>
        <v>0</v>
      </c>
      <c r="I282" s="47">
        <v>0</v>
      </c>
      <c r="J282" s="47">
        <v>0</v>
      </c>
      <c r="K282" s="14">
        <f t="shared" si="14"/>
        <v>0</v>
      </c>
      <c r="L282" s="63">
        <v>0</v>
      </c>
      <c r="M282" s="47">
        <v>0</v>
      </c>
      <c r="N282" s="14">
        <f t="shared" si="15"/>
        <v>0</v>
      </c>
      <c r="O282" s="14">
        <f t="shared" si="15"/>
        <v>0</v>
      </c>
      <c r="P282" s="4">
        <f t="shared" si="15"/>
        <v>0</v>
      </c>
      <c r="Q282" s="52"/>
    </row>
    <row r="283" spans="2:17" ht="17.399999999999999" x14ac:dyDescent="0.4">
      <c r="B283" s="85">
        <v>42510</v>
      </c>
      <c r="C283" s="86">
        <v>18500</v>
      </c>
      <c r="D283" s="86">
        <v>18500</v>
      </c>
      <c r="E283" s="86">
        <v>18500</v>
      </c>
      <c r="F283" s="47">
        <v>18500</v>
      </c>
      <c r="G283" s="50">
        <v>0</v>
      </c>
      <c r="H283" s="13">
        <f t="shared" si="13"/>
        <v>0</v>
      </c>
      <c r="I283" s="47">
        <v>250000</v>
      </c>
      <c r="J283" s="47">
        <v>250000</v>
      </c>
      <c r="K283" s="14">
        <f t="shared" si="14"/>
        <v>4625000000</v>
      </c>
      <c r="L283" s="63">
        <v>0</v>
      </c>
      <c r="M283" s="47">
        <v>4625000000</v>
      </c>
      <c r="N283" s="14">
        <f t="shared" si="15"/>
        <v>0</v>
      </c>
      <c r="O283" s="14">
        <f t="shared" si="15"/>
        <v>0</v>
      </c>
      <c r="P283" s="4">
        <f t="shared" si="15"/>
        <v>18500</v>
      </c>
      <c r="Q283" s="52"/>
    </row>
    <row r="284" spans="2:17" ht="17.399999999999999" x14ac:dyDescent="0.4">
      <c r="B284" s="85">
        <v>42513</v>
      </c>
      <c r="C284" s="86">
        <v>20300</v>
      </c>
      <c r="D284" s="86">
        <v>20300</v>
      </c>
      <c r="E284" s="86">
        <v>20300</v>
      </c>
      <c r="F284" s="47">
        <v>20300</v>
      </c>
      <c r="G284" s="50">
        <v>9.73</v>
      </c>
      <c r="H284" s="13">
        <f t="shared" si="13"/>
        <v>2000</v>
      </c>
      <c r="I284" s="47">
        <v>0</v>
      </c>
      <c r="J284" s="47">
        <v>2000</v>
      </c>
      <c r="K284" s="14">
        <f t="shared" si="14"/>
        <v>40600000</v>
      </c>
      <c r="L284" s="63">
        <v>0</v>
      </c>
      <c r="M284" s="47">
        <v>40600000</v>
      </c>
      <c r="N284" s="14">
        <f t="shared" si="15"/>
        <v>20300</v>
      </c>
      <c r="O284" s="14">
        <f t="shared" si="15"/>
        <v>0</v>
      </c>
      <c r="P284" s="4">
        <f t="shared" si="15"/>
        <v>20300</v>
      </c>
      <c r="Q284" s="52"/>
    </row>
    <row r="285" spans="2:17" ht="17.399999999999999" x14ac:dyDescent="0.4">
      <c r="B285" s="85">
        <v>42514</v>
      </c>
      <c r="C285" s="86">
        <v>20300</v>
      </c>
      <c r="D285" s="86">
        <v>20300</v>
      </c>
      <c r="E285" s="86">
        <v>20300</v>
      </c>
      <c r="F285" s="47">
        <v>20300</v>
      </c>
      <c r="G285" s="50">
        <v>0</v>
      </c>
      <c r="H285" s="13">
        <f t="shared" si="13"/>
        <v>0</v>
      </c>
      <c r="I285" s="47">
        <v>0</v>
      </c>
      <c r="J285" s="47">
        <v>0</v>
      </c>
      <c r="K285" s="14">
        <f t="shared" si="14"/>
        <v>0</v>
      </c>
      <c r="L285" s="63">
        <v>0</v>
      </c>
      <c r="M285" s="47">
        <v>0</v>
      </c>
      <c r="N285" s="14">
        <f t="shared" si="15"/>
        <v>0</v>
      </c>
      <c r="O285" s="14">
        <f t="shared" si="15"/>
        <v>0</v>
      </c>
      <c r="P285" s="4">
        <f t="shared" si="15"/>
        <v>0</v>
      </c>
      <c r="Q285" s="52"/>
    </row>
    <row r="286" spans="2:17" ht="17.399999999999999" x14ac:dyDescent="0.4">
      <c r="B286" s="85">
        <v>42515</v>
      </c>
      <c r="C286" s="75">
        <v>20300</v>
      </c>
      <c r="D286" s="75">
        <v>20300</v>
      </c>
      <c r="E286" s="75">
        <v>20300</v>
      </c>
      <c r="F286" s="47">
        <v>20300</v>
      </c>
      <c r="G286" s="50">
        <v>0</v>
      </c>
      <c r="H286" s="13">
        <f t="shared" si="13"/>
        <v>0</v>
      </c>
      <c r="I286" s="47">
        <v>0</v>
      </c>
      <c r="J286" s="47">
        <v>0</v>
      </c>
      <c r="K286" s="14">
        <f t="shared" si="14"/>
        <v>0</v>
      </c>
      <c r="L286" s="63">
        <v>0</v>
      </c>
      <c r="M286" s="47">
        <v>0</v>
      </c>
      <c r="N286" s="14">
        <f t="shared" si="15"/>
        <v>0</v>
      </c>
      <c r="O286" s="14">
        <f t="shared" si="15"/>
        <v>0</v>
      </c>
      <c r="P286" s="4">
        <f t="shared" si="15"/>
        <v>0</v>
      </c>
      <c r="Q286" s="52"/>
    </row>
    <row r="287" spans="2:17" ht="17.399999999999999" x14ac:dyDescent="0.4">
      <c r="B287" s="85">
        <v>42516</v>
      </c>
      <c r="C287" s="75">
        <v>20300</v>
      </c>
      <c r="D287" s="75">
        <v>20300</v>
      </c>
      <c r="E287" s="75">
        <v>20300</v>
      </c>
      <c r="F287" s="47">
        <v>20300</v>
      </c>
      <c r="G287" s="50">
        <v>0</v>
      </c>
      <c r="H287" s="13">
        <f t="shared" si="13"/>
        <v>3000</v>
      </c>
      <c r="I287" s="47">
        <v>0</v>
      </c>
      <c r="J287" s="47">
        <v>3000</v>
      </c>
      <c r="K287" s="14">
        <f t="shared" si="14"/>
        <v>60900000</v>
      </c>
      <c r="L287" s="63">
        <v>0</v>
      </c>
      <c r="M287" s="47">
        <v>60900000</v>
      </c>
      <c r="N287" s="14">
        <f t="shared" si="15"/>
        <v>20300</v>
      </c>
      <c r="O287" s="14">
        <f t="shared" si="15"/>
        <v>0</v>
      </c>
      <c r="P287" s="4">
        <f t="shared" si="15"/>
        <v>20300</v>
      </c>
      <c r="Q287" s="52"/>
    </row>
    <row r="288" spans="2:17" ht="17.399999999999999" x14ac:dyDescent="0.4">
      <c r="B288" s="85">
        <v>42517</v>
      </c>
      <c r="C288" s="75">
        <v>20200</v>
      </c>
      <c r="D288" s="75">
        <v>20200</v>
      </c>
      <c r="E288" s="75">
        <v>20200</v>
      </c>
      <c r="F288" s="47">
        <v>20200</v>
      </c>
      <c r="G288" s="50">
        <v>-0.49</v>
      </c>
      <c r="H288" s="13">
        <f t="shared" si="13"/>
        <v>0</v>
      </c>
      <c r="I288" s="47">
        <v>0</v>
      </c>
      <c r="J288" s="47">
        <v>0</v>
      </c>
      <c r="K288" s="14">
        <f t="shared" si="14"/>
        <v>0</v>
      </c>
      <c r="L288" s="63">
        <v>0</v>
      </c>
      <c r="M288" s="47">
        <v>0</v>
      </c>
      <c r="N288" s="14">
        <f t="shared" si="15"/>
        <v>0</v>
      </c>
      <c r="O288" s="14">
        <f t="shared" si="15"/>
        <v>0</v>
      </c>
      <c r="P288" s="4">
        <f t="shared" si="15"/>
        <v>0</v>
      </c>
      <c r="Q288" s="52"/>
    </row>
    <row r="289" spans="2:17" ht="17.399999999999999" x14ac:dyDescent="0.4">
      <c r="B289" s="85">
        <v>42520</v>
      </c>
      <c r="C289" s="75">
        <v>18500</v>
      </c>
      <c r="D289" s="75">
        <v>18500</v>
      </c>
      <c r="E289" s="75">
        <v>18500</v>
      </c>
      <c r="F289" s="47">
        <v>18500</v>
      </c>
      <c r="G289" s="50">
        <v>-8.42</v>
      </c>
      <c r="H289" s="13">
        <f t="shared" si="13"/>
        <v>10000</v>
      </c>
      <c r="I289" s="47">
        <v>0</v>
      </c>
      <c r="J289" s="47">
        <v>10000</v>
      </c>
      <c r="K289" s="14">
        <f t="shared" si="14"/>
        <v>185000000</v>
      </c>
      <c r="L289" s="63">
        <v>0</v>
      </c>
      <c r="M289" s="47">
        <v>185000000</v>
      </c>
      <c r="N289" s="14">
        <f t="shared" si="15"/>
        <v>18500</v>
      </c>
      <c r="O289" s="14">
        <f t="shared" si="15"/>
        <v>0</v>
      </c>
      <c r="P289" s="4">
        <f t="shared" si="15"/>
        <v>18500</v>
      </c>
      <c r="Q289" s="52"/>
    </row>
    <row r="290" spans="2:17" ht="17.399999999999999" x14ac:dyDescent="0.4">
      <c r="B290" s="85">
        <v>42521</v>
      </c>
      <c r="C290" s="86">
        <v>18450</v>
      </c>
      <c r="D290" s="86">
        <v>18450</v>
      </c>
      <c r="E290" s="86">
        <v>18450</v>
      </c>
      <c r="F290" s="47">
        <v>18450</v>
      </c>
      <c r="G290" s="50">
        <v>-0.27</v>
      </c>
      <c r="H290" s="13">
        <f t="shared" si="13"/>
        <v>15000</v>
      </c>
      <c r="I290" s="47">
        <v>0</v>
      </c>
      <c r="J290" s="47">
        <v>15000</v>
      </c>
      <c r="K290" s="14">
        <f t="shared" si="14"/>
        <v>276750000</v>
      </c>
      <c r="L290" s="63">
        <v>0</v>
      </c>
      <c r="M290" s="47">
        <v>276750000</v>
      </c>
      <c r="N290" s="14">
        <f t="shared" si="15"/>
        <v>18450</v>
      </c>
      <c r="O290" s="14">
        <f t="shared" si="15"/>
        <v>0</v>
      </c>
      <c r="P290" s="4">
        <f t="shared" si="15"/>
        <v>18450</v>
      </c>
      <c r="Q290" s="52"/>
    </row>
    <row r="291" spans="2:17" ht="17.399999999999999" x14ac:dyDescent="0.4">
      <c r="B291" s="85">
        <v>42522</v>
      </c>
      <c r="C291" s="86">
        <v>18400</v>
      </c>
      <c r="D291" s="86">
        <v>18400</v>
      </c>
      <c r="E291" s="86">
        <v>18400</v>
      </c>
      <c r="F291" s="47">
        <v>18400</v>
      </c>
      <c r="G291" s="50">
        <v>-0.27</v>
      </c>
      <c r="H291" s="13">
        <f t="shared" si="13"/>
        <v>15000</v>
      </c>
      <c r="I291" s="47">
        <v>0</v>
      </c>
      <c r="J291" s="47">
        <v>15000</v>
      </c>
      <c r="K291" s="14">
        <f t="shared" si="14"/>
        <v>276000000</v>
      </c>
      <c r="L291" s="63">
        <v>0</v>
      </c>
      <c r="M291" s="47">
        <v>276000000</v>
      </c>
      <c r="N291" s="14">
        <f t="shared" si="15"/>
        <v>18400</v>
      </c>
      <c r="O291" s="14">
        <f t="shared" si="15"/>
        <v>0</v>
      </c>
      <c r="P291" s="4">
        <f t="shared" si="15"/>
        <v>18400</v>
      </c>
      <c r="Q291" s="52"/>
    </row>
    <row r="292" spans="2:17" ht="17.399999999999999" x14ac:dyDescent="0.4">
      <c r="B292" s="85">
        <v>42523</v>
      </c>
      <c r="C292" s="86">
        <v>18400</v>
      </c>
      <c r="D292" s="86">
        <v>18400</v>
      </c>
      <c r="E292" s="86">
        <v>18400</v>
      </c>
      <c r="F292" s="47">
        <v>18400</v>
      </c>
      <c r="G292" s="50">
        <v>0</v>
      </c>
      <c r="H292" s="13">
        <f t="shared" si="13"/>
        <v>26000</v>
      </c>
      <c r="I292" s="47">
        <v>0</v>
      </c>
      <c r="J292" s="47">
        <v>26000</v>
      </c>
      <c r="K292" s="14">
        <f t="shared" si="14"/>
        <v>478400000</v>
      </c>
      <c r="L292" s="63">
        <v>0</v>
      </c>
      <c r="M292" s="47">
        <v>478400000</v>
      </c>
      <c r="N292" s="14">
        <f t="shared" si="15"/>
        <v>18400</v>
      </c>
      <c r="O292" s="14">
        <f t="shared" si="15"/>
        <v>0</v>
      </c>
      <c r="P292" s="4">
        <f t="shared" si="15"/>
        <v>18400</v>
      </c>
      <c r="Q292" s="52"/>
    </row>
    <row r="293" spans="2:17" ht="17.399999999999999" x14ac:dyDescent="0.4">
      <c r="B293" s="85">
        <v>42524</v>
      </c>
      <c r="C293" s="86">
        <v>18450</v>
      </c>
      <c r="D293" s="86">
        <v>18500</v>
      </c>
      <c r="E293" s="86">
        <v>18450</v>
      </c>
      <c r="F293" s="47">
        <v>18500</v>
      </c>
      <c r="G293" s="50">
        <v>0.54</v>
      </c>
      <c r="H293" s="13">
        <f t="shared" si="13"/>
        <v>75906</v>
      </c>
      <c r="I293" s="47">
        <v>360000</v>
      </c>
      <c r="J293" s="47">
        <v>435906</v>
      </c>
      <c r="K293" s="14">
        <f>18450*2000+18500*20000+18500*48922+18500*3300+18500*1684</f>
        <v>1404161000</v>
      </c>
      <c r="L293" s="14">
        <v>6624000000</v>
      </c>
      <c r="M293" s="47">
        <v>8028161000</v>
      </c>
      <c r="N293" s="14">
        <f>K293/H293</f>
        <v>18498.682581087134</v>
      </c>
      <c r="O293" s="14">
        <f>L293/I293</f>
        <v>18400</v>
      </c>
      <c r="P293" s="14">
        <f>M293/J293</f>
        <v>18417.183980032391</v>
      </c>
      <c r="Q293" s="52"/>
    </row>
    <row r="294" spans="2:17" ht="17.399999999999999" x14ac:dyDescent="0.4">
      <c r="B294" s="85">
        <v>42528</v>
      </c>
      <c r="C294" s="86">
        <v>18500</v>
      </c>
      <c r="D294" s="86">
        <v>18500</v>
      </c>
      <c r="E294" s="86">
        <v>18500</v>
      </c>
      <c r="F294" s="47">
        <v>18500</v>
      </c>
      <c r="G294" s="50">
        <v>0</v>
      </c>
      <c r="H294" s="13">
        <f t="shared" si="13"/>
        <v>0</v>
      </c>
      <c r="I294" s="47">
        <v>0</v>
      </c>
      <c r="J294" s="47">
        <v>0</v>
      </c>
      <c r="K294" s="14">
        <f t="shared" si="14"/>
        <v>0</v>
      </c>
      <c r="L294" s="63">
        <v>0</v>
      </c>
      <c r="M294" s="47">
        <v>0</v>
      </c>
      <c r="N294" s="14">
        <f>IFERROR(K294/H294,0)</f>
        <v>0</v>
      </c>
      <c r="O294" s="14">
        <f>IFERROR(L294/I294,0)</f>
        <v>0</v>
      </c>
      <c r="P294" s="4">
        <f>IFERROR(M294/J294,0)</f>
        <v>0</v>
      </c>
      <c r="Q294" s="52"/>
    </row>
    <row r="295" spans="2:17" ht="17.399999999999999" x14ac:dyDescent="0.4">
      <c r="B295" s="85">
        <v>42529</v>
      </c>
      <c r="C295" s="86">
        <v>18500</v>
      </c>
      <c r="D295" s="86">
        <v>18500</v>
      </c>
      <c r="E295" s="86">
        <v>18500</v>
      </c>
      <c r="F295" s="47">
        <v>18500</v>
      </c>
      <c r="G295" s="50">
        <v>0</v>
      </c>
      <c r="H295" s="13">
        <f t="shared" si="13"/>
        <v>0</v>
      </c>
      <c r="I295" s="47">
        <v>0</v>
      </c>
      <c r="J295" s="47">
        <v>0</v>
      </c>
      <c r="K295" s="14">
        <f t="shared" si="14"/>
        <v>0</v>
      </c>
      <c r="L295" s="63">
        <v>0</v>
      </c>
      <c r="M295" s="47">
        <v>0</v>
      </c>
      <c r="N295" s="14">
        <f t="shared" ref="N295:P311" si="16">IFERROR(K295/H295,0)</f>
        <v>0</v>
      </c>
      <c r="O295" s="14">
        <f t="shared" si="16"/>
        <v>0</v>
      </c>
      <c r="P295" s="4">
        <f t="shared" si="16"/>
        <v>0</v>
      </c>
      <c r="Q295" s="52"/>
    </row>
    <row r="296" spans="2:17" ht="17.399999999999999" x14ac:dyDescent="0.4">
      <c r="B296" s="85">
        <v>42530</v>
      </c>
      <c r="C296" s="86">
        <v>18500</v>
      </c>
      <c r="D296" s="86">
        <v>18500</v>
      </c>
      <c r="E296" s="86">
        <v>18500</v>
      </c>
      <c r="F296" s="47">
        <v>18500</v>
      </c>
      <c r="G296" s="50">
        <v>0</v>
      </c>
      <c r="H296" s="13">
        <f t="shared" si="13"/>
        <v>0</v>
      </c>
      <c r="I296" s="47">
        <v>0</v>
      </c>
      <c r="J296" s="47">
        <v>0</v>
      </c>
      <c r="K296" s="14">
        <f t="shared" si="14"/>
        <v>0</v>
      </c>
      <c r="L296" s="63">
        <v>0</v>
      </c>
      <c r="M296" s="47">
        <v>0</v>
      </c>
      <c r="N296" s="14">
        <f t="shared" si="16"/>
        <v>0</v>
      </c>
      <c r="O296" s="14">
        <f t="shared" si="16"/>
        <v>0</v>
      </c>
      <c r="P296" s="4">
        <f t="shared" si="16"/>
        <v>0</v>
      </c>
      <c r="Q296" s="52"/>
    </row>
    <row r="297" spans="2:17" ht="17.399999999999999" x14ac:dyDescent="0.4">
      <c r="B297" s="85">
        <v>42531</v>
      </c>
      <c r="C297" s="86">
        <v>18500</v>
      </c>
      <c r="D297" s="86">
        <v>18500</v>
      </c>
      <c r="E297" s="86">
        <v>18500</v>
      </c>
      <c r="F297" s="47">
        <v>18500</v>
      </c>
      <c r="G297" s="50">
        <v>0</v>
      </c>
      <c r="H297" s="13">
        <f t="shared" si="13"/>
        <v>0</v>
      </c>
      <c r="I297" s="47">
        <v>0</v>
      </c>
      <c r="J297" s="47">
        <v>0</v>
      </c>
      <c r="K297" s="14">
        <f t="shared" si="14"/>
        <v>0</v>
      </c>
      <c r="L297" s="63">
        <v>0</v>
      </c>
      <c r="M297" s="47">
        <v>0</v>
      </c>
      <c r="N297" s="14">
        <f t="shared" si="16"/>
        <v>0</v>
      </c>
      <c r="O297" s="14">
        <f t="shared" si="16"/>
        <v>0</v>
      </c>
      <c r="P297" s="4">
        <f t="shared" si="16"/>
        <v>0</v>
      </c>
      <c r="Q297" s="52"/>
    </row>
    <row r="298" spans="2:17" ht="17.399999999999999" x14ac:dyDescent="0.4">
      <c r="B298" s="49">
        <v>42534</v>
      </c>
      <c r="C298" s="75">
        <v>18500</v>
      </c>
      <c r="D298" s="75">
        <v>18500</v>
      </c>
      <c r="E298" s="75">
        <v>18500</v>
      </c>
      <c r="F298" s="48">
        <v>18500</v>
      </c>
      <c r="G298" s="56">
        <v>0</v>
      </c>
      <c r="H298" s="13">
        <f t="shared" si="13"/>
        <v>0</v>
      </c>
      <c r="I298" s="48">
        <v>0</v>
      </c>
      <c r="J298" s="48">
        <v>0</v>
      </c>
      <c r="K298" s="14">
        <f t="shared" si="14"/>
        <v>0</v>
      </c>
      <c r="L298" s="63">
        <v>0</v>
      </c>
      <c r="M298" s="48">
        <v>0</v>
      </c>
      <c r="N298" s="14">
        <f t="shared" si="16"/>
        <v>0</v>
      </c>
      <c r="O298" s="14">
        <f t="shared" si="16"/>
        <v>0</v>
      </c>
      <c r="P298" s="4">
        <f t="shared" si="16"/>
        <v>0</v>
      </c>
      <c r="Q298" s="52"/>
    </row>
    <row r="299" spans="2:17" ht="17.399999999999999" x14ac:dyDescent="0.4">
      <c r="B299" s="49">
        <v>42535</v>
      </c>
      <c r="C299" s="75">
        <v>18500</v>
      </c>
      <c r="D299" s="75">
        <v>18500</v>
      </c>
      <c r="E299" s="75">
        <v>18500</v>
      </c>
      <c r="F299" s="48">
        <v>18500</v>
      </c>
      <c r="G299" s="56">
        <v>0</v>
      </c>
      <c r="H299" s="13">
        <f t="shared" si="13"/>
        <v>0</v>
      </c>
      <c r="I299" s="48">
        <v>0</v>
      </c>
      <c r="J299" s="48">
        <v>0</v>
      </c>
      <c r="K299" s="14">
        <f t="shared" si="14"/>
        <v>0</v>
      </c>
      <c r="L299" s="63">
        <v>0</v>
      </c>
      <c r="M299" s="48">
        <v>0</v>
      </c>
      <c r="N299" s="14">
        <f t="shared" si="16"/>
        <v>0</v>
      </c>
      <c r="O299" s="14">
        <f t="shared" si="16"/>
        <v>0</v>
      </c>
      <c r="P299" s="4">
        <f t="shared" si="16"/>
        <v>0</v>
      </c>
      <c r="Q299" s="52"/>
    </row>
    <row r="300" spans="2:17" ht="17.399999999999999" x14ac:dyDescent="0.4">
      <c r="B300" s="49">
        <v>42536</v>
      </c>
      <c r="C300" s="75">
        <v>18500</v>
      </c>
      <c r="D300" s="75">
        <v>18500</v>
      </c>
      <c r="E300" s="75">
        <v>18500</v>
      </c>
      <c r="F300" s="48">
        <v>18500</v>
      </c>
      <c r="G300" s="56">
        <v>0</v>
      </c>
      <c r="H300" s="13">
        <f t="shared" si="13"/>
        <v>0</v>
      </c>
      <c r="I300" s="48">
        <v>0</v>
      </c>
      <c r="J300" s="48">
        <v>0</v>
      </c>
      <c r="K300" s="14">
        <f t="shared" si="14"/>
        <v>0</v>
      </c>
      <c r="L300" s="63">
        <v>0</v>
      </c>
      <c r="M300" s="48">
        <v>0</v>
      </c>
      <c r="N300" s="14">
        <f t="shared" si="16"/>
        <v>0</v>
      </c>
      <c r="O300" s="14">
        <f t="shared" si="16"/>
        <v>0</v>
      </c>
      <c r="P300" s="4">
        <f t="shared" si="16"/>
        <v>0</v>
      </c>
      <c r="Q300" s="52"/>
    </row>
    <row r="301" spans="2:17" ht="17.399999999999999" x14ac:dyDescent="0.4">
      <c r="B301" s="49">
        <v>42537</v>
      </c>
      <c r="C301" s="75">
        <v>18500</v>
      </c>
      <c r="D301" s="75">
        <v>18500</v>
      </c>
      <c r="E301" s="75">
        <v>18500</v>
      </c>
      <c r="F301" s="48">
        <v>18500</v>
      </c>
      <c r="G301" s="56">
        <v>0</v>
      </c>
      <c r="H301" s="13">
        <f t="shared" si="13"/>
        <v>0</v>
      </c>
      <c r="I301" s="48">
        <v>0</v>
      </c>
      <c r="J301" s="48">
        <v>0</v>
      </c>
      <c r="K301" s="14">
        <f t="shared" si="14"/>
        <v>0</v>
      </c>
      <c r="L301" s="63">
        <v>0</v>
      </c>
      <c r="M301" s="48">
        <v>0</v>
      </c>
      <c r="N301" s="14">
        <f t="shared" si="16"/>
        <v>0</v>
      </c>
      <c r="O301" s="14">
        <f t="shared" si="16"/>
        <v>0</v>
      </c>
      <c r="P301" s="4">
        <f t="shared" si="16"/>
        <v>0</v>
      </c>
      <c r="Q301" s="52"/>
    </row>
    <row r="302" spans="2:17" ht="17.399999999999999" x14ac:dyDescent="0.4">
      <c r="B302" s="49">
        <v>42538</v>
      </c>
      <c r="C302" s="75">
        <v>18500</v>
      </c>
      <c r="D302" s="75">
        <v>18500</v>
      </c>
      <c r="E302" s="75">
        <v>18500</v>
      </c>
      <c r="F302" s="48">
        <v>18500</v>
      </c>
      <c r="G302" s="56">
        <v>0</v>
      </c>
      <c r="H302" s="13">
        <f t="shared" si="13"/>
        <v>0</v>
      </c>
      <c r="I302" s="48">
        <v>0</v>
      </c>
      <c r="J302" s="48">
        <v>0</v>
      </c>
      <c r="K302" s="14">
        <f t="shared" si="14"/>
        <v>0</v>
      </c>
      <c r="L302" s="63">
        <v>0</v>
      </c>
      <c r="M302" s="48">
        <v>0</v>
      </c>
      <c r="N302" s="14">
        <f t="shared" si="16"/>
        <v>0</v>
      </c>
      <c r="O302" s="14">
        <f t="shared" si="16"/>
        <v>0</v>
      </c>
      <c r="P302" s="4">
        <f t="shared" si="16"/>
        <v>0</v>
      </c>
      <c r="Q302" s="52"/>
    </row>
    <row r="303" spans="2:17" ht="17.399999999999999" x14ac:dyDescent="0.4">
      <c r="B303" s="49">
        <v>42541</v>
      </c>
      <c r="C303" s="75">
        <v>18500</v>
      </c>
      <c r="D303" s="75">
        <v>18500</v>
      </c>
      <c r="E303" s="75">
        <v>18500</v>
      </c>
      <c r="F303" s="48">
        <v>18500</v>
      </c>
      <c r="G303" s="56">
        <v>0</v>
      </c>
      <c r="H303" s="13">
        <f t="shared" si="13"/>
        <v>0</v>
      </c>
      <c r="I303" s="48">
        <v>0</v>
      </c>
      <c r="J303" s="48">
        <v>0</v>
      </c>
      <c r="K303" s="14">
        <f t="shared" si="14"/>
        <v>0</v>
      </c>
      <c r="L303" s="63">
        <v>0</v>
      </c>
      <c r="M303" s="48">
        <v>0</v>
      </c>
      <c r="N303" s="14">
        <f t="shared" si="16"/>
        <v>0</v>
      </c>
      <c r="O303" s="14">
        <f t="shared" si="16"/>
        <v>0</v>
      </c>
      <c r="P303" s="4">
        <f t="shared" si="16"/>
        <v>0</v>
      </c>
      <c r="Q303" s="52"/>
    </row>
    <row r="304" spans="2:17" ht="17.399999999999999" x14ac:dyDescent="0.4">
      <c r="B304" s="49">
        <v>42542</v>
      </c>
      <c r="C304" s="75">
        <v>18500</v>
      </c>
      <c r="D304" s="75">
        <v>18500</v>
      </c>
      <c r="E304" s="75">
        <v>18500</v>
      </c>
      <c r="F304" s="48">
        <v>18500</v>
      </c>
      <c r="G304" s="56">
        <v>0</v>
      </c>
      <c r="H304" s="13">
        <f t="shared" si="13"/>
        <v>0</v>
      </c>
      <c r="I304" s="48">
        <v>0</v>
      </c>
      <c r="J304" s="48">
        <v>0</v>
      </c>
      <c r="K304" s="14">
        <f t="shared" si="14"/>
        <v>0</v>
      </c>
      <c r="L304" s="63">
        <v>0</v>
      </c>
      <c r="M304" s="48">
        <v>0</v>
      </c>
      <c r="N304" s="14">
        <f t="shared" si="16"/>
        <v>0</v>
      </c>
      <c r="O304" s="14">
        <f t="shared" si="16"/>
        <v>0</v>
      </c>
      <c r="P304" s="4">
        <f t="shared" si="16"/>
        <v>0</v>
      </c>
      <c r="Q304" s="52"/>
    </row>
    <row r="305" spans="2:17" ht="17.399999999999999" x14ac:dyDescent="0.4">
      <c r="B305" s="49">
        <v>42543</v>
      </c>
      <c r="C305" s="75">
        <v>18500</v>
      </c>
      <c r="D305" s="75">
        <v>18500</v>
      </c>
      <c r="E305" s="75">
        <v>18500</v>
      </c>
      <c r="F305" s="48">
        <v>18500</v>
      </c>
      <c r="G305" s="56">
        <v>0</v>
      </c>
      <c r="H305" s="13">
        <f t="shared" si="13"/>
        <v>0</v>
      </c>
      <c r="I305" s="48">
        <v>0</v>
      </c>
      <c r="J305" s="48">
        <v>0</v>
      </c>
      <c r="K305" s="14">
        <f t="shared" si="14"/>
        <v>0</v>
      </c>
      <c r="L305" s="63">
        <v>0</v>
      </c>
      <c r="M305" s="48">
        <v>0</v>
      </c>
      <c r="N305" s="14">
        <f t="shared" si="16"/>
        <v>0</v>
      </c>
      <c r="O305" s="14">
        <f t="shared" si="16"/>
        <v>0</v>
      </c>
      <c r="P305" s="4">
        <f t="shared" si="16"/>
        <v>0</v>
      </c>
      <c r="Q305" s="52"/>
    </row>
    <row r="306" spans="2:17" ht="17.399999999999999" x14ac:dyDescent="0.4">
      <c r="B306" s="49">
        <v>42544</v>
      </c>
      <c r="C306" s="75">
        <v>18500</v>
      </c>
      <c r="D306" s="75">
        <v>18500</v>
      </c>
      <c r="E306" s="75">
        <v>18500</v>
      </c>
      <c r="F306" s="48">
        <v>18500</v>
      </c>
      <c r="G306" s="56">
        <v>0</v>
      </c>
      <c r="H306" s="13">
        <f t="shared" si="13"/>
        <v>0</v>
      </c>
      <c r="I306" s="48">
        <v>0</v>
      </c>
      <c r="J306" s="48">
        <v>0</v>
      </c>
      <c r="K306" s="14">
        <f t="shared" si="14"/>
        <v>0</v>
      </c>
      <c r="L306" s="63">
        <v>0</v>
      </c>
      <c r="M306" s="48">
        <v>0</v>
      </c>
      <c r="N306" s="14">
        <f t="shared" si="16"/>
        <v>0</v>
      </c>
      <c r="O306" s="14">
        <f t="shared" si="16"/>
        <v>0</v>
      </c>
      <c r="P306" s="4">
        <f t="shared" si="16"/>
        <v>0</v>
      </c>
      <c r="Q306" s="52"/>
    </row>
    <row r="307" spans="2:17" ht="17.399999999999999" x14ac:dyDescent="0.4">
      <c r="B307" s="49">
        <v>42545</v>
      </c>
      <c r="C307" s="75">
        <v>18500</v>
      </c>
      <c r="D307" s="75">
        <v>18500</v>
      </c>
      <c r="E307" s="75">
        <v>18500</v>
      </c>
      <c r="F307" s="48">
        <v>18500</v>
      </c>
      <c r="G307" s="56">
        <v>0</v>
      </c>
      <c r="H307" s="13">
        <f t="shared" si="13"/>
        <v>0</v>
      </c>
      <c r="I307" s="48">
        <v>0</v>
      </c>
      <c r="J307" s="48">
        <v>0</v>
      </c>
      <c r="K307" s="14">
        <f t="shared" si="14"/>
        <v>0</v>
      </c>
      <c r="L307" s="63">
        <v>0</v>
      </c>
      <c r="M307" s="48">
        <v>0</v>
      </c>
      <c r="N307" s="14">
        <f t="shared" si="16"/>
        <v>0</v>
      </c>
      <c r="O307" s="14">
        <f t="shared" si="16"/>
        <v>0</v>
      </c>
      <c r="P307" s="4">
        <f t="shared" si="16"/>
        <v>0</v>
      </c>
      <c r="Q307" s="52"/>
    </row>
    <row r="308" spans="2:17" ht="17.399999999999999" x14ac:dyDescent="0.4">
      <c r="B308" s="49">
        <v>42548</v>
      </c>
      <c r="C308" s="75">
        <v>18500</v>
      </c>
      <c r="D308" s="75">
        <v>18500</v>
      </c>
      <c r="E308" s="75">
        <v>18500</v>
      </c>
      <c r="F308" s="48">
        <v>18500</v>
      </c>
      <c r="G308" s="56">
        <v>0</v>
      </c>
      <c r="H308" s="13">
        <f t="shared" si="13"/>
        <v>0</v>
      </c>
      <c r="I308" s="48">
        <v>0</v>
      </c>
      <c r="J308" s="48">
        <v>0</v>
      </c>
      <c r="K308" s="14">
        <f t="shared" si="14"/>
        <v>0</v>
      </c>
      <c r="L308" s="63">
        <v>0</v>
      </c>
      <c r="M308" s="48">
        <v>0</v>
      </c>
      <c r="N308" s="14">
        <f t="shared" si="16"/>
        <v>0</v>
      </c>
      <c r="O308" s="14">
        <f t="shared" si="16"/>
        <v>0</v>
      </c>
      <c r="P308" s="4">
        <f t="shared" si="16"/>
        <v>0</v>
      </c>
      <c r="Q308" s="52"/>
    </row>
    <row r="309" spans="2:17" ht="17.399999999999999" x14ac:dyDescent="0.4">
      <c r="B309" s="49">
        <v>42549</v>
      </c>
      <c r="C309" s="75">
        <v>18500</v>
      </c>
      <c r="D309" s="75">
        <v>18500</v>
      </c>
      <c r="E309" s="75">
        <v>18500</v>
      </c>
      <c r="F309" s="48">
        <v>18500</v>
      </c>
      <c r="G309" s="56">
        <v>0</v>
      </c>
      <c r="H309" s="13">
        <f t="shared" si="13"/>
        <v>0</v>
      </c>
      <c r="I309" s="48">
        <v>0</v>
      </c>
      <c r="J309" s="48">
        <v>0</v>
      </c>
      <c r="K309" s="14">
        <f t="shared" si="14"/>
        <v>0</v>
      </c>
      <c r="L309" s="63">
        <v>0</v>
      </c>
      <c r="M309" s="48">
        <v>0</v>
      </c>
      <c r="N309" s="14">
        <f t="shared" si="16"/>
        <v>0</v>
      </c>
      <c r="O309" s="14">
        <f t="shared" si="16"/>
        <v>0</v>
      </c>
      <c r="P309" s="4">
        <f t="shared" si="16"/>
        <v>0</v>
      </c>
      <c r="Q309" s="52"/>
    </row>
    <row r="310" spans="2:17" ht="17.399999999999999" x14ac:dyDescent="0.4">
      <c r="B310" s="49">
        <v>42550</v>
      </c>
      <c r="C310" s="75">
        <v>18500</v>
      </c>
      <c r="D310" s="75">
        <v>18500</v>
      </c>
      <c r="E310" s="75">
        <v>18500</v>
      </c>
      <c r="F310" s="48">
        <v>18500</v>
      </c>
      <c r="G310" s="56">
        <v>0</v>
      </c>
      <c r="H310" s="13">
        <f t="shared" si="13"/>
        <v>0</v>
      </c>
      <c r="I310" s="48">
        <v>0</v>
      </c>
      <c r="J310" s="48">
        <v>0</v>
      </c>
      <c r="K310" s="14">
        <f t="shared" si="14"/>
        <v>0</v>
      </c>
      <c r="L310" s="63">
        <v>0</v>
      </c>
      <c r="M310" s="48">
        <v>0</v>
      </c>
      <c r="N310" s="14">
        <f t="shared" si="16"/>
        <v>0</v>
      </c>
      <c r="O310" s="14">
        <f t="shared" si="16"/>
        <v>0</v>
      </c>
      <c r="P310" s="4">
        <f t="shared" si="16"/>
        <v>0</v>
      </c>
      <c r="Q310" s="52"/>
    </row>
    <row r="311" spans="2:17" ht="17.399999999999999" x14ac:dyDescent="0.4">
      <c r="B311" s="49">
        <v>42551</v>
      </c>
      <c r="C311" s="75">
        <v>18500</v>
      </c>
      <c r="D311" s="75">
        <v>18500</v>
      </c>
      <c r="E311" s="75">
        <v>18500</v>
      </c>
      <c r="F311" s="48">
        <v>18500</v>
      </c>
      <c r="G311" s="56">
        <v>0</v>
      </c>
      <c r="H311" s="13">
        <f t="shared" si="13"/>
        <v>0</v>
      </c>
      <c r="I311" s="48">
        <v>0</v>
      </c>
      <c r="J311" s="48">
        <v>0</v>
      </c>
      <c r="K311" s="14">
        <f t="shared" si="14"/>
        <v>0</v>
      </c>
      <c r="L311" s="63">
        <v>0</v>
      </c>
      <c r="M311" s="48">
        <v>0</v>
      </c>
      <c r="N311" s="14">
        <f t="shared" si="16"/>
        <v>0</v>
      </c>
      <c r="O311" s="14">
        <f t="shared" si="16"/>
        <v>0</v>
      </c>
      <c r="P311" s="4">
        <f t="shared" si="16"/>
        <v>0</v>
      </c>
      <c r="Q311" s="52"/>
    </row>
    <row r="312" spans="2:17" ht="17.399999999999999" x14ac:dyDescent="0.4">
      <c r="H312" s="6">
        <f t="shared" ref="H312:M312" si="17">SUM(H6:H311)</f>
        <v>361452</v>
      </c>
      <c r="I312" s="6">
        <f t="shared" si="17"/>
        <v>2284400</v>
      </c>
      <c r="J312" s="6">
        <f t="shared" si="17"/>
        <v>2645852</v>
      </c>
      <c r="K312" s="6">
        <f t="shared" si="17"/>
        <v>26228428900</v>
      </c>
      <c r="L312" s="6">
        <f t="shared" si="17"/>
        <v>15044000000</v>
      </c>
      <c r="M312" s="6">
        <f t="shared" si="17"/>
        <v>41272428900</v>
      </c>
      <c r="P312" s="6"/>
    </row>
    <row r="313" spans="2:17" ht="17.399999999999999" x14ac:dyDescent="0.4">
      <c r="J313" s="57">
        <f>I312/J312</f>
        <v>0.86338918427788103</v>
      </c>
      <c r="M313" s="58">
        <f>M312/J312</f>
        <v>15598.918193459045</v>
      </c>
    </row>
  </sheetData>
  <autoFilter ref="C5:P311" xr:uid="{00000000-0009-0000-0000-000007000000}"/>
  <mergeCells count="7">
    <mergeCell ref="B2:Q2"/>
    <mergeCell ref="B4:B5"/>
    <mergeCell ref="C4:G4"/>
    <mergeCell ref="H4:J4"/>
    <mergeCell ref="K4:M4"/>
    <mergeCell ref="N4:P4"/>
    <mergeCell ref="Q4:Q5"/>
  </mergeCells>
  <phoneticPr fontId="1" type="noConversion"/>
  <conditionalFormatting sqref="G6:G311">
    <cfRule type="iconSet" priority="1">
      <iconSet iconSet="3Arrows">
        <cfvo type="percent" val="0"/>
        <cfvo type="num" val="0"/>
        <cfvo type="num" val="0" gte="0"/>
      </iconSet>
    </cfRule>
  </conditionalFormatting>
  <pageMargins left="0.7" right="0.7" top="0.75" bottom="0.75" header="0.3" footer="0.3"/>
  <pageSetup paperSize="9" orientation="portrait" horizontalDpi="300" verticalDpi="3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B0496-C7CB-4DFE-99A1-312960259927}">
  <sheetPr codeName="Sheet5">
    <tabColor rgb="FF002060"/>
  </sheetPr>
  <dimension ref="B2:AC371"/>
  <sheetViews>
    <sheetView showGridLines="0" zoomScaleNormal="100" workbookViewId="0">
      <pane xSplit="2" ySplit="5" topLeftCell="C339" activePane="bottomRight" state="frozen"/>
      <selection activeCell="F333" sqref="F333"/>
      <selection pane="topRight" activeCell="F333" sqref="F333"/>
      <selection pane="bottomLeft" activeCell="F333" sqref="F333"/>
      <selection pane="bottomRight" activeCell="F349" sqref="F349"/>
    </sheetView>
  </sheetViews>
  <sheetFormatPr defaultColWidth="8.59765625" defaultRowHeight="17.399999999999999" x14ac:dyDescent="0.4"/>
  <cols>
    <col min="1" max="1" width="3" style="5" customWidth="1"/>
    <col min="2" max="2" width="10.09765625" style="5" customWidth="1"/>
    <col min="3" max="3" width="8.59765625" style="5"/>
    <col min="4" max="4" width="8.59765625" style="5" customWidth="1"/>
    <col min="5" max="7" width="8.59765625" style="5"/>
    <col min="8" max="8" width="11.09765625" style="5" bestFit="1" customWidth="1"/>
    <col min="9" max="9" width="9" style="5" bestFit="1" customWidth="1"/>
    <col min="10" max="10" width="11" style="5" bestFit="1" customWidth="1"/>
    <col min="11" max="11" width="15.69921875" style="5" bestFit="1" customWidth="1"/>
    <col min="12" max="12" width="13.8984375" style="5" bestFit="1" customWidth="1"/>
    <col min="13" max="13" width="15.69921875" style="5" bestFit="1" customWidth="1"/>
    <col min="14" max="15" width="8.69921875" style="5" customWidth="1"/>
    <col min="16" max="16" width="8.69921875" style="7" customWidth="1"/>
    <col min="17" max="17" width="11.5" style="5" customWidth="1"/>
    <col min="18" max="18" width="5.19921875" style="5" customWidth="1"/>
    <col min="19" max="29" width="9" customWidth="1"/>
    <col min="30" max="16384" width="8.59765625" style="5"/>
  </cols>
  <sheetData>
    <row r="2" spans="2:17" ht="24" customHeight="1" x14ac:dyDescent="0.4">
      <c r="B2" s="27" t="s">
        <v>238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</row>
    <row r="3" spans="2:17" ht="9" customHeight="1" x14ac:dyDescent="0.4"/>
    <row r="4" spans="2:17" x14ac:dyDescent="0.4">
      <c r="B4" s="29" t="s">
        <v>29</v>
      </c>
      <c r="C4" s="29" t="s">
        <v>239</v>
      </c>
      <c r="D4" s="29"/>
      <c r="E4" s="29"/>
      <c r="F4" s="29"/>
      <c r="G4" s="29"/>
      <c r="H4" s="29" t="s">
        <v>6</v>
      </c>
      <c r="I4" s="29"/>
      <c r="J4" s="29"/>
      <c r="K4" s="29" t="s">
        <v>30</v>
      </c>
      <c r="L4" s="29"/>
      <c r="M4" s="29"/>
      <c r="N4" s="29" t="s">
        <v>134</v>
      </c>
      <c r="O4" s="29"/>
      <c r="P4" s="29"/>
      <c r="Q4" s="30"/>
    </row>
    <row r="5" spans="2:17" ht="15.6" customHeight="1" x14ac:dyDescent="0.4">
      <c r="B5" s="29"/>
      <c r="C5" s="31" t="s">
        <v>7</v>
      </c>
      <c r="D5" s="32" t="s">
        <v>240</v>
      </c>
      <c r="E5" s="31" t="s">
        <v>9</v>
      </c>
      <c r="F5" s="31" t="s">
        <v>10</v>
      </c>
      <c r="G5" s="31" t="s">
        <v>11</v>
      </c>
      <c r="H5" s="31" t="s">
        <v>12</v>
      </c>
      <c r="I5" s="31" t="s">
        <v>241</v>
      </c>
      <c r="J5" s="31" t="s">
        <v>16</v>
      </c>
      <c r="K5" s="31" t="s">
        <v>242</v>
      </c>
      <c r="L5" s="31" t="s">
        <v>13</v>
      </c>
      <c r="M5" s="31" t="s">
        <v>16</v>
      </c>
      <c r="N5" s="31" t="s">
        <v>242</v>
      </c>
      <c r="O5" s="31" t="s">
        <v>13</v>
      </c>
      <c r="P5" s="31" t="s">
        <v>243</v>
      </c>
      <c r="Q5" s="33" t="s">
        <v>27</v>
      </c>
    </row>
    <row r="6" spans="2:17" x14ac:dyDescent="0.4">
      <c r="B6" s="26" t="s">
        <v>155</v>
      </c>
      <c r="C6" s="11">
        <v>13700</v>
      </c>
      <c r="D6" s="11">
        <v>13700</v>
      </c>
      <c r="E6" s="11">
        <v>13700</v>
      </c>
      <c r="F6" s="11">
        <v>13700</v>
      </c>
      <c r="G6" s="12">
        <v>0</v>
      </c>
      <c r="H6" s="13">
        <f>J6-I6</f>
        <v>0</v>
      </c>
      <c r="I6" s="13">
        <v>0</v>
      </c>
      <c r="J6" s="13">
        <v>0</v>
      </c>
      <c r="K6" s="14">
        <f>M6-L6</f>
        <v>0</v>
      </c>
      <c r="L6" s="13">
        <v>0</v>
      </c>
      <c r="M6" s="13">
        <v>0</v>
      </c>
      <c r="N6" s="14">
        <f>IFERROR(K6/H6,0)</f>
        <v>0</v>
      </c>
      <c r="O6" s="14">
        <f>IFERROR(L6/I6,0)</f>
        <v>0</v>
      </c>
      <c r="P6" s="4">
        <f>IFERROR(M6/J6,0)</f>
        <v>0</v>
      </c>
      <c r="Q6" s="4"/>
    </row>
    <row r="7" spans="2:17" x14ac:dyDescent="0.4">
      <c r="B7" s="26" t="s">
        <v>156</v>
      </c>
      <c r="C7" s="11">
        <v>13700</v>
      </c>
      <c r="D7" s="11">
        <v>13700</v>
      </c>
      <c r="E7" s="11">
        <v>13700</v>
      </c>
      <c r="F7" s="11">
        <v>13700</v>
      </c>
      <c r="G7" s="12">
        <v>0</v>
      </c>
      <c r="H7" s="13">
        <f t="shared" ref="H7:H70" si="0">J7-I7</f>
        <v>0</v>
      </c>
      <c r="I7" s="13">
        <v>0</v>
      </c>
      <c r="J7" s="13">
        <v>0</v>
      </c>
      <c r="K7" s="14">
        <f t="shared" ref="K7:K70" si="1">M7-L7</f>
        <v>0</v>
      </c>
      <c r="L7" s="13">
        <v>0</v>
      </c>
      <c r="M7" s="13">
        <v>0</v>
      </c>
      <c r="N7" s="14">
        <f t="shared" ref="N7:P70" si="2">IFERROR(K7/H7,0)</f>
        <v>0</v>
      </c>
      <c r="O7" s="14">
        <f t="shared" si="2"/>
        <v>0</v>
      </c>
      <c r="P7" s="4">
        <f t="shared" si="2"/>
        <v>0</v>
      </c>
      <c r="Q7" s="4"/>
    </row>
    <row r="8" spans="2:17" x14ac:dyDescent="0.4">
      <c r="B8" s="26" t="s">
        <v>157</v>
      </c>
      <c r="C8" s="11">
        <v>13700</v>
      </c>
      <c r="D8" s="11">
        <v>13700</v>
      </c>
      <c r="E8" s="11">
        <v>13700</v>
      </c>
      <c r="F8" s="11">
        <v>13700</v>
      </c>
      <c r="G8" s="12">
        <v>0</v>
      </c>
      <c r="H8" s="13">
        <f t="shared" si="0"/>
        <v>0</v>
      </c>
      <c r="I8" s="13">
        <v>0</v>
      </c>
      <c r="J8" s="13">
        <v>0</v>
      </c>
      <c r="K8" s="14">
        <f t="shared" si="1"/>
        <v>0</v>
      </c>
      <c r="L8" s="13">
        <v>0</v>
      </c>
      <c r="M8" s="13">
        <v>0</v>
      </c>
      <c r="N8" s="14">
        <f t="shared" si="2"/>
        <v>0</v>
      </c>
      <c r="O8" s="14">
        <f t="shared" si="2"/>
        <v>0</v>
      </c>
      <c r="P8" s="4">
        <f t="shared" si="2"/>
        <v>0</v>
      </c>
      <c r="Q8" s="4"/>
    </row>
    <row r="9" spans="2:17" x14ac:dyDescent="0.4">
      <c r="B9" s="26" t="s">
        <v>158</v>
      </c>
      <c r="C9" s="11">
        <v>13700</v>
      </c>
      <c r="D9" s="11">
        <v>13700</v>
      </c>
      <c r="E9" s="11">
        <v>13700</v>
      </c>
      <c r="F9" s="11">
        <v>13700</v>
      </c>
      <c r="G9" s="12">
        <v>0</v>
      </c>
      <c r="H9" s="13">
        <f t="shared" si="0"/>
        <v>0</v>
      </c>
      <c r="I9" s="13">
        <v>0</v>
      </c>
      <c r="J9" s="13">
        <v>0</v>
      </c>
      <c r="K9" s="14">
        <f t="shared" si="1"/>
        <v>0</v>
      </c>
      <c r="L9" s="13">
        <v>0</v>
      </c>
      <c r="M9" s="13">
        <v>0</v>
      </c>
      <c r="N9" s="14">
        <f t="shared" si="2"/>
        <v>0</v>
      </c>
      <c r="O9" s="14">
        <f t="shared" si="2"/>
        <v>0</v>
      </c>
      <c r="P9" s="4">
        <f t="shared" si="2"/>
        <v>0</v>
      </c>
      <c r="Q9" s="4"/>
    </row>
    <row r="10" spans="2:17" x14ac:dyDescent="0.4">
      <c r="B10" s="26" t="s">
        <v>159</v>
      </c>
      <c r="C10" s="11">
        <v>13700</v>
      </c>
      <c r="D10" s="11">
        <v>13700</v>
      </c>
      <c r="E10" s="11">
        <v>13700</v>
      </c>
      <c r="F10" s="11">
        <v>13700</v>
      </c>
      <c r="G10" s="12">
        <v>0</v>
      </c>
      <c r="H10" s="13">
        <f t="shared" si="0"/>
        <v>0</v>
      </c>
      <c r="I10" s="13">
        <v>0</v>
      </c>
      <c r="J10" s="13">
        <v>0</v>
      </c>
      <c r="K10" s="14">
        <f t="shared" si="1"/>
        <v>0</v>
      </c>
      <c r="L10" s="13">
        <v>0</v>
      </c>
      <c r="M10" s="13">
        <v>0</v>
      </c>
      <c r="N10" s="14">
        <f t="shared" si="2"/>
        <v>0</v>
      </c>
      <c r="O10" s="14">
        <f t="shared" si="2"/>
        <v>0</v>
      </c>
      <c r="P10" s="4">
        <f t="shared" si="2"/>
        <v>0</v>
      </c>
      <c r="Q10" s="4"/>
    </row>
    <row r="11" spans="2:17" x14ac:dyDescent="0.4">
      <c r="B11" s="26" t="s">
        <v>160</v>
      </c>
      <c r="C11" s="11">
        <v>13700</v>
      </c>
      <c r="D11" s="11">
        <v>13700</v>
      </c>
      <c r="E11" s="11">
        <v>13700</v>
      </c>
      <c r="F11" s="11">
        <v>13700</v>
      </c>
      <c r="G11" s="12">
        <v>0</v>
      </c>
      <c r="H11" s="13">
        <f t="shared" si="0"/>
        <v>0</v>
      </c>
      <c r="I11" s="13">
        <v>0</v>
      </c>
      <c r="J11" s="13">
        <v>0</v>
      </c>
      <c r="K11" s="14">
        <f t="shared" si="1"/>
        <v>0</v>
      </c>
      <c r="L11" s="13">
        <v>0</v>
      </c>
      <c r="M11" s="13">
        <v>0</v>
      </c>
      <c r="N11" s="14">
        <f t="shared" si="2"/>
        <v>0</v>
      </c>
      <c r="O11" s="14">
        <f t="shared" si="2"/>
        <v>0</v>
      </c>
      <c r="P11" s="4">
        <f t="shared" si="2"/>
        <v>0</v>
      </c>
      <c r="Q11" s="4"/>
    </row>
    <row r="12" spans="2:17" x14ac:dyDescent="0.4">
      <c r="B12" s="26" t="s">
        <v>161</v>
      </c>
      <c r="C12" s="11">
        <v>13700</v>
      </c>
      <c r="D12" s="11">
        <v>13700</v>
      </c>
      <c r="E12" s="11">
        <v>13700</v>
      </c>
      <c r="F12" s="11">
        <v>13700</v>
      </c>
      <c r="G12" s="12">
        <v>0</v>
      </c>
      <c r="H12" s="13">
        <f t="shared" si="0"/>
        <v>0</v>
      </c>
      <c r="I12" s="13">
        <v>0</v>
      </c>
      <c r="J12" s="13">
        <v>0</v>
      </c>
      <c r="K12" s="14">
        <f t="shared" si="1"/>
        <v>0</v>
      </c>
      <c r="L12" s="13">
        <v>0</v>
      </c>
      <c r="M12" s="13">
        <v>0</v>
      </c>
      <c r="N12" s="14">
        <f t="shared" si="2"/>
        <v>0</v>
      </c>
      <c r="O12" s="14">
        <f t="shared" si="2"/>
        <v>0</v>
      </c>
      <c r="P12" s="4">
        <f t="shared" si="2"/>
        <v>0</v>
      </c>
      <c r="Q12" s="4"/>
    </row>
    <row r="13" spans="2:17" x14ac:dyDescent="0.4">
      <c r="B13" s="26" t="s">
        <v>162</v>
      </c>
      <c r="C13" s="11">
        <v>13700</v>
      </c>
      <c r="D13" s="11">
        <v>13700</v>
      </c>
      <c r="E13" s="11">
        <v>13700</v>
      </c>
      <c r="F13" s="11">
        <v>13700</v>
      </c>
      <c r="G13" s="12">
        <v>0</v>
      </c>
      <c r="H13" s="13">
        <f t="shared" si="0"/>
        <v>0</v>
      </c>
      <c r="I13" s="13">
        <v>0</v>
      </c>
      <c r="J13" s="13">
        <v>0</v>
      </c>
      <c r="K13" s="14">
        <f t="shared" si="1"/>
        <v>0</v>
      </c>
      <c r="L13" s="13">
        <v>0</v>
      </c>
      <c r="M13" s="13">
        <v>0</v>
      </c>
      <c r="N13" s="14">
        <f t="shared" si="2"/>
        <v>0</v>
      </c>
      <c r="O13" s="14">
        <f t="shared" si="2"/>
        <v>0</v>
      </c>
      <c r="P13" s="4">
        <f t="shared" si="2"/>
        <v>0</v>
      </c>
      <c r="Q13" s="4"/>
    </row>
    <row r="14" spans="2:17" x14ac:dyDescent="0.4">
      <c r="B14" s="26" t="s">
        <v>163</v>
      </c>
      <c r="C14" s="11">
        <v>13700</v>
      </c>
      <c r="D14" s="11">
        <v>13700</v>
      </c>
      <c r="E14" s="11">
        <v>13700</v>
      </c>
      <c r="F14" s="11">
        <v>13700</v>
      </c>
      <c r="G14" s="12">
        <v>0</v>
      </c>
      <c r="H14" s="13">
        <f t="shared" si="0"/>
        <v>0</v>
      </c>
      <c r="I14" s="13">
        <v>0</v>
      </c>
      <c r="J14" s="13">
        <v>0</v>
      </c>
      <c r="K14" s="14">
        <f t="shared" si="1"/>
        <v>0</v>
      </c>
      <c r="L14" s="13">
        <v>0</v>
      </c>
      <c r="M14" s="13">
        <v>0</v>
      </c>
      <c r="N14" s="14">
        <f t="shared" si="2"/>
        <v>0</v>
      </c>
      <c r="O14" s="14">
        <f t="shared" si="2"/>
        <v>0</v>
      </c>
      <c r="P14" s="4">
        <f t="shared" si="2"/>
        <v>0</v>
      </c>
      <c r="Q14" s="4"/>
    </row>
    <row r="15" spans="2:17" x14ac:dyDescent="0.4">
      <c r="B15" s="26" t="s">
        <v>164</v>
      </c>
      <c r="C15" s="11">
        <v>13700</v>
      </c>
      <c r="D15" s="11">
        <v>13700</v>
      </c>
      <c r="E15" s="11">
        <v>13700</v>
      </c>
      <c r="F15" s="11">
        <v>13700</v>
      </c>
      <c r="G15" s="12">
        <v>0</v>
      </c>
      <c r="H15" s="13">
        <f t="shared" si="0"/>
        <v>0</v>
      </c>
      <c r="I15" s="13">
        <v>0</v>
      </c>
      <c r="J15" s="13">
        <v>0</v>
      </c>
      <c r="K15" s="14">
        <f t="shared" si="1"/>
        <v>0</v>
      </c>
      <c r="L15" s="13">
        <v>0</v>
      </c>
      <c r="M15" s="13">
        <v>0</v>
      </c>
      <c r="N15" s="14">
        <f t="shared" si="2"/>
        <v>0</v>
      </c>
      <c r="O15" s="14">
        <f t="shared" si="2"/>
        <v>0</v>
      </c>
      <c r="P15" s="4">
        <f t="shared" si="2"/>
        <v>0</v>
      </c>
      <c r="Q15" s="4"/>
    </row>
    <row r="16" spans="2:17" x14ac:dyDescent="0.4">
      <c r="B16" s="26" t="s">
        <v>165</v>
      </c>
      <c r="C16" s="11">
        <v>13700</v>
      </c>
      <c r="D16" s="11">
        <v>13700</v>
      </c>
      <c r="E16" s="11">
        <v>13700</v>
      </c>
      <c r="F16" s="11">
        <v>13700</v>
      </c>
      <c r="G16" s="12">
        <v>0</v>
      </c>
      <c r="H16" s="13">
        <f t="shared" si="0"/>
        <v>0</v>
      </c>
      <c r="I16" s="13">
        <v>0</v>
      </c>
      <c r="J16" s="13">
        <v>0</v>
      </c>
      <c r="K16" s="14">
        <f t="shared" si="1"/>
        <v>0</v>
      </c>
      <c r="L16" s="13">
        <v>0</v>
      </c>
      <c r="M16" s="13">
        <v>0</v>
      </c>
      <c r="N16" s="14">
        <f t="shared" si="2"/>
        <v>0</v>
      </c>
      <c r="O16" s="14">
        <f t="shared" si="2"/>
        <v>0</v>
      </c>
      <c r="P16" s="4">
        <f t="shared" si="2"/>
        <v>0</v>
      </c>
      <c r="Q16" s="4"/>
    </row>
    <row r="17" spans="2:17" x14ac:dyDescent="0.4">
      <c r="B17" s="26" t="s">
        <v>166</v>
      </c>
      <c r="C17" s="11">
        <v>13700</v>
      </c>
      <c r="D17" s="11">
        <v>13700</v>
      </c>
      <c r="E17" s="11">
        <v>13700</v>
      </c>
      <c r="F17" s="11">
        <v>13700</v>
      </c>
      <c r="G17" s="12">
        <v>0</v>
      </c>
      <c r="H17" s="13">
        <f t="shared" si="0"/>
        <v>0</v>
      </c>
      <c r="I17" s="13">
        <v>0</v>
      </c>
      <c r="J17" s="13">
        <v>0</v>
      </c>
      <c r="K17" s="14">
        <f t="shared" si="1"/>
        <v>0</v>
      </c>
      <c r="L17" s="13">
        <v>0</v>
      </c>
      <c r="M17" s="13">
        <v>0</v>
      </c>
      <c r="N17" s="14">
        <f t="shared" si="2"/>
        <v>0</v>
      </c>
      <c r="O17" s="14">
        <f t="shared" si="2"/>
        <v>0</v>
      </c>
      <c r="P17" s="4">
        <f t="shared" si="2"/>
        <v>0</v>
      </c>
      <c r="Q17" s="4"/>
    </row>
    <row r="18" spans="2:17" x14ac:dyDescent="0.4">
      <c r="B18" s="26" t="s">
        <v>167</v>
      </c>
      <c r="C18" s="11">
        <v>13700</v>
      </c>
      <c r="D18" s="11">
        <v>13700</v>
      </c>
      <c r="E18" s="11">
        <v>13700</v>
      </c>
      <c r="F18" s="11">
        <v>13700</v>
      </c>
      <c r="G18" s="12">
        <v>0</v>
      </c>
      <c r="H18" s="13">
        <f t="shared" si="0"/>
        <v>0</v>
      </c>
      <c r="I18" s="13">
        <v>0</v>
      </c>
      <c r="J18" s="13">
        <v>0</v>
      </c>
      <c r="K18" s="14">
        <f t="shared" si="1"/>
        <v>0</v>
      </c>
      <c r="L18" s="13">
        <v>0</v>
      </c>
      <c r="M18" s="13">
        <v>0</v>
      </c>
      <c r="N18" s="14">
        <f t="shared" si="2"/>
        <v>0</v>
      </c>
      <c r="O18" s="14">
        <f t="shared" si="2"/>
        <v>0</v>
      </c>
      <c r="P18" s="4">
        <f t="shared" si="2"/>
        <v>0</v>
      </c>
      <c r="Q18" s="4"/>
    </row>
    <row r="19" spans="2:17" x14ac:dyDescent="0.4">
      <c r="B19" s="26" t="s">
        <v>168</v>
      </c>
      <c r="C19" s="11">
        <v>13700</v>
      </c>
      <c r="D19" s="11">
        <v>13700</v>
      </c>
      <c r="E19" s="11">
        <v>13700</v>
      </c>
      <c r="F19" s="11">
        <v>13700</v>
      </c>
      <c r="G19" s="12">
        <v>0</v>
      </c>
      <c r="H19" s="13">
        <f t="shared" si="0"/>
        <v>0</v>
      </c>
      <c r="I19" s="13">
        <v>0</v>
      </c>
      <c r="J19" s="13">
        <v>0</v>
      </c>
      <c r="K19" s="14">
        <f t="shared" si="1"/>
        <v>0</v>
      </c>
      <c r="L19" s="13">
        <v>0</v>
      </c>
      <c r="M19" s="13">
        <v>0</v>
      </c>
      <c r="N19" s="14">
        <f t="shared" si="2"/>
        <v>0</v>
      </c>
      <c r="O19" s="14">
        <f t="shared" si="2"/>
        <v>0</v>
      </c>
      <c r="P19" s="4">
        <f t="shared" si="2"/>
        <v>0</v>
      </c>
      <c r="Q19" s="4"/>
    </row>
    <row r="20" spans="2:17" x14ac:dyDescent="0.4">
      <c r="B20" s="26" t="s">
        <v>169</v>
      </c>
      <c r="C20" s="11">
        <v>13700</v>
      </c>
      <c r="D20" s="11">
        <v>13700</v>
      </c>
      <c r="E20" s="11">
        <v>13700</v>
      </c>
      <c r="F20" s="11">
        <v>13700</v>
      </c>
      <c r="G20" s="12">
        <v>0</v>
      </c>
      <c r="H20" s="13">
        <f t="shared" si="0"/>
        <v>0</v>
      </c>
      <c r="I20" s="13">
        <v>0</v>
      </c>
      <c r="J20" s="13">
        <v>0</v>
      </c>
      <c r="K20" s="14">
        <f t="shared" si="1"/>
        <v>0</v>
      </c>
      <c r="L20" s="13">
        <v>0</v>
      </c>
      <c r="M20" s="13">
        <v>0</v>
      </c>
      <c r="N20" s="14">
        <f t="shared" si="2"/>
        <v>0</v>
      </c>
      <c r="O20" s="14">
        <f t="shared" si="2"/>
        <v>0</v>
      </c>
      <c r="P20" s="4">
        <f t="shared" si="2"/>
        <v>0</v>
      </c>
      <c r="Q20" s="4"/>
    </row>
    <row r="21" spans="2:17" x14ac:dyDescent="0.4">
      <c r="B21" s="26" t="s">
        <v>170</v>
      </c>
      <c r="C21" s="11">
        <v>13700</v>
      </c>
      <c r="D21" s="11">
        <v>13700</v>
      </c>
      <c r="E21" s="11">
        <v>13700</v>
      </c>
      <c r="F21" s="11">
        <v>13700</v>
      </c>
      <c r="G21" s="12">
        <v>0</v>
      </c>
      <c r="H21" s="13">
        <f t="shared" si="0"/>
        <v>0</v>
      </c>
      <c r="I21" s="13">
        <v>0</v>
      </c>
      <c r="J21" s="13">
        <v>0</v>
      </c>
      <c r="K21" s="14">
        <f t="shared" si="1"/>
        <v>0</v>
      </c>
      <c r="L21" s="13">
        <v>0</v>
      </c>
      <c r="M21" s="13">
        <v>0</v>
      </c>
      <c r="N21" s="14">
        <f t="shared" si="2"/>
        <v>0</v>
      </c>
      <c r="O21" s="14">
        <f t="shared" si="2"/>
        <v>0</v>
      </c>
      <c r="P21" s="4">
        <f t="shared" si="2"/>
        <v>0</v>
      </c>
      <c r="Q21" s="4"/>
    </row>
    <row r="22" spans="2:17" x14ac:dyDescent="0.4">
      <c r="B22" s="26" t="s">
        <v>171</v>
      </c>
      <c r="C22" s="11">
        <v>13700</v>
      </c>
      <c r="D22" s="11">
        <v>13700</v>
      </c>
      <c r="E22" s="11">
        <v>13700</v>
      </c>
      <c r="F22" s="11">
        <v>13700</v>
      </c>
      <c r="G22" s="12">
        <v>0</v>
      </c>
      <c r="H22" s="13">
        <f t="shared" si="0"/>
        <v>0</v>
      </c>
      <c r="I22" s="13">
        <v>0</v>
      </c>
      <c r="J22" s="13">
        <v>0</v>
      </c>
      <c r="K22" s="14">
        <f t="shared" si="1"/>
        <v>0</v>
      </c>
      <c r="L22" s="13">
        <v>0</v>
      </c>
      <c r="M22" s="13">
        <v>0</v>
      </c>
      <c r="N22" s="14">
        <f t="shared" si="2"/>
        <v>0</v>
      </c>
      <c r="O22" s="14">
        <f t="shared" si="2"/>
        <v>0</v>
      </c>
      <c r="P22" s="4">
        <f t="shared" si="2"/>
        <v>0</v>
      </c>
      <c r="Q22" s="4"/>
    </row>
    <row r="23" spans="2:17" x14ac:dyDescent="0.4">
      <c r="B23" s="26" t="s">
        <v>172</v>
      </c>
      <c r="C23" s="11">
        <v>13700</v>
      </c>
      <c r="D23" s="11">
        <v>13700</v>
      </c>
      <c r="E23" s="11">
        <v>13700</v>
      </c>
      <c r="F23" s="11">
        <v>13700</v>
      </c>
      <c r="G23" s="12">
        <v>0</v>
      </c>
      <c r="H23" s="13">
        <f t="shared" si="0"/>
        <v>0</v>
      </c>
      <c r="I23" s="13">
        <v>0</v>
      </c>
      <c r="J23" s="13">
        <v>0</v>
      </c>
      <c r="K23" s="14">
        <f t="shared" si="1"/>
        <v>0</v>
      </c>
      <c r="L23" s="13">
        <v>0</v>
      </c>
      <c r="M23" s="13">
        <v>0</v>
      </c>
      <c r="N23" s="14">
        <f t="shared" si="2"/>
        <v>0</v>
      </c>
      <c r="O23" s="14">
        <f t="shared" si="2"/>
        <v>0</v>
      </c>
      <c r="P23" s="4">
        <f t="shared" si="2"/>
        <v>0</v>
      </c>
      <c r="Q23" s="4"/>
    </row>
    <row r="24" spans="2:17" x14ac:dyDescent="0.4">
      <c r="B24" s="26" t="s">
        <v>173</v>
      </c>
      <c r="C24" s="11">
        <v>13700</v>
      </c>
      <c r="D24" s="11">
        <v>13700</v>
      </c>
      <c r="E24" s="11">
        <v>13700</v>
      </c>
      <c r="F24" s="11">
        <v>13700</v>
      </c>
      <c r="G24" s="12">
        <v>0</v>
      </c>
      <c r="H24" s="13">
        <f t="shared" si="0"/>
        <v>0</v>
      </c>
      <c r="I24" s="13">
        <v>0</v>
      </c>
      <c r="J24" s="13">
        <v>0</v>
      </c>
      <c r="K24" s="14">
        <f t="shared" si="1"/>
        <v>0</v>
      </c>
      <c r="L24" s="13">
        <v>0</v>
      </c>
      <c r="M24" s="13">
        <v>0</v>
      </c>
      <c r="N24" s="14">
        <f t="shared" si="2"/>
        <v>0</v>
      </c>
      <c r="O24" s="14">
        <f t="shared" si="2"/>
        <v>0</v>
      </c>
      <c r="P24" s="4">
        <f t="shared" si="2"/>
        <v>0</v>
      </c>
      <c r="Q24" s="4"/>
    </row>
    <row r="25" spans="2:17" x14ac:dyDescent="0.4">
      <c r="B25" s="26" t="s">
        <v>174</v>
      </c>
      <c r="C25" s="11">
        <v>13700</v>
      </c>
      <c r="D25" s="11">
        <v>13700</v>
      </c>
      <c r="E25" s="11">
        <v>13700</v>
      </c>
      <c r="F25" s="11">
        <v>13700</v>
      </c>
      <c r="G25" s="12">
        <v>0</v>
      </c>
      <c r="H25" s="13">
        <f t="shared" si="0"/>
        <v>0</v>
      </c>
      <c r="I25" s="13">
        <v>0</v>
      </c>
      <c r="J25" s="13">
        <v>0</v>
      </c>
      <c r="K25" s="14">
        <f t="shared" si="1"/>
        <v>0</v>
      </c>
      <c r="L25" s="13">
        <v>0</v>
      </c>
      <c r="M25" s="13">
        <v>0</v>
      </c>
      <c r="N25" s="14">
        <f t="shared" si="2"/>
        <v>0</v>
      </c>
      <c r="O25" s="14">
        <f t="shared" si="2"/>
        <v>0</v>
      </c>
      <c r="P25" s="4">
        <f t="shared" si="2"/>
        <v>0</v>
      </c>
      <c r="Q25" s="4"/>
    </row>
    <row r="26" spans="2:17" x14ac:dyDescent="0.4">
      <c r="B26" s="26" t="s">
        <v>175</v>
      </c>
      <c r="C26" s="11">
        <v>13700</v>
      </c>
      <c r="D26" s="11">
        <v>13700</v>
      </c>
      <c r="E26" s="11">
        <v>13700</v>
      </c>
      <c r="F26" s="11">
        <v>13700</v>
      </c>
      <c r="G26" s="12">
        <v>0</v>
      </c>
      <c r="H26" s="13">
        <f t="shared" si="0"/>
        <v>0</v>
      </c>
      <c r="I26" s="13">
        <v>0</v>
      </c>
      <c r="J26" s="13">
        <v>0</v>
      </c>
      <c r="K26" s="14">
        <f t="shared" si="1"/>
        <v>0</v>
      </c>
      <c r="L26" s="13">
        <v>0</v>
      </c>
      <c r="M26" s="13">
        <v>0</v>
      </c>
      <c r="N26" s="14">
        <f t="shared" si="2"/>
        <v>0</v>
      </c>
      <c r="O26" s="14">
        <f t="shared" si="2"/>
        <v>0</v>
      </c>
      <c r="P26" s="4">
        <f t="shared" si="2"/>
        <v>0</v>
      </c>
      <c r="Q26" s="4"/>
    </row>
    <row r="27" spans="2:17" x14ac:dyDescent="0.4">
      <c r="B27" s="26" t="s">
        <v>176</v>
      </c>
      <c r="C27" s="11">
        <v>13700</v>
      </c>
      <c r="D27" s="11">
        <v>13700</v>
      </c>
      <c r="E27" s="11">
        <v>13700</v>
      </c>
      <c r="F27" s="11">
        <v>13700</v>
      </c>
      <c r="G27" s="12">
        <v>0</v>
      </c>
      <c r="H27" s="13">
        <f t="shared" si="0"/>
        <v>0</v>
      </c>
      <c r="I27" s="13">
        <v>0</v>
      </c>
      <c r="J27" s="13">
        <v>0</v>
      </c>
      <c r="K27" s="14">
        <f t="shared" si="1"/>
        <v>0</v>
      </c>
      <c r="L27" s="13">
        <v>0</v>
      </c>
      <c r="M27" s="13">
        <v>0</v>
      </c>
      <c r="N27" s="14">
        <f t="shared" si="2"/>
        <v>0</v>
      </c>
      <c r="O27" s="14">
        <f t="shared" si="2"/>
        <v>0</v>
      </c>
      <c r="P27" s="4">
        <f t="shared" si="2"/>
        <v>0</v>
      </c>
      <c r="Q27" s="4"/>
    </row>
    <row r="28" spans="2:17" x14ac:dyDescent="0.4">
      <c r="B28" s="26" t="s">
        <v>177</v>
      </c>
      <c r="C28" s="11">
        <v>13700</v>
      </c>
      <c r="D28" s="11">
        <v>13700</v>
      </c>
      <c r="E28" s="11">
        <v>13700</v>
      </c>
      <c r="F28" s="11">
        <v>13700</v>
      </c>
      <c r="G28" s="12">
        <v>0</v>
      </c>
      <c r="H28" s="13">
        <f t="shared" si="0"/>
        <v>0</v>
      </c>
      <c r="I28" s="13">
        <v>0</v>
      </c>
      <c r="J28" s="13">
        <v>0</v>
      </c>
      <c r="K28" s="14">
        <f t="shared" si="1"/>
        <v>0</v>
      </c>
      <c r="L28" s="13">
        <v>0</v>
      </c>
      <c r="M28" s="13">
        <v>0</v>
      </c>
      <c r="N28" s="14">
        <f t="shared" si="2"/>
        <v>0</v>
      </c>
      <c r="O28" s="14">
        <f t="shared" si="2"/>
        <v>0</v>
      </c>
      <c r="P28" s="4">
        <f t="shared" si="2"/>
        <v>0</v>
      </c>
      <c r="Q28" s="4"/>
    </row>
    <row r="29" spans="2:17" x14ac:dyDescent="0.4">
      <c r="B29" s="26" t="s">
        <v>178</v>
      </c>
      <c r="C29" s="11">
        <v>13700</v>
      </c>
      <c r="D29" s="11">
        <v>13700</v>
      </c>
      <c r="E29" s="11">
        <v>13700</v>
      </c>
      <c r="F29" s="11">
        <v>13700</v>
      </c>
      <c r="G29" s="12">
        <v>0</v>
      </c>
      <c r="H29" s="13">
        <f t="shared" si="0"/>
        <v>0</v>
      </c>
      <c r="I29" s="13">
        <v>0</v>
      </c>
      <c r="J29" s="13">
        <v>0</v>
      </c>
      <c r="K29" s="14">
        <f t="shared" si="1"/>
        <v>0</v>
      </c>
      <c r="L29" s="13">
        <v>0</v>
      </c>
      <c r="M29" s="13">
        <v>0</v>
      </c>
      <c r="N29" s="14">
        <f t="shared" si="2"/>
        <v>0</v>
      </c>
      <c r="O29" s="14">
        <f t="shared" si="2"/>
        <v>0</v>
      </c>
      <c r="P29" s="4">
        <f t="shared" si="2"/>
        <v>0</v>
      </c>
      <c r="Q29" s="4"/>
    </row>
    <row r="30" spans="2:17" x14ac:dyDescent="0.4">
      <c r="B30" s="26" t="s">
        <v>179</v>
      </c>
      <c r="C30" s="11">
        <v>13700</v>
      </c>
      <c r="D30" s="11">
        <v>13700</v>
      </c>
      <c r="E30" s="11">
        <v>13700</v>
      </c>
      <c r="F30" s="11">
        <v>13700</v>
      </c>
      <c r="G30" s="12">
        <v>0</v>
      </c>
      <c r="H30" s="13">
        <f t="shared" si="0"/>
        <v>0</v>
      </c>
      <c r="I30" s="13">
        <v>0</v>
      </c>
      <c r="J30" s="13">
        <v>0</v>
      </c>
      <c r="K30" s="14">
        <f t="shared" si="1"/>
        <v>0</v>
      </c>
      <c r="L30" s="13">
        <v>0</v>
      </c>
      <c r="M30" s="13">
        <v>0</v>
      </c>
      <c r="N30" s="14">
        <f t="shared" si="2"/>
        <v>0</v>
      </c>
      <c r="O30" s="14">
        <f t="shared" si="2"/>
        <v>0</v>
      </c>
      <c r="P30" s="4">
        <f t="shared" si="2"/>
        <v>0</v>
      </c>
      <c r="Q30" s="4"/>
    </row>
    <row r="31" spans="2:17" x14ac:dyDescent="0.4">
      <c r="B31" s="26" t="s">
        <v>180</v>
      </c>
      <c r="C31" s="11">
        <v>13700</v>
      </c>
      <c r="D31" s="11">
        <v>13700</v>
      </c>
      <c r="E31" s="11">
        <v>13700</v>
      </c>
      <c r="F31" s="11">
        <v>13700</v>
      </c>
      <c r="G31" s="12">
        <v>0</v>
      </c>
      <c r="H31" s="13">
        <f t="shared" si="0"/>
        <v>0</v>
      </c>
      <c r="I31" s="13">
        <v>0</v>
      </c>
      <c r="J31" s="13">
        <v>0</v>
      </c>
      <c r="K31" s="14">
        <f t="shared" si="1"/>
        <v>0</v>
      </c>
      <c r="L31" s="13">
        <v>0</v>
      </c>
      <c r="M31" s="13">
        <v>0</v>
      </c>
      <c r="N31" s="14">
        <f t="shared" si="2"/>
        <v>0</v>
      </c>
      <c r="O31" s="14">
        <f t="shared" si="2"/>
        <v>0</v>
      </c>
      <c r="P31" s="4">
        <f t="shared" si="2"/>
        <v>0</v>
      </c>
      <c r="Q31" s="4"/>
    </row>
    <row r="32" spans="2:17" x14ac:dyDescent="0.4">
      <c r="B32" s="26" t="s">
        <v>181</v>
      </c>
      <c r="C32" s="11">
        <v>13700</v>
      </c>
      <c r="D32" s="11">
        <v>13700</v>
      </c>
      <c r="E32" s="11">
        <v>13700</v>
      </c>
      <c r="F32" s="11">
        <v>13700</v>
      </c>
      <c r="G32" s="12">
        <v>0</v>
      </c>
      <c r="H32" s="13">
        <f t="shared" si="0"/>
        <v>0</v>
      </c>
      <c r="I32" s="13">
        <v>0</v>
      </c>
      <c r="J32" s="13">
        <v>0</v>
      </c>
      <c r="K32" s="14">
        <f t="shared" si="1"/>
        <v>0</v>
      </c>
      <c r="L32" s="13">
        <v>0</v>
      </c>
      <c r="M32" s="13">
        <v>0</v>
      </c>
      <c r="N32" s="14">
        <f t="shared" si="2"/>
        <v>0</v>
      </c>
      <c r="O32" s="14">
        <f t="shared" si="2"/>
        <v>0</v>
      </c>
      <c r="P32" s="4">
        <f t="shared" si="2"/>
        <v>0</v>
      </c>
      <c r="Q32" s="4"/>
    </row>
    <row r="33" spans="2:17" x14ac:dyDescent="0.4">
      <c r="B33" s="26" t="s">
        <v>182</v>
      </c>
      <c r="C33" s="11">
        <v>13700</v>
      </c>
      <c r="D33" s="11">
        <v>13700</v>
      </c>
      <c r="E33" s="11">
        <v>13700</v>
      </c>
      <c r="F33" s="11">
        <v>13700</v>
      </c>
      <c r="G33" s="12">
        <v>0</v>
      </c>
      <c r="H33" s="13">
        <f t="shared" si="0"/>
        <v>0</v>
      </c>
      <c r="I33" s="13">
        <v>0</v>
      </c>
      <c r="J33" s="13">
        <v>0</v>
      </c>
      <c r="K33" s="14">
        <f t="shared" si="1"/>
        <v>0</v>
      </c>
      <c r="L33" s="13">
        <v>0</v>
      </c>
      <c r="M33" s="13">
        <v>0</v>
      </c>
      <c r="N33" s="14">
        <f t="shared" si="2"/>
        <v>0</v>
      </c>
      <c r="O33" s="14">
        <f t="shared" si="2"/>
        <v>0</v>
      </c>
      <c r="P33" s="4">
        <f t="shared" si="2"/>
        <v>0</v>
      </c>
      <c r="Q33" s="4"/>
    </row>
    <row r="34" spans="2:17" x14ac:dyDescent="0.4">
      <c r="B34" s="26" t="s">
        <v>183</v>
      </c>
      <c r="C34" s="11">
        <v>13700</v>
      </c>
      <c r="D34" s="11">
        <v>13700</v>
      </c>
      <c r="E34" s="11">
        <v>13700</v>
      </c>
      <c r="F34" s="11">
        <v>13700</v>
      </c>
      <c r="G34" s="12">
        <v>0</v>
      </c>
      <c r="H34" s="13">
        <f t="shared" si="0"/>
        <v>0</v>
      </c>
      <c r="I34" s="13">
        <v>0</v>
      </c>
      <c r="J34" s="13">
        <v>0</v>
      </c>
      <c r="K34" s="14">
        <f t="shared" si="1"/>
        <v>0</v>
      </c>
      <c r="L34" s="13">
        <v>0</v>
      </c>
      <c r="M34" s="13">
        <v>0</v>
      </c>
      <c r="N34" s="14">
        <f t="shared" si="2"/>
        <v>0</v>
      </c>
      <c r="O34" s="14">
        <f t="shared" si="2"/>
        <v>0</v>
      </c>
      <c r="P34" s="4">
        <f t="shared" si="2"/>
        <v>0</v>
      </c>
      <c r="Q34" s="4"/>
    </row>
    <row r="35" spans="2:17" x14ac:dyDescent="0.4">
      <c r="B35" s="26" t="s">
        <v>184</v>
      </c>
      <c r="C35" s="11">
        <v>13700</v>
      </c>
      <c r="D35" s="11">
        <v>13700</v>
      </c>
      <c r="E35" s="11">
        <v>13700</v>
      </c>
      <c r="F35" s="11">
        <v>13700</v>
      </c>
      <c r="G35" s="12">
        <v>0</v>
      </c>
      <c r="H35" s="13">
        <f t="shared" si="0"/>
        <v>0</v>
      </c>
      <c r="I35" s="13">
        <v>0</v>
      </c>
      <c r="J35" s="13">
        <v>0</v>
      </c>
      <c r="K35" s="14">
        <f t="shared" si="1"/>
        <v>0</v>
      </c>
      <c r="L35" s="13">
        <v>0</v>
      </c>
      <c r="M35" s="13">
        <v>0</v>
      </c>
      <c r="N35" s="14">
        <f t="shared" si="2"/>
        <v>0</v>
      </c>
      <c r="O35" s="14">
        <f t="shared" si="2"/>
        <v>0</v>
      </c>
      <c r="P35" s="4">
        <f t="shared" si="2"/>
        <v>0</v>
      </c>
      <c r="Q35" s="4"/>
    </row>
    <row r="36" spans="2:17" x14ac:dyDescent="0.4">
      <c r="B36" s="26" t="s">
        <v>185</v>
      </c>
      <c r="C36" s="11">
        <v>13700</v>
      </c>
      <c r="D36" s="11">
        <v>13700</v>
      </c>
      <c r="E36" s="11">
        <v>13700</v>
      </c>
      <c r="F36" s="11">
        <v>13700</v>
      </c>
      <c r="G36" s="12">
        <v>0</v>
      </c>
      <c r="H36" s="13">
        <f t="shared" si="0"/>
        <v>0</v>
      </c>
      <c r="I36" s="13">
        <v>0</v>
      </c>
      <c r="J36" s="13">
        <v>0</v>
      </c>
      <c r="K36" s="14">
        <f t="shared" si="1"/>
        <v>0</v>
      </c>
      <c r="L36" s="13">
        <v>0</v>
      </c>
      <c r="M36" s="13">
        <v>0</v>
      </c>
      <c r="N36" s="14">
        <f t="shared" si="2"/>
        <v>0</v>
      </c>
      <c r="O36" s="14">
        <f t="shared" si="2"/>
        <v>0</v>
      </c>
      <c r="P36" s="4">
        <f t="shared" si="2"/>
        <v>0</v>
      </c>
      <c r="Q36" s="4"/>
    </row>
    <row r="37" spans="2:17" x14ac:dyDescent="0.4">
      <c r="B37" s="26" t="s">
        <v>186</v>
      </c>
      <c r="C37" s="11">
        <v>13700</v>
      </c>
      <c r="D37" s="11">
        <v>13700</v>
      </c>
      <c r="E37" s="11">
        <v>13700</v>
      </c>
      <c r="F37" s="11">
        <v>13700</v>
      </c>
      <c r="G37" s="12">
        <v>0</v>
      </c>
      <c r="H37" s="13">
        <f t="shared" si="0"/>
        <v>0</v>
      </c>
      <c r="I37" s="13">
        <v>0</v>
      </c>
      <c r="J37" s="13">
        <v>0</v>
      </c>
      <c r="K37" s="14">
        <f t="shared" si="1"/>
        <v>0</v>
      </c>
      <c r="L37" s="13">
        <v>0</v>
      </c>
      <c r="M37" s="13">
        <v>0</v>
      </c>
      <c r="N37" s="14">
        <f t="shared" si="2"/>
        <v>0</v>
      </c>
      <c r="O37" s="14">
        <f t="shared" si="2"/>
        <v>0</v>
      </c>
      <c r="P37" s="4">
        <f t="shared" si="2"/>
        <v>0</v>
      </c>
      <c r="Q37" s="4"/>
    </row>
    <row r="38" spans="2:17" x14ac:dyDescent="0.4">
      <c r="B38" s="26" t="s">
        <v>187</v>
      </c>
      <c r="C38" s="11">
        <v>13700</v>
      </c>
      <c r="D38" s="11">
        <v>13700</v>
      </c>
      <c r="E38" s="11">
        <v>13700</v>
      </c>
      <c r="F38" s="11">
        <v>13700</v>
      </c>
      <c r="G38" s="12">
        <v>0</v>
      </c>
      <c r="H38" s="13">
        <f t="shared" si="0"/>
        <v>0</v>
      </c>
      <c r="I38" s="13">
        <v>0</v>
      </c>
      <c r="J38" s="13">
        <v>0</v>
      </c>
      <c r="K38" s="14">
        <f t="shared" si="1"/>
        <v>0</v>
      </c>
      <c r="L38" s="13">
        <v>0</v>
      </c>
      <c r="M38" s="13">
        <v>0</v>
      </c>
      <c r="N38" s="14">
        <f t="shared" si="2"/>
        <v>0</v>
      </c>
      <c r="O38" s="14">
        <f t="shared" si="2"/>
        <v>0</v>
      </c>
      <c r="P38" s="4">
        <f t="shared" si="2"/>
        <v>0</v>
      </c>
      <c r="Q38" s="4"/>
    </row>
    <row r="39" spans="2:17" x14ac:dyDescent="0.4">
      <c r="B39" s="26" t="s">
        <v>188</v>
      </c>
      <c r="C39" s="11">
        <v>13700</v>
      </c>
      <c r="D39" s="11">
        <v>13700</v>
      </c>
      <c r="E39" s="11">
        <v>13700</v>
      </c>
      <c r="F39" s="11">
        <v>13700</v>
      </c>
      <c r="G39" s="12">
        <v>0</v>
      </c>
      <c r="H39" s="13">
        <f t="shared" si="0"/>
        <v>0</v>
      </c>
      <c r="I39" s="13">
        <v>0</v>
      </c>
      <c r="J39" s="13">
        <v>0</v>
      </c>
      <c r="K39" s="14">
        <f t="shared" si="1"/>
        <v>0</v>
      </c>
      <c r="L39" s="13">
        <v>0</v>
      </c>
      <c r="M39" s="13">
        <v>0</v>
      </c>
      <c r="N39" s="14">
        <f t="shared" si="2"/>
        <v>0</v>
      </c>
      <c r="O39" s="14">
        <f t="shared" si="2"/>
        <v>0</v>
      </c>
      <c r="P39" s="4">
        <f t="shared" si="2"/>
        <v>0</v>
      </c>
      <c r="Q39" s="4"/>
    </row>
    <row r="40" spans="2:17" x14ac:dyDescent="0.4">
      <c r="B40" s="26" t="s">
        <v>189</v>
      </c>
      <c r="C40" s="11">
        <v>13700</v>
      </c>
      <c r="D40" s="11">
        <v>13700</v>
      </c>
      <c r="E40" s="11">
        <v>13700</v>
      </c>
      <c r="F40" s="11">
        <v>13700</v>
      </c>
      <c r="G40" s="12">
        <v>0</v>
      </c>
      <c r="H40" s="13">
        <f t="shared" si="0"/>
        <v>0</v>
      </c>
      <c r="I40" s="13">
        <v>0</v>
      </c>
      <c r="J40" s="13">
        <v>0</v>
      </c>
      <c r="K40" s="14">
        <f t="shared" si="1"/>
        <v>0</v>
      </c>
      <c r="L40" s="13">
        <v>0</v>
      </c>
      <c r="M40" s="13">
        <v>0</v>
      </c>
      <c r="N40" s="14">
        <f t="shared" si="2"/>
        <v>0</v>
      </c>
      <c r="O40" s="14">
        <f t="shared" si="2"/>
        <v>0</v>
      </c>
      <c r="P40" s="4">
        <f t="shared" si="2"/>
        <v>0</v>
      </c>
      <c r="Q40" s="4"/>
    </row>
    <row r="41" spans="2:17" x14ac:dyDescent="0.4">
      <c r="B41" s="26" t="s">
        <v>190</v>
      </c>
      <c r="C41" s="11">
        <v>13700</v>
      </c>
      <c r="D41" s="11">
        <v>13700</v>
      </c>
      <c r="E41" s="11">
        <v>13700</v>
      </c>
      <c r="F41" s="11">
        <v>13700</v>
      </c>
      <c r="G41" s="12">
        <v>0</v>
      </c>
      <c r="H41" s="13">
        <f t="shared" si="0"/>
        <v>0</v>
      </c>
      <c r="I41" s="13">
        <v>0</v>
      </c>
      <c r="J41" s="13">
        <v>0</v>
      </c>
      <c r="K41" s="14">
        <f t="shared" si="1"/>
        <v>0</v>
      </c>
      <c r="L41" s="13">
        <v>0</v>
      </c>
      <c r="M41" s="13">
        <v>0</v>
      </c>
      <c r="N41" s="14">
        <f t="shared" si="2"/>
        <v>0</v>
      </c>
      <c r="O41" s="14">
        <f t="shared" si="2"/>
        <v>0</v>
      </c>
      <c r="P41" s="4">
        <f t="shared" si="2"/>
        <v>0</v>
      </c>
      <c r="Q41" s="4"/>
    </row>
    <row r="42" spans="2:17" x14ac:dyDescent="0.4">
      <c r="B42" s="26" t="s">
        <v>191</v>
      </c>
      <c r="C42" s="11">
        <v>13700</v>
      </c>
      <c r="D42" s="11">
        <v>13700</v>
      </c>
      <c r="E42" s="11">
        <v>13700</v>
      </c>
      <c r="F42" s="11">
        <v>13700</v>
      </c>
      <c r="G42" s="12">
        <v>0</v>
      </c>
      <c r="H42" s="13">
        <f t="shared" si="0"/>
        <v>0</v>
      </c>
      <c r="I42" s="13">
        <v>0</v>
      </c>
      <c r="J42" s="13">
        <v>0</v>
      </c>
      <c r="K42" s="14">
        <f t="shared" si="1"/>
        <v>0</v>
      </c>
      <c r="L42" s="13">
        <v>0</v>
      </c>
      <c r="M42" s="13">
        <v>0</v>
      </c>
      <c r="N42" s="14">
        <f t="shared" si="2"/>
        <v>0</v>
      </c>
      <c r="O42" s="14">
        <f t="shared" si="2"/>
        <v>0</v>
      </c>
      <c r="P42" s="4">
        <f t="shared" si="2"/>
        <v>0</v>
      </c>
      <c r="Q42" s="4"/>
    </row>
    <row r="43" spans="2:17" x14ac:dyDescent="0.4">
      <c r="B43" s="26" t="s">
        <v>192</v>
      </c>
      <c r="C43" s="11">
        <v>13700</v>
      </c>
      <c r="D43" s="11">
        <v>13700</v>
      </c>
      <c r="E43" s="11">
        <v>13700</v>
      </c>
      <c r="F43" s="11">
        <v>13700</v>
      </c>
      <c r="G43" s="12">
        <v>0</v>
      </c>
      <c r="H43" s="13">
        <f t="shared" si="0"/>
        <v>0</v>
      </c>
      <c r="I43" s="13">
        <v>0</v>
      </c>
      <c r="J43" s="13">
        <v>0</v>
      </c>
      <c r="K43" s="14">
        <f t="shared" si="1"/>
        <v>0</v>
      </c>
      <c r="L43" s="13">
        <v>0</v>
      </c>
      <c r="M43" s="13">
        <v>0</v>
      </c>
      <c r="N43" s="14">
        <f t="shared" si="2"/>
        <v>0</v>
      </c>
      <c r="O43" s="14">
        <f t="shared" si="2"/>
        <v>0</v>
      </c>
      <c r="P43" s="4">
        <f t="shared" si="2"/>
        <v>0</v>
      </c>
      <c r="Q43" s="4"/>
    </row>
    <row r="44" spans="2:17" x14ac:dyDescent="0.4">
      <c r="B44" s="26" t="s">
        <v>193</v>
      </c>
      <c r="C44" s="11">
        <v>13700</v>
      </c>
      <c r="D44" s="11">
        <v>13700</v>
      </c>
      <c r="E44" s="11">
        <v>13700</v>
      </c>
      <c r="F44" s="11">
        <v>13700</v>
      </c>
      <c r="G44" s="12">
        <v>0</v>
      </c>
      <c r="H44" s="13">
        <f t="shared" si="0"/>
        <v>0</v>
      </c>
      <c r="I44" s="13">
        <v>0</v>
      </c>
      <c r="J44" s="13">
        <v>0</v>
      </c>
      <c r="K44" s="14">
        <f t="shared" si="1"/>
        <v>0</v>
      </c>
      <c r="L44" s="13">
        <v>0</v>
      </c>
      <c r="M44" s="13">
        <v>0</v>
      </c>
      <c r="N44" s="14">
        <f t="shared" si="2"/>
        <v>0</v>
      </c>
      <c r="O44" s="14">
        <f t="shared" si="2"/>
        <v>0</v>
      </c>
      <c r="P44" s="4">
        <f t="shared" si="2"/>
        <v>0</v>
      </c>
      <c r="Q44" s="4"/>
    </row>
    <row r="45" spans="2:17" x14ac:dyDescent="0.4">
      <c r="B45" s="26" t="s">
        <v>194</v>
      </c>
      <c r="C45" s="11">
        <v>13700</v>
      </c>
      <c r="D45" s="11">
        <v>13700</v>
      </c>
      <c r="E45" s="11">
        <v>13700</v>
      </c>
      <c r="F45" s="11">
        <v>13700</v>
      </c>
      <c r="G45" s="12">
        <v>0</v>
      </c>
      <c r="H45" s="13">
        <f t="shared" si="0"/>
        <v>0</v>
      </c>
      <c r="I45" s="13">
        <v>0</v>
      </c>
      <c r="J45" s="13">
        <v>0</v>
      </c>
      <c r="K45" s="14">
        <f t="shared" si="1"/>
        <v>0</v>
      </c>
      <c r="L45" s="13">
        <v>0</v>
      </c>
      <c r="M45" s="13">
        <v>0</v>
      </c>
      <c r="N45" s="14">
        <f t="shared" si="2"/>
        <v>0</v>
      </c>
      <c r="O45" s="14">
        <f t="shared" si="2"/>
        <v>0</v>
      </c>
      <c r="P45" s="4">
        <f t="shared" si="2"/>
        <v>0</v>
      </c>
      <c r="Q45" s="4"/>
    </row>
    <row r="46" spans="2:17" x14ac:dyDescent="0.4">
      <c r="B46" s="26" t="s">
        <v>195</v>
      </c>
      <c r="C46" s="11">
        <v>13700</v>
      </c>
      <c r="D46" s="11">
        <v>13700</v>
      </c>
      <c r="E46" s="11">
        <v>13700</v>
      </c>
      <c r="F46" s="11">
        <v>13700</v>
      </c>
      <c r="G46" s="12">
        <v>0</v>
      </c>
      <c r="H46" s="13">
        <f t="shared" si="0"/>
        <v>0</v>
      </c>
      <c r="I46" s="13">
        <v>0</v>
      </c>
      <c r="J46" s="13">
        <v>0</v>
      </c>
      <c r="K46" s="14">
        <f t="shared" si="1"/>
        <v>0</v>
      </c>
      <c r="L46" s="13">
        <v>0</v>
      </c>
      <c r="M46" s="13">
        <v>0</v>
      </c>
      <c r="N46" s="14">
        <f t="shared" si="2"/>
        <v>0</v>
      </c>
      <c r="O46" s="14">
        <f t="shared" si="2"/>
        <v>0</v>
      </c>
      <c r="P46" s="4">
        <f t="shared" si="2"/>
        <v>0</v>
      </c>
      <c r="Q46" s="4"/>
    </row>
    <row r="47" spans="2:17" x14ac:dyDescent="0.4">
      <c r="B47" s="26" t="s">
        <v>196</v>
      </c>
      <c r="C47" s="11">
        <v>13700</v>
      </c>
      <c r="D47" s="11">
        <v>13700</v>
      </c>
      <c r="E47" s="11">
        <v>13700</v>
      </c>
      <c r="F47" s="11">
        <v>13700</v>
      </c>
      <c r="G47" s="12">
        <v>0</v>
      </c>
      <c r="H47" s="13">
        <f t="shared" si="0"/>
        <v>0</v>
      </c>
      <c r="I47" s="13">
        <v>0</v>
      </c>
      <c r="J47" s="13">
        <v>0</v>
      </c>
      <c r="K47" s="14">
        <f t="shared" si="1"/>
        <v>0</v>
      </c>
      <c r="L47" s="13">
        <v>0</v>
      </c>
      <c r="M47" s="13">
        <v>0</v>
      </c>
      <c r="N47" s="14">
        <f t="shared" si="2"/>
        <v>0</v>
      </c>
      <c r="O47" s="14">
        <f t="shared" si="2"/>
        <v>0</v>
      </c>
      <c r="P47" s="4">
        <f t="shared" si="2"/>
        <v>0</v>
      </c>
      <c r="Q47" s="4"/>
    </row>
    <row r="48" spans="2:17" x14ac:dyDescent="0.4">
      <c r="B48" s="26" t="s">
        <v>197</v>
      </c>
      <c r="C48" s="11">
        <v>13700</v>
      </c>
      <c r="D48" s="11">
        <v>13700</v>
      </c>
      <c r="E48" s="11">
        <v>13700</v>
      </c>
      <c r="F48" s="11">
        <v>13700</v>
      </c>
      <c r="G48" s="12">
        <v>0</v>
      </c>
      <c r="H48" s="13">
        <f t="shared" si="0"/>
        <v>0</v>
      </c>
      <c r="I48" s="13">
        <v>0</v>
      </c>
      <c r="J48" s="13">
        <v>0</v>
      </c>
      <c r="K48" s="14">
        <f t="shared" si="1"/>
        <v>0</v>
      </c>
      <c r="L48" s="13">
        <v>0</v>
      </c>
      <c r="M48" s="13">
        <v>0</v>
      </c>
      <c r="N48" s="14">
        <f t="shared" si="2"/>
        <v>0</v>
      </c>
      <c r="O48" s="14">
        <f t="shared" si="2"/>
        <v>0</v>
      </c>
      <c r="P48" s="4">
        <f t="shared" si="2"/>
        <v>0</v>
      </c>
      <c r="Q48" s="4"/>
    </row>
    <row r="49" spans="2:17" x14ac:dyDescent="0.4">
      <c r="B49" s="26" t="s">
        <v>198</v>
      </c>
      <c r="C49" s="11">
        <v>13700</v>
      </c>
      <c r="D49" s="11">
        <v>13700</v>
      </c>
      <c r="E49" s="11">
        <v>13700</v>
      </c>
      <c r="F49" s="11">
        <v>13700</v>
      </c>
      <c r="G49" s="12">
        <v>0</v>
      </c>
      <c r="H49" s="13">
        <f t="shared" si="0"/>
        <v>0</v>
      </c>
      <c r="I49" s="13">
        <v>0</v>
      </c>
      <c r="J49" s="13">
        <v>0</v>
      </c>
      <c r="K49" s="14">
        <f t="shared" si="1"/>
        <v>0</v>
      </c>
      <c r="L49" s="13">
        <v>0</v>
      </c>
      <c r="M49" s="13">
        <v>0</v>
      </c>
      <c r="N49" s="14">
        <f t="shared" si="2"/>
        <v>0</v>
      </c>
      <c r="O49" s="14">
        <f t="shared" si="2"/>
        <v>0</v>
      </c>
      <c r="P49" s="4">
        <f t="shared" si="2"/>
        <v>0</v>
      </c>
      <c r="Q49" s="4"/>
    </row>
    <row r="50" spans="2:17" x14ac:dyDescent="0.4">
      <c r="B50" s="26" t="s">
        <v>199</v>
      </c>
      <c r="C50" s="11">
        <v>13700</v>
      </c>
      <c r="D50" s="11">
        <v>13700</v>
      </c>
      <c r="E50" s="11">
        <v>13700</v>
      </c>
      <c r="F50" s="11">
        <v>13700</v>
      </c>
      <c r="G50" s="12">
        <v>0</v>
      </c>
      <c r="H50" s="13">
        <f t="shared" si="0"/>
        <v>0</v>
      </c>
      <c r="I50" s="13">
        <v>0</v>
      </c>
      <c r="J50" s="13">
        <v>0</v>
      </c>
      <c r="K50" s="14">
        <f t="shared" si="1"/>
        <v>0</v>
      </c>
      <c r="L50" s="13">
        <v>0</v>
      </c>
      <c r="M50" s="13">
        <v>0</v>
      </c>
      <c r="N50" s="14">
        <f t="shared" si="2"/>
        <v>0</v>
      </c>
      <c r="O50" s="14">
        <f t="shared" si="2"/>
        <v>0</v>
      </c>
      <c r="P50" s="4">
        <f t="shared" si="2"/>
        <v>0</v>
      </c>
      <c r="Q50" s="4"/>
    </row>
    <row r="51" spans="2:17" x14ac:dyDescent="0.4">
      <c r="B51" s="26" t="s">
        <v>200</v>
      </c>
      <c r="C51" s="11">
        <v>13700</v>
      </c>
      <c r="D51" s="11">
        <v>13700</v>
      </c>
      <c r="E51" s="11">
        <v>13700</v>
      </c>
      <c r="F51" s="11">
        <v>13700</v>
      </c>
      <c r="G51" s="12">
        <v>0</v>
      </c>
      <c r="H51" s="13">
        <f t="shared" si="0"/>
        <v>0</v>
      </c>
      <c r="I51" s="13">
        <v>0</v>
      </c>
      <c r="J51" s="13">
        <v>0</v>
      </c>
      <c r="K51" s="14">
        <f t="shared" si="1"/>
        <v>0</v>
      </c>
      <c r="L51" s="13">
        <v>0</v>
      </c>
      <c r="M51" s="13">
        <v>0</v>
      </c>
      <c r="N51" s="14">
        <f t="shared" si="2"/>
        <v>0</v>
      </c>
      <c r="O51" s="14">
        <f t="shared" si="2"/>
        <v>0</v>
      </c>
      <c r="P51" s="4">
        <f t="shared" si="2"/>
        <v>0</v>
      </c>
      <c r="Q51" s="4"/>
    </row>
    <row r="52" spans="2:17" x14ac:dyDescent="0.4">
      <c r="B52" s="26" t="s">
        <v>201</v>
      </c>
      <c r="C52" s="11">
        <v>13700</v>
      </c>
      <c r="D52" s="11">
        <v>13700</v>
      </c>
      <c r="E52" s="11">
        <v>13700</v>
      </c>
      <c r="F52" s="11">
        <v>13700</v>
      </c>
      <c r="G52" s="12">
        <v>0</v>
      </c>
      <c r="H52" s="13">
        <f t="shared" si="0"/>
        <v>0</v>
      </c>
      <c r="I52" s="13">
        <v>0</v>
      </c>
      <c r="J52" s="13">
        <v>0</v>
      </c>
      <c r="K52" s="14">
        <f t="shared" si="1"/>
        <v>0</v>
      </c>
      <c r="L52" s="13">
        <v>0</v>
      </c>
      <c r="M52" s="13">
        <v>0</v>
      </c>
      <c r="N52" s="14">
        <f t="shared" si="2"/>
        <v>0</v>
      </c>
      <c r="O52" s="14">
        <f t="shared" si="2"/>
        <v>0</v>
      </c>
      <c r="P52" s="4">
        <f t="shared" si="2"/>
        <v>0</v>
      </c>
      <c r="Q52" s="4"/>
    </row>
    <row r="53" spans="2:17" x14ac:dyDescent="0.4">
      <c r="B53" s="26" t="s">
        <v>202</v>
      </c>
      <c r="C53" s="11">
        <v>13700</v>
      </c>
      <c r="D53" s="11">
        <v>13700</v>
      </c>
      <c r="E53" s="11">
        <v>13700</v>
      </c>
      <c r="F53" s="11">
        <v>13700</v>
      </c>
      <c r="G53" s="12">
        <v>0</v>
      </c>
      <c r="H53" s="13">
        <f t="shared" si="0"/>
        <v>0</v>
      </c>
      <c r="I53" s="13">
        <v>0</v>
      </c>
      <c r="J53" s="13">
        <v>0</v>
      </c>
      <c r="K53" s="14">
        <f t="shared" si="1"/>
        <v>0</v>
      </c>
      <c r="L53" s="13">
        <v>0</v>
      </c>
      <c r="M53" s="13">
        <v>0</v>
      </c>
      <c r="N53" s="14">
        <f t="shared" si="2"/>
        <v>0</v>
      </c>
      <c r="O53" s="14">
        <f t="shared" si="2"/>
        <v>0</v>
      </c>
      <c r="P53" s="4">
        <f t="shared" si="2"/>
        <v>0</v>
      </c>
      <c r="Q53" s="4"/>
    </row>
    <row r="54" spans="2:17" x14ac:dyDescent="0.4">
      <c r="B54" s="26" t="s">
        <v>203</v>
      </c>
      <c r="C54" s="11">
        <v>13700</v>
      </c>
      <c r="D54" s="11">
        <v>13700</v>
      </c>
      <c r="E54" s="11">
        <v>13700</v>
      </c>
      <c r="F54" s="11">
        <v>13700</v>
      </c>
      <c r="G54" s="12">
        <v>0</v>
      </c>
      <c r="H54" s="13">
        <f t="shared" si="0"/>
        <v>0</v>
      </c>
      <c r="I54" s="13">
        <v>0</v>
      </c>
      <c r="J54" s="13">
        <v>0</v>
      </c>
      <c r="K54" s="14">
        <f t="shared" si="1"/>
        <v>0</v>
      </c>
      <c r="L54" s="13">
        <v>0</v>
      </c>
      <c r="M54" s="13">
        <v>0</v>
      </c>
      <c r="N54" s="14">
        <f t="shared" si="2"/>
        <v>0</v>
      </c>
      <c r="O54" s="14">
        <f t="shared" si="2"/>
        <v>0</v>
      </c>
      <c r="P54" s="4">
        <f t="shared" si="2"/>
        <v>0</v>
      </c>
      <c r="Q54" s="4"/>
    </row>
    <row r="55" spans="2:17" x14ac:dyDescent="0.4">
      <c r="B55" s="26" t="s">
        <v>204</v>
      </c>
      <c r="C55" s="11">
        <v>13700</v>
      </c>
      <c r="D55" s="11">
        <v>13700</v>
      </c>
      <c r="E55" s="11">
        <v>13700</v>
      </c>
      <c r="F55" s="11">
        <v>13700</v>
      </c>
      <c r="G55" s="12">
        <v>0</v>
      </c>
      <c r="H55" s="13">
        <f t="shared" si="0"/>
        <v>0</v>
      </c>
      <c r="I55" s="13">
        <v>0</v>
      </c>
      <c r="J55" s="13">
        <v>0</v>
      </c>
      <c r="K55" s="14">
        <f t="shared" si="1"/>
        <v>0</v>
      </c>
      <c r="L55" s="13">
        <v>0</v>
      </c>
      <c r="M55" s="13">
        <v>0</v>
      </c>
      <c r="N55" s="14">
        <f t="shared" si="2"/>
        <v>0</v>
      </c>
      <c r="O55" s="14">
        <f t="shared" si="2"/>
        <v>0</v>
      </c>
      <c r="P55" s="4">
        <f t="shared" si="2"/>
        <v>0</v>
      </c>
      <c r="Q55" s="4"/>
    </row>
    <row r="56" spans="2:17" x14ac:dyDescent="0.4">
      <c r="B56" s="26" t="s">
        <v>205</v>
      </c>
      <c r="C56" s="11">
        <v>13700</v>
      </c>
      <c r="D56" s="11">
        <v>13700</v>
      </c>
      <c r="E56" s="11">
        <v>13700</v>
      </c>
      <c r="F56" s="11">
        <v>13700</v>
      </c>
      <c r="G56" s="12">
        <v>0</v>
      </c>
      <c r="H56" s="13">
        <f t="shared" si="0"/>
        <v>0</v>
      </c>
      <c r="I56" s="13">
        <v>0</v>
      </c>
      <c r="J56" s="13">
        <v>0</v>
      </c>
      <c r="K56" s="14">
        <f t="shared" si="1"/>
        <v>0</v>
      </c>
      <c r="L56" s="13">
        <v>0</v>
      </c>
      <c r="M56" s="13">
        <v>0</v>
      </c>
      <c r="N56" s="14">
        <f t="shared" si="2"/>
        <v>0</v>
      </c>
      <c r="O56" s="14">
        <f t="shared" si="2"/>
        <v>0</v>
      </c>
      <c r="P56" s="4">
        <f t="shared" si="2"/>
        <v>0</v>
      </c>
      <c r="Q56" s="4"/>
    </row>
    <row r="57" spans="2:17" x14ac:dyDescent="0.4">
      <c r="B57" s="26" t="s">
        <v>206</v>
      </c>
      <c r="C57" s="11">
        <v>13700</v>
      </c>
      <c r="D57" s="11">
        <v>13700</v>
      </c>
      <c r="E57" s="11">
        <v>13700</v>
      </c>
      <c r="F57" s="11">
        <v>13700</v>
      </c>
      <c r="G57" s="12">
        <v>0</v>
      </c>
      <c r="H57" s="13">
        <f t="shared" si="0"/>
        <v>0</v>
      </c>
      <c r="I57" s="13">
        <v>0</v>
      </c>
      <c r="J57" s="13">
        <v>0</v>
      </c>
      <c r="K57" s="14">
        <f t="shared" si="1"/>
        <v>0</v>
      </c>
      <c r="L57" s="13">
        <v>0</v>
      </c>
      <c r="M57" s="13">
        <v>0</v>
      </c>
      <c r="N57" s="14">
        <f t="shared" si="2"/>
        <v>0</v>
      </c>
      <c r="O57" s="14">
        <f t="shared" si="2"/>
        <v>0</v>
      </c>
      <c r="P57" s="4">
        <f t="shared" si="2"/>
        <v>0</v>
      </c>
      <c r="Q57" s="4"/>
    </row>
    <row r="58" spans="2:17" x14ac:dyDescent="0.4">
      <c r="B58" s="26" t="s">
        <v>207</v>
      </c>
      <c r="C58" s="11">
        <v>13700</v>
      </c>
      <c r="D58" s="11">
        <v>13700</v>
      </c>
      <c r="E58" s="11">
        <v>13700</v>
      </c>
      <c r="F58" s="11">
        <v>13700</v>
      </c>
      <c r="G58" s="12">
        <v>0</v>
      </c>
      <c r="H58" s="13">
        <f t="shared" si="0"/>
        <v>0</v>
      </c>
      <c r="I58" s="13">
        <v>0</v>
      </c>
      <c r="J58" s="13">
        <v>0</v>
      </c>
      <c r="K58" s="14">
        <f t="shared" si="1"/>
        <v>0</v>
      </c>
      <c r="L58" s="13">
        <v>0</v>
      </c>
      <c r="M58" s="13">
        <v>0</v>
      </c>
      <c r="N58" s="14">
        <f t="shared" si="2"/>
        <v>0</v>
      </c>
      <c r="O58" s="14">
        <f t="shared" si="2"/>
        <v>0</v>
      </c>
      <c r="P58" s="4">
        <f t="shared" si="2"/>
        <v>0</v>
      </c>
      <c r="Q58" s="4"/>
    </row>
    <row r="59" spans="2:17" x14ac:dyDescent="0.4">
      <c r="B59" s="26" t="s">
        <v>208</v>
      </c>
      <c r="C59" s="11">
        <v>13700</v>
      </c>
      <c r="D59" s="11">
        <v>13700</v>
      </c>
      <c r="E59" s="11">
        <v>13700</v>
      </c>
      <c r="F59" s="11">
        <v>13700</v>
      </c>
      <c r="G59" s="12">
        <v>0</v>
      </c>
      <c r="H59" s="13">
        <f t="shared" si="0"/>
        <v>0</v>
      </c>
      <c r="I59" s="13">
        <v>0</v>
      </c>
      <c r="J59" s="13">
        <v>0</v>
      </c>
      <c r="K59" s="14">
        <f t="shared" si="1"/>
        <v>0</v>
      </c>
      <c r="L59" s="13">
        <v>0</v>
      </c>
      <c r="M59" s="13">
        <v>0</v>
      </c>
      <c r="N59" s="14">
        <f t="shared" si="2"/>
        <v>0</v>
      </c>
      <c r="O59" s="14">
        <f t="shared" si="2"/>
        <v>0</v>
      </c>
      <c r="P59" s="4">
        <f t="shared" si="2"/>
        <v>0</v>
      </c>
      <c r="Q59" s="4"/>
    </row>
    <row r="60" spans="2:17" x14ac:dyDescent="0.4">
      <c r="B60" s="26" t="s">
        <v>209</v>
      </c>
      <c r="C60" s="11">
        <v>13700</v>
      </c>
      <c r="D60" s="11">
        <v>13700</v>
      </c>
      <c r="E60" s="11">
        <v>13700</v>
      </c>
      <c r="F60" s="11">
        <v>13700</v>
      </c>
      <c r="G60" s="12">
        <v>0</v>
      </c>
      <c r="H60" s="13">
        <f t="shared" si="0"/>
        <v>0</v>
      </c>
      <c r="I60" s="13">
        <v>0</v>
      </c>
      <c r="J60" s="13">
        <v>0</v>
      </c>
      <c r="K60" s="14">
        <f t="shared" si="1"/>
        <v>0</v>
      </c>
      <c r="L60" s="13">
        <v>0</v>
      </c>
      <c r="M60" s="13">
        <v>0</v>
      </c>
      <c r="N60" s="14">
        <f t="shared" si="2"/>
        <v>0</v>
      </c>
      <c r="O60" s="14">
        <f t="shared" si="2"/>
        <v>0</v>
      </c>
      <c r="P60" s="4">
        <f t="shared" si="2"/>
        <v>0</v>
      </c>
      <c r="Q60" s="4"/>
    </row>
    <row r="61" spans="2:17" x14ac:dyDescent="0.4">
      <c r="B61" s="26" t="s">
        <v>210</v>
      </c>
      <c r="C61" s="11">
        <v>13700</v>
      </c>
      <c r="D61" s="11">
        <v>13700</v>
      </c>
      <c r="E61" s="11">
        <v>13700</v>
      </c>
      <c r="F61" s="11">
        <v>13700</v>
      </c>
      <c r="G61" s="12">
        <v>0</v>
      </c>
      <c r="H61" s="13">
        <f t="shared" si="0"/>
        <v>0</v>
      </c>
      <c r="I61" s="13">
        <v>0</v>
      </c>
      <c r="J61" s="13">
        <v>0</v>
      </c>
      <c r="K61" s="14">
        <f t="shared" si="1"/>
        <v>0</v>
      </c>
      <c r="L61" s="13">
        <v>0</v>
      </c>
      <c r="M61" s="13">
        <v>0</v>
      </c>
      <c r="N61" s="14">
        <f t="shared" si="2"/>
        <v>0</v>
      </c>
      <c r="O61" s="14">
        <f t="shared" si="2"/>
        <v>0</v>
      </c>
      <c r="P61" s="4">
        <f t="shared" si="2"/>
        <v>0</v>
      </c>
      <c r="Q61" s="4"/>
    </row>
    <row r="62" spans="2:17" x14ac:dyDescent="0.4">
      <c r="B62" s="26" t="s">
        <v>211</v>
      </c>
      <c r="C62" s="11">
        <v>13700</v>
      </c>
      <c r="D62" s="11">
        <v>13700</v>
      </c>
      <c r="E62" s="11">
        <v>13700</v>
      </c>
      <c r="F62" s="11">
        <v>13700</v>
      </c>
      <c r="G62" s="12">
        <v>0</v>
      </c>
      <c r="H62" s="13">
        <f t="shared" si="0"/>
        <v>0</v>
      </c>
      <c r="I62" s="13">
        <v>0</v>
      </c>
      <c r="J62" s="13">
        <v>0</v>
      </c>
      <c r="K62" s="14">
        <f t="shared" si="1"/>
        <v>0</v>
      </c>
      <c r="L62" s="13">
        <v>0</v>
      </c>
      <c r="M62" s="13">
        <v>0</v>
      </c>
      <c r="N62" s="14">
        <f t="shared" si="2"/>
        <v>0</v>
      </c>
      <c r="O62" s="14">
        <f t="shared" si="2"/>
        <v>0</v>
      </c>
      <c r="P62" s="4">
        <f t="shared" si="2"/>
        <v>0</v>
      </c>
      <c r="Q62" s="4"/>
    </row>
    <row r="63" spans="2:17" x14ac:dyDescent="0.4">
      <c r="B63" s="26" t="s">
        <v>212</v>
      </c>
      <c r="C63" s="11">
        <v>13700</v>
      </c>
      <c r="D63" s="11">
        <v>13700</v>
      </c>
      <c r="E63" s="11">
        <v>13700</v>
      </c>
      <c r="F63" s="11">
        <v>13700</v>
      </c>
      <c r="G63" s="12">
        <v>0</v>
      </c>
      <c r="H63" s="13">
        <f t="shared" si="0"/>
        <v>0</v>
      </c>
      <c r="I63" s="13">
        <v>0</v>
      </c>
      <c r="J63" s="13">
        <v>0</v>
      </c>
      <c r="K63" s="14">
        <f t="shared" si="1"/>
        <v>0</v>
      </c>
      <c r="L63" s="13">
        <v>0</v>
      </c>
      <c r="M63" s="13">
        <v>0</v>
      </c>
      <c r="N63" s="14">
        <f t="shared" si="2"/>
        <v>0</v>
      </c>
      <c r="O63" s="14">
        <f t="shared" si="2"/>
        <v>0</v>
      </c>
      <c r="P63" s="4">
        <f t="shared" si="2"/>
        <v>0</v>
      </c>
      <c r="Q63" s="4"/>
    </row>
    <row r="64" spans="2:17" x14ac:dyDescent="0.4">
      <c r="B64" s="26" t="s">
        <v>213</v>
      </c>
      <c r="C64" s="11">
        <v>13700</v>
      </c>
      <c r="D64" s="11">
        <v>13700</v>
      </c>
      <c r="E64" s="11">
        <v>13700</v>
      </c>
      <c r="F64" s="11">
        <v>13700</v>
      </c>
      <c r="G64" s="12">
        <v>0</v>
      </c>
      <c r="H64" s="13">
        <f t="shared" si="0"/>
        <v>0</v>
      </c>
      <c r="I64" s="13">
        <v>0</v>
      </c>
      <c r="J64" s="13">
        <v>0</v>
      </c>
      <c r="K64" s="14">
        <f t="shared" si="1"/>
        <v>0</v>
      </c>
      <c r="L64" s="13">
        <v>0</v>
      </c>
      <c r="M64" s="13">
        <v>0</v>
      </c>
      <c r="N64" s="14">
        <f t="shared" si="2"/>
        <v>0</v>
      </c>
      <c r="O64" s="14">
        <f t="shared" si="2"/>
        <v>0</v>
      </c>
      <c r="P64" s="4">
        <f t="shared" si="2"/>
        <v>0</v>
      </c>
      <c r="Q64" s="4"/>
    </row>
    <row r="65" spans="2:17" x14ac:dyDescent="0.4">
      <c r="B65" s="26" t="s">
        <v>214</v>
      </c>
      <c r="C65" s="11">
        <v>13700</v>
      </c>
      <c r="D65" s="11">
        <v>13700</v>
      </c>
      <c r="E65" s="11">
        <v>13700</v>
      </c>
      <c r="F65" s="11">
        <v>13700</v>
      </c>
      <c r="G65" s="12">
        <v>0</v>
      </c>
      <c r="H65" s="13">
        <f t="shared" si="0"/>
        <v>0</v>
      </c>
      <c r="I65" s="13">
        <v>0</v>
      </c>
      <c r="J65" s="13">
        <v>0</v>
      </c>
      <c r="K65" s="14">
        <f t="shared" si="1"/>
        <v>0</v>
      </c>
      <c r="L65" s="13">
        <v>0</v>
      </c>
      <c r="M65" s="13">
        <v>0</v>
      </c>
      <c r="N65" s="14">
        <f t="shared" si="2"/>
        <v>0</v>
      </c>
      <c r="O65" s="14">
        <f t="shared" si="2"/>
        <v>0</v>
      </c>
      <c r="P65" s="4">
        <f t="shared" si="2"/>
        <v>0</v>
      </c>
      <c r="Q65" s="4"/>
    </row>
    <row r="66" spans="2:17" x14ac:dyDescent="0.4">
      <c r="B66" s="26" t="s">
        <v>215</v>
      </c>
      <c r="C66" s="11">
        <v>13700</v>
      </c>
      <c r="D66" s="11">
        <v>13700</v>
      </c>
      <c r="E66" s="11">
        <v>13700</v>
      </c>
      <c r="F66" s="11">
        <v>13700</v>
      </c>
      <c r="G66" s="12">
        <v>0</v>
      </c>
      <c r="H66" s="13">
        <f t="shared" si="0"/>
        <v>0</v>
      </c>
      <c r="I66" s="13">
        <v>0</v>
      </c>
      <c r="J66" s="13">
        <v>0</v>
      </c>
      <c r="K66" s="14">
        <f t="shared" si="1"/>
        <v>0</v>
      </c>
      <c r="L66" s="13">
        <v>0</v>
      </c>
      <c r="M66" s="13">
        <v>0</v>
      </c>
      <c r="N66" s="14">
        <f t="shared" si="2"/>
        <v>0</v>
      </c>
      <c r="O66" s="14">
        <f t="shared" si="2"/>
        <v>0</v>
      </c>
      <c r="P66" s="4">
        <f t="shared" si="2"/>
        <v>0</v>
      </c>
      <c r="Q66" s="4"/>
    </row>
    <row r="67" spans="2:17" x14ac:dyDescent="0.4">
      <c r="B67" s="26" t="s">
        <v>216</v>
      </c>
      <c r="C67" s="11">
        <v>13700</v>
      </c>
      <c r="D67" s="11">
        <v>13700</v>
      </c>
      <c r="E67" s="11">
        <v>13700</v>
      </c>
      <c r="F67" s="11">
        <v>13700</v>
      </c>
      <c r="G67" s="12">
        <v>0</v>
      </c>
      <c r="H67" s="13">
        <f t="shared" si="0"/>
        <v>0</v>
      </c>
      <c r="I67" s="13">
        <v>0</v>
      </c>
      <c r="J67" s="13">
        <v>0</v>
      </c>
      <c r="K67" s="14">
        <f t="shared" si="1"/>
        <v>0</v>
      </c>
      <c r="L67" s="13">
        <v>0</v>
      </c>
      <c r="M67" s="13">
        <v>0</v>
      </c>
      <c r="N67" s="14">
        <f t="shared" si="2"/>
        <v>0</v>
      </c>
      <c r="O67" s="14">
        <f t="shared" si="2"/>
        <v>0</v>
      </c>
      <c r="P67" s="4">
        <f t="shared" si="2"/>
        <v>0</v>
      </c>
      <c r="Q67" s="4"/>
    </row>
    <row r="68" spans="2:17" x14ac:dyDescent="0.4">
      <c r="B68" s="26" t="s">
        <v>217</v>
      </c>
      <c r="C68" s="11">
        <v>13700</v>
      </c>
      <c r="D68" s="11">
        <v>13700</v>
      </c>
      <c r="E68" s="11">
        <v>13700</v>
      </c>
      <c r="F68" s="11">
        <v>13700</v>
      </c>
      <c r="G68" s="12">
        <v>0</v>
      </c>
      <c r="H68" s="13">
        <f t="shared" si="0"/>
        <v>0</v>
      </c>
      <c r="I68" s="13">
        <v>0</v>
      </c>
      <c r="J68" s="13">
        <v>0</v>
      </c>
      <c r="K68" s="14">
        <f t="shared" si="1"/>
        <v>0</v>
      </c>
      <c r="L68" s="13">
        <v>0</v>
      </c>
      <c r="M68" s="13">
        <v>0</v>
      </c>
      <c r="N68" s="14">
        <f t="shared" si="2"/>
        <v>0</v>
      </c>
      <c r="O68" s="14">
        <f t="shared" si="2"/>
        <v>0</v>
      </c>
      <c r="P68" s="4">
        <f t="shared" si="2"/>
        <v>0</v>
      </c>
      <c r="Q68" s="4"/>
    </row>
    <row r="69" spans="2:17" x14ac:dyDescent="0.4">
      <c r="B69" s="26" t="s">
        <v>218</v>
      </c>
      <c r="C69" s="11">
        <v>13700</v>
      </c>
      <c r="D69" s="11">
        <v>13700</v>
      </c>
      <c r="E69" s="11">
        <v>13700</v>
      </c>
      <c r="F69" s="11">
        <v>13700</v>
      </c>
      <c r="G69" s="12">
        <v>0</v>
      </c>
      <c r="H69" s="13">
        <f t="shared" si="0"/>
        <v>0</v>
      </c>
      <c r="I69" s="13">
        <v>0</v>
      </c>
      <c r="J69" s="13">
        <v>0</v>
      </c>
      <c r="K69" s="14">
        <f t="shared" si="1"/>
        <v>0</v>
      </c>
      <c r="L69" s="13">
        <v>0</v>
      </c>
      <c r="M69" s="13">
        <v>0</v>
      </c>
      <c r="N69" s="14">
        <f t="shared" si="2"/>
        <v>0</v>
      </c>
      <c r="O69" s="14">
        <f t="shared" si="2"/>
        <v>0</v>
      </c>
      <c r="P69" s="4">
        <f t="shared" si="2"/>
        <v>0</v>
      </c>
      <c r="Q69" s="4"/>
    </row>
    <row r="70" spans="2:17" x14ac:dyDescent="0.4">
      <c r="B70" s="26" t="s">
        <v>219</v>
      </c>
      <c r="C70" s="11">
        <v>13700</v>
      </c>
      <c r="D70" s="11">
        <v>13700</v>
      </c>
      <c r="E70" s="11">
        <v>13700</v>
      </c>
      <c r="F70" s="11">
        <v>13700</v>
      </c>
      <c r="G70" s="12">
        <v>0</v>
      </c>
      <c r="H70" s="13">
        <f t="shared" si="0"/>
        <v>0</v>
      </c>
      <c r="I70" s="13">
        <v>0</v>
      </c>
      <c r="J70" s="13">
        <v>0</v>
      </c>
      <c r="K70" s="14">
        <f t="shared" si="1"/>
        <v>0</v>
      </c>
      <c r="L70" s="13">
        <v>0</v>
      </c>
      <c r="M70" s="13">
        <v>0</v>
      </c>
      <c r="N70" s="14">
        <f t="shared" si="2"/>
        <v>0</v>
      </c>
      <c r="O70" s="14">
        <f t="shared" si="2"/>
        <v>0</v>
      </c>
      <c r="P70" s="4">
        <f t="shared" si="2"/>
        <v>0</v>
      </c>
      <c r="Q70" s="4"/>
    </row>
    <row r="71" spans="2:17" x14ac:dyDescent="0.4">
      <c r="B71" s="26" t="s">
        <v>220</v>
      </c>
      <c r="C71" s="11">
        <v>13700</v>
      </c>
      <c r="D71" s="11">
        <v>13700</v>
      </c>
      <c r="E71" s="11">
        <v>13700</v>
      </c>
      <c r="F71" s="11">
        <v>13700</v>
      </c>
      <c r="G71" s="12">
        <v>0</v>
      </c>
      <c r="H71" s="13">
        <f t="shared" ref="H71:H134" si="3">J71-I71</f>
        <v>0</v>
      </c>
      <c r="I71" s="13">
        <v>0</v>
      </c>
      <c r="J71" s="13">
        <v>0</v>
      </c>
      <c r="K71" s="14">
        <f t="shared" ref="K71:K134" si="4">M71-L71</f>
        <v>0</v>
      </c>
      <c r="L71" s="13">
        <v>0</v>
      </c>
      <c r="M71" s="13">
        <v>0</v>
      </c>
      <c r="N71" s="14">
        <f t="shared" ref="N71:P134" si="5">IFERROR(K71/H71,0)</f>
        <v>0</v>
      </c>
      <c r="O71" s="14">
        <f t="shared" si="5"/>
        <v>0</v>
      </c>
      <c r="P71" s="4">
        <f t="shared" si="5"/>
        <v>0</v>
      </c>
      <c r="Q71" s="4"/>
    </row>
    <row r="72" spans="2:17" x14ac:dyDescent="0.4">
      <c r="B72" s="26" t="s">
        <v>221</v>
      </c>
      <c r="C72" s="11">
        <v>13700</v>
      </c>
      <c r="D72" s="11">
        <v>13700</v>
      </c>
      <c r="E72" s="11">
        <v>13700</v>
      </c>
      <c r="F72" s="11">
        <v>13700</v>
      </c>
      <c r="G72" s="12">
        <v>0</v>
      </c>
      <c r="H72" s="13">
        <f t="shared" si="3"/>
        <v>0</v>
      </c>
      <c r="I72" s="13">
        <v>0</v>
      </c>
      <c r="J72" s="13">
        <v>0</v>
      </c>
      <c r="K72" s="14">
        <f t="shared" si="4"/>
        <v>0</v>
      </c>
      <c r="L72" s="13">
        <v>0</v>
      </c>
      <c r="M72" s="13">
        <v>0</v>
      </c>
      <c r="N72" s="14">
        <f t="shared" si="5"/>
        <v>0</v>
      </c>
      <c r="O72" s="14">
        <f t="shared" si="5"/>
        <v>0</v>
      </c>
      <c r="P72" s="4">
        <f t="shared" si="5"/>
        <v>0</v>
      </c>
      <c r="Q72" s="4"/>
    </row>
    <row r="73" spans="2:17" x14ac:dyDescent="0.4">
      <c r="B73" s="26" t="s">
        <v>222</v>
      </c>
      <c r="C73" s="11">
        <v>13700</v>
      </c>
      <c r="D73" s="11">
        <v>13700</v>
      </c>
      <c r="E73" s="11">
        <v>13700</v>
      </c>
      <c r="F73" s="11">
        <v>13700</v>
      </c>
      <c r="G73" s="12">
        <v>0</v>
      </c>
      <c r="H73" s="13">
        <f t="shared" si="3"/>
        <v>0</v>
      </c>
      <c r="I73" s="13">
        <v>0</v>
      </c>
      <c r="J73" s="13">
        <v>0</v>
      </c>
      <c r="K73" s="14">
        <f t="shared" si="4"/>
        <v>0</v>
      </c>
      <c r="L73" s="13">
        <v>0</v>
      </c>
      <c r="M73" s="13">
        <v>0</v>
      </c>
      <c r="N73" s="14">
        <f t="shared" si="5"/>
        <v>0</v>
      </c>
      <c r="O73" s="14">
        <f t="shared" si="5"/>
        <v>0</v>
      </c>
      <c r="P73" s="4">
        <f t="shared" si="5"/>
        <v>0</v>
      </c>
      <c r="Q73" s="4"/>
    </row>
    <row r="74" spans="2:17" x14ac:dyDescent="0.4">
      <c r="B74" s="26" t="s">
        <v>223</v>
      </c>
      <c r="C74" s="11">
        <v>13700</v>
      </c>
      <c r="D74" s="11">
        <v>13700</v>
      </c>
      <c r="E74" s="11">
        <v>13700</v>
      </c>
      <c r="F74" s="11">
        <v>13700</v>
      </c>
      <c r="G74" s="12">
        <v>0</v>
      </c>
      <c r="H74" s="13">
        <f t="shared" si="3"/>
        <v>0</v>
      </c>
      <c r="I74" s="13">
        <v>0</v>
      </c>
      <c r="J74" s="13">
        <v>0</v>
      </c>
      <c r="K74" s="14">
        <f t="shared" si="4"/>
        <v>0</v>
      </c>
      <c r="L74" s="13">
        <v>0</v>
      </c>
      <c r="M74" s="13">
        <v>0</v>
      </c>
      <c r="N74" s="14">
        <f t="shared" si="5"/>
        <v>0</v>
      </c>
      <c r="O74" s="14">
        <f t="shared" si="5"/>
        <v>0</v>
      </c>
      <c r="P74" s="4">
        <f t="shared" si="5"/>
        <v>0</v>
      </c>
      <c r="Q74" s="4"/>
    </row>
    <row r="75" spans="2:17" x14ac:dyDescent="0.4">
      <c r="B75" s="26" t="s">
        <v>224</v>
      </c>
      <c r="C75" s="11">
        <v>13700</v>
      </c>
      <c r="D75" s="11">
        <v>13700</v>
      </c>
      <c r="E75" s="11">
        <v>13700</v>
      </c>
      <c r="F75" s="11">
        <v>13700</v>
      </c>
      <c r="G75" s="12">
        <v>0</v>
      </c>
      <c r="H75" s="13">
        <f t="shared" si="3"/>
        <v>0</v>
      </c>
      <c r="I75" s="13">
        <v>0</v>
      </c>
      <c r="J75" s="13">
        <v>0</v>
      </c>
      <c r="K75" s="14">
        <f t="shared" si="4"/>
        <v>0</v>
      </c>
      <c r="L75" s="13">
        <v>0</v>
      </c>
      <c r="M75" s="13">
        <v>0</v>
      </c>
      <c r="N75" s="14">
        <f t="shared" si="5"/>
        <v>0</v>
      </c>
      <c r="O75" s="14">
        <f t="shared" si="5"/>
        <v>0</v>
      </c>
      <c r="P75" s="4">
        <f t="shared" si="5"/>
        <v>0</v>
      </c>
      <c r="Q75" s="4"/>
    </row>
    <row r="76" spans="2:17" x14ac:dyDescent="0.4">
      <c r="B76" s="26" t="s">
        <v>225</v>
      </c>
      <c r="C76" s="11">
        <v>13700</v>
      </c>
      <c r="D76" s="11">
        <v>13700</v>
      </c>
      <c r="E76" s="11">
        <v>13700</v>
      </c>
      <c r="F76" s="11">
        <v>13700</v>
      </c>
      <c r="G76" s="12">
        <v>0</v>
      </c>
      <c r="H76" s="13">
        <f t="shared" si="3"/>
        <v>0</v>
      </c>
      <c r="I76" s="13">
        <v>0</v>
      </c>
      <c r="J76" s="13">
        <v>0</v>
      </c>
      <c r="K76" s="14">
        <f t="shared" si="4"/>
        <v>0</v>
      </c>
      <c r="L76" s="13">
        <v>0</v>
      </c>
      <c r="M76" s="13">
        <v>0</v>
      </c>
      <c r="N76" s="14">
        <f t="shared" si="5"/>
        <v>0</v>
      </c>
      <c r="O76" s="14">
        <f t="shared" si="5"/>
        <v>0</v>
      </c>
      <c r="P76" s="4">
        <f t="shared" si="5"/>
        <v>0</v>
      </c>
      <c r="Q76" s="4"/>
    </row>
    <row r="77" spans="2:17" x14ac:dyDescent="0.4">
      <c r="B77" s="26" t="s">
        <v>226</v>
      </c>
      <c r="C77" s="11">
        <v>13700</v>
      </c>
      <c r="D77" s="11">
        <v>13700</v>
      </c>
      <c r="E77" s="11">
        <v>13700</v>
      </c>
      <c r="F77" s="11">
        <v>13700</v>
      </c>
      <c r="G77" s="12">
        <v>0</v>
      </c>
      <c r="H77" s="13">
        <f t="shared" si="3"/>
        <v>0</v>
      </c>
      <c r="I77" s="13">
        <v>0</v>
      </c>
      <c r="J77" s="13">
        <v>0</v>
      </c>
      <c r="K77" s="14">
        <f t="shared" si="4"/>
        <v>0</v>
      </c>
      <c r="L77" s="13">
        <v>0</v>
      </c>
      <c r="M77" s="13">
        <v>0</v>
      </c>
      <c r="N77" s="14">
        <f t="shared" si="5"/>
        <v>0</v>
      </c>
      <c r="O77" s="14">
        <f t="shared" si="5"/>
        <v>0</v>
      </c>
      <c r="P77" s="4">
        <f t="shared" si="5"/>
        <v>0</v>
      </c>
      <c r="Q77" s="4"/>
    </row>
    <row r="78" spans="2:17" x14ac:dyDescent="0.4">
      <c r="B78" s="26" t="s">
        <v>227</v>
      </c>
      <c r="C78" s="11">
        <v>13700</v>
      </c>
      <c r="D78" s="11">
        <v>13700</v>
      </c>
      <c r="E78" s="11">
        <v>13700</v>
      </c>
      <c r="F78" s="11">
        <v>13700</v>
      </c>
      <c r="G78" s="12">
        <v>0</v>
      </c>
      <c r="H78" s="13">
        <f t="shared" si="3"/>
        <v>0</v>
      </c>
      <c r="I78" s="13">
        <v>0</v>
      </c>
      <c r="J78" s="13">
        <v>0</v>
      </c>
      <c r="K78" s="14">
        <f t="shared" si="4"/>
        <v>0</v>
      </c>
      <c r="L78" s="13">
        <v>0</v>
      </c>
      <c r="M78" s="13">
        <v>0</v>
      </c>
      <c r="N78" s="14">
        <f t="shared" si="5"/>
        <v>0</v>
      </c>
      <c r="O78" s="14">
        <f t="shared" si="5"/>
        <v>0</v>
      </c>
      <c r="P78" s="4">
        <f t="shared" si="5"/>
        <v>0</v>
      </c>
      <c r="Q78" s="4"/>
    </row>
    <row r="79" spans="2:17" x14ac:dyDescent="0.4">
      <c r="B79" s="26" t="s">
        <v>228</v>
      </c>
      <c r="C79" s="11">
        <v>13700</v>
      </c>
      <c r="D79" s="11">
        <v>13700</v>
      </c>
      <c r="E79" s="11">
        <v>13700</v>
      </c>
      <c r="F79" s="11">
        <v>13700</v>
      </c>
      <c r="G79" s="12">
        <v>0</v>
      </c>
      <c r="H79" s="13">
        <f t="shared" si="3"/>
        <v>0</v>
      </c>
      <c r="I79" s="13">
        <v>0</v>
      </c>
      <c r="J79" s="13">
        <v>0</v>
      </c>
      <c r="K79" s="14">
        <f t="shared" si="4"/>
        <v>0</v>
      </c>
      <c r="L79" s="13">
        <v>0</v>
      </c>
      <c r="M79" s="13">
        <v>0</v>
      </c>
      <c r="N79" s="14">
        <f t="shared" si="5"/>
        <v>0</v>
      </c>
      <c r="O79" s="14">
        <f t="shared" si="5"/>
        <v>0</v>
      </c>
      <c r="P79" s="4">
        <f t="shared" si="5"/>
        <v>0</v>
      </c>
      <c r="Q79" s="4"/>
    </row>
    <row r="80" spans="2:17" x14ac:dyDescent="0.4">
      <c r="B80" s="26" t="s">
        <v>229</v>
      </c>
      <c r="C80" s="11">
        <v>13700</v>
      </c>
      <c r="D80" s="11">
        <v>13700</v>
      </c>
      <c r="E80" s="11">
        <v>13700</v>
      </c>
      <c r="F80" s="11">
        <v>13700</v>
      </c>
      <c r="G80" s="12">
        <v>0</v>
      </c>
      <c r="H80" s="13">
        <f t="shared" si="3"/>
        <v>0</v>
      </c>
      <c r="I80" s="13">
        <v>0</v>
      </c>
      <c r="J80" s="13">
        <v>0</v>
      </c>
      <c r="K80" s="14">
        <f t="shared" si="4"/>
        <v>0</v>
      </c>
      <c r="L80" s="13">
        <v>0</v>
      </c>
      <c r="M80" s="13">
        <v>0</v>
      </c>
      <c r="N80" s="14">
        <f t="shared" si="5"/>
        <v>0</v>
      </c>
      <c r="O80" s="14">
        <f t="shared" si="5"/>
        <v>0</v>
      </c>
      <c r="P80" s="4">
        <f t="shared" si="5"/>
        <v>0</v>
      </c>
      <c r="Q80" s="4"/>
    </row>
    <row r="81" spans="2:17" x14ac:dyDescent="0.4">
      <c r="B81" s="26" t="s">
        <v>230</v>
      </c>
      <c r="C81" s="11">
        <v>13700</v>
      </c>
      <c r="D81" s="11">
        <v>13700</v>
      </c>
      <c r="E81" s="11">
        <v>13700</v>
      </c>
      <c r="F81" s="11">
        <v>13700</v>
      </c>
      <c r="G81" s="12">
        <v>0</v>
      </c>
      <c r="H81" s="13">
        <f t="shared" si="3"/>
        <v>0</v>
      </c>
      <c r="I81" s="13">
        <v>0</v>
      </c>
      <c r="J81" s="13">
        <v>0</v>
      </c>
      <c r="K81" s="14">
        <f t="shared" si="4"/>
        <v>0</v>
      </c>
      <c r="L81" s="13">
        <v>0</v>
      </c>
      <c r="M81" s="13">
        <v>0</v>
      </c>
      <c r="N81" s="14">
        <f t="shared" si="5"/>
        <v>0</v>
      </c>
      <c r="O81" s="14">
        <f t="shared" si="5"/>
        <v>0</v>
      </c>
      <c r="P81" s="4">
        <f t="shared" si="5"/>
        <v>0</v>
      </c>
      <c r="Q81" s="4"/>
    </row>
    <row r="82" spans="2:17" x14ac:dyDescent="0.4">
      <c r="B82" s="26" t="s">
        <v>231</v>
      </c>
      <c r="C82" s="11">
        <v>13700</v>
      </c>
      <c r="D82" s="11">
        <v>13700</v>
      </c>
      <c r="E82" s="11">
        <v>13700</v>
      </c>
      <c r="F82" s="11">
        <v>13700</v>
      </c>
      <c r="G82" s="12">
        <v>0</v>
      </c>
      <c r="H82" s="13">
        <f t="shared" si="3"/>
        <v>0</v>
      </c>
      <c r="I82" s="13">
        <v>0</v>
      </c>
      <c r="J82" s="13">
        <v>0</v>
      </c>
      <c r="K82" s="14">
        <f t="shared" si="4"/>
        <v>0</v>
      </c>
      <c r="L82" s="13">
        <v>0</v>
      </c>
      <c r="M82" s="13">
        <v>0</v>
      </c>
      <c r="N82" s="14">
        <f t="shared" si="5"/>
        <v>0</v>
      </c>
      <c r="O82" s="14">
        <f t="shared" si="5"/>
        <v>0</v>
      </c>
      <c r="P82" s="4">
        <f t="shared" si="5"/>
        <v>0</v>
      </c>
      <c r="Q82" s="4"/>
    </row>
    <row r="83" spans="2:17" x14ac:dyDescent="0.4">
      <c r="B83" s="26" t="s">
        <v>232</v>
      </c>
      <c r="C83" s="11">
        <v>13700</v>
      </c>
      <c r="D83" s="11">
        <v>13700</v>
      </c>
      <c r="E83" s="11">
        <v>13700</v>
      </c>
      <c r="F83" s="11">
        <v>13700</v>
      </c>
      <c r="G83" s="12">
        <v>0</v>
      </c>
      <c r="H83" s="13">
        <f t="shared" si="3"/>
        <v>0</v>
      </c>
      <c r="I83" s="13">
        <v>0</v>
      </c>
      <c r="J83" s="13">
        <v>0</v>
      </c>
      <c r="K83" s="14">
        <f t="shared" si="4"/>
        <v>0</v>
      </c>
      <c r="L83" s="13">
        <v>0</v>
      </c>
      <c r="M83" s="13">
        <v>0</v>
      </c>
      <c r="N83" s="14">
        <f t="shared" si="5"/>
        <v>0</v>
      </c>
      <c r="O83" s="14">
        <f t="shared" si="5"/>
        <v>0</v>
      </c>
      <c r="P83" s="4">
        <f t="shared" si="5"/>
        <v>0</v>
      </c>
      <c r="Q83" s="4"/>
    </row>
    <row r="84" spans="2:17" x14ac:dyDescent="0.4">
      <c r="B84" s="26" t="s">
        <v>233</v>
      </c>
      <c r="C84" s="11">
        <v>13700</v>
      </c>
      <c r="D84" s="11">
        <v>13700</v>
      </c>
      <c r="E84" s="11">
        <v>13700</v>
      </c>
      <c r="F84" s="11">
        <v>13700</v>
      </c>
      <c r="G84" s="12">
        <v>0</v>
      </c>
      <c r="H84" s="13">
        <f t="shared" si="3"/>
        <v>0</v>
      </c>
      <c r="I84" s="13">
        <v>0</v>
      </c>
      <c r="J84" s="13">
        <v>0</v>
      </c>
      <c r="K84" s="14">
        <f t="shared" si="4"/>
        <v>0</v>
      </c>
      <c r="L84" s="13">
        <v>0</v>
      </c>
      <c r="M84" s="13">
        <v>0</v>
      </c>
      <c r="N84" s="14">
        <f t="shared" si="5"/>
        <v>0</v>
      </c>
      <c r="O84" s="14">
        <f t="shared" si="5"/>
        <v>0</v>
      </c>
      <c r="P84" s="4">
        <f t="shared" si="5"/>
        <v>0</v>
      </c>
      <c r="Q84" s="4"/>
    </row>
    <row r="85" spans="2:17" x14ac:dyDescent="0.4">
      <c r="B85" s="26" t="s">
        <v>234</v>
      </c>
      <c r="C85" s="11">
        <v>13700</v>
      </c>
      <c r="D85" s="11">
        <v>13700</v>
      </c>
      <c r="E85" s="11">
        <v>13700</v>
      </c>
      <c r="F85" s="11">
        <v>13700</v>
      </c>
      <c r="G85" s="12">
        <v>0</v>
      </c>
      <c r="H85" s="13">
        <f t="shared" si="3"/>
        <v>0</v>
      </c>
      <c r="I85" s="13">
        <v>0</v>
      </c>
      <c r="J85" s="13">
        <v>0</v>
      </c>
      <c r="K85" s="14">
        <f t="shared" si="4"/>
        <v>0</v>
      </c>
      <c r="L85" s="13">
        <v>0</v>
      </c>
      <c r="M85" s="13">
        <v>0</v>
      </c>
      <c r="N85" s="14">
        <f t="shared" si="5"/>
        <v>0</v>
      </c>
      <c r="O85" s="14">
        <f t="shared" si="5"/>
        <v>0</v>
      </c>
      <c r="P85" s="4">
        <f t="shared" si="5"/>
        <v>0</v>
      </c>
      <c r="Q85" s="4"/>
    </row>
    <row r="86" spans="2:17" ht="15.6" customHeight="1" x14ac:dyDescent="0.4">
      <c r="B86" s="26" t="s">
        <v>235</v>
      </c>
      <c r="C86" s="11">
        <v>13700</v>
      </c>
      <c r="D86" s="11">
        <v>13700</v>
      </c>
      <c r="E86" s="11">
        <v>13700</v>
      </c>
      <c r="F86" s="11">
        <v>13700</v>
      </c>
      <c r="G86" s="12">
        <v>0</v>
      </c>
      <c r="H86" s="13">
        <f t="shared" si="3"/>
        <v>0</v>
      </c>
      <c r="I86" s="13">
        <v>0</v>
      </c>
      <c r="J86" s="13">
        <v>0</v>
      </c>
      <c r="K86" s="14">
        <f t="shared" si="4"/>
        <v>0</v>
      </c>
      <c r="L86" s="13">
        <v>0</v>
      </c>
      <c r="M86" s="13">
        <v>0</v>
      </c>
      <c r="N86" s="14">
        <f t="shared" si="5"/>
        <v>0</v>
      </c>
      <c r="O86" s="14">
        <f t="shared" si="5"/>
        <v>0</v>
      </c>
      <c r="P86" s="4">
        <f t="shared" si="5"/>
        <v>0</v>
      </c>
      <c r="Q86" s="4"/>
    </row>
    <row r="87" spans="2:17" ht="15.6" customHeight="1" x14ac:dyDescent="0.4">
      <c r="B87" s="26" t="s">
        <v>236</v>
      </c>
      <c r="C87" s="11">
        <v>13700</v>
      </c>
      <c r="D87" s="11">
        <v>13700</v>
      </c>
      <c r="E87" s="11">
        <v>13700</v>
      </c>
      <c r="F87" s="11">
        <v>13700</v>
      </c>
      <c r="G87" s="12">
        <v>0</v>
      </c>
      <c r="H87" s="13">
        <f t="shared" si="3"/>
        <v>0</v>
      </c>
      <c r="I87" s="13">
        <v>0</v>
      </c>
      <c r="J87" s="13">
        <v>0</v>
      </c>
      <c r="K87" s="14">
        <f t="shared" si="4"/>
        <v>0</v>
      </c>
      <c r="L87" s="13">
        <v>0</v>
      </c>
      <c r="M87" s="13">
        <v>0</v>
      </c>
      <c r="N87" s="14">
        <f t="shared" si="5"/>
        <v>0</v>
      </c>
      <c r="O87" s="14">
        <f t="shared" si="5"/>
        <v>0</v>
      </c>
      <c r="P87" s="4">
        <f t="shared" si="5"/>
        <v>0</v>
      </c>
      <c r="Q87" s="4"/>
    </row>
    <row r="88" spans="2:17" ht="15.6" customHeight="1" x14ac:dyDescent="0.4">
      <c r="B88" s="26" t="s">
        <v>237</v>
      </c>
      <c r="C88" s="11">
        <v>13700</v>
      </c>
      <c r="D88" s="11">
        <v>13700</v>
      </c>
      <c r="E88" s="11">
        <v>13700</v>
      </c>
      <c r="F88" s="11">
        <v>13700</v>
      </c>
      <c r="G88" s="12">
        <v>0</v>
      </c>
      <c r="H88" s="13">
        <f t="shared" si="3"/>
        <v>0</v>
      </c>
      <c r="I88" s="13">
        <v>0</v>
      </c>
      <c r="J88" s="13">
        <v>0</v>
      </c>
      <c r="K88" s="14">
        <f t="shared" si="4"/>
        <v>0</v>
      </c>
      <c r="L88" s="13">
        <v>0</v>
      </c>
      <c r="M88" s="13">
        <v>0</v>
      </c>
      <c r="N88" s="14">
        <f t="shared" si="5"/>
        <v>0</v>
      </c>
      <c r="O88" s="14">
        <f t="shared" si="5"/>
        <v>0</v>
      </c>
      <c r="P88" s="4">
        <f t="shared" si="5"/>
        <v>0</v>
      </c>
      <c r="Q88" s="4"/>
    </row>
    <row r="89" spans="2:17" ht="15.6" customHeight="1" x14ac:dyDescent="0.4">
      <c r="B89" s="26" t="s">
        <v>35</v>
      </c>
      <c r="C89" s="11">
        <v>13700</v>
      </c>
      <c r="D89" s="11">
        <v>13700</v>
      </c>
      <c r="E89" s="11">
        <v>13700</v>
      </c>
      <c r="F89" s="11">
        <v>13700</v>
      </c>
      <c r="G89" s="12">
        <v>0</v>
      </c>
      <c r="H89" s="13">
        <f t="shared" si="3"/>
        <v>0</v>
      </c>
      <c r="I89" s="13">
        <v>0</v>
      </c>
      <c r="J89" s="13">
        <v>0</v>
      </c>
      <c r="K89" s="14">
        <f t="shared" si="4"/>
        <v>0</v>
      </c>
      <c r="L89" s="13">
        <v>0</v>
      </c>
      <c r="M89" s="13">
        <v>0</v>
      </c>
      <c r="N89" s="14">
        <f t="shared" si="5"/>
        <v>0</v>
      </c>
      <c r="O89" s="14">
        <f t="shared" si="5"/>
        <v>0</v>
      </c>
      <c r="P89" s="4">
        <f t="shared" si="5"/>
        <v>0</v>
      </c>
      <c r="Q89" s="4"/>
    </row>
    <row r="90" spans="2:17" ht="15.6" customHeight="1" x14ac:dyDescent="0.4">
      <c r="B90" s="26" t="s">
        <v>36</v>
      </c>
      <c r="C90" s="11">
        <v>13700</v>
      </c>
      <c r="D90" s="11">
        <v>13700</v>
      </c>
      <c r="E90" s="11">
        <v>13700</v>
      </c>
      <c r="F90" s="11">
        <v>13700</v>
      </c>
      <c r="G90" s="12">
        <v>0</v>
      </c>
      <c r="H90" s="13">
        <f t="shared" si="3"/>
        <v>0</v>
      </c>
      <c r="I90" s="13">
        <v>0</v>
      </c>
      <c r="J90" s="13">
        <v>0</v>
      </c>
      <c r="K90" s="14">
        <f t="shared" si="4"/>
        <v>0</v>
      </c>
      <c r="L90" s="13">
        <v>0</v>
      </c>
      <c r="M90" s="13">
        <v>0</v>
      </c>
      <c r="N90" s="14">
        <f t="shared" si="5"/>
        <v>0</v>
      </c>
      <c r="O90" s="14">
        <f t="shared" si="5"/>
        <v>0</v>
      </c>
      <c r="P90" s="4">
        <f t="shared" si="5"/>
        <v>0</v>
      </c>
      <c r="Q90" s="4"/>
    </row>
    <row r="91" spans="2:17" x14ac:dyDescent="0.4">
      <c r="B91" s="26" t="s">
        <v>37</v>
      </c>
      <c r="C91" s="11">
        <v>13700</v>
      </c>
      <c r="D91" s="11">
        <v>13700</v>
      </c>
      <c r="E91" s="11">
        <v>13700</v>
      </c>
      <c r="F91" s="11">
        <v>13700</v>
      </c>
      <c r="G91" s="12">
        <v>0</v>
      </c>
      <c r="H91" s="13">
        <f t="shared" si="3"/>
        <v>0</v>
      </c>
      <c r="I91" s="13">
        <v>0</v>
      </c>
      <c r="J91" s="13">
        <v>0</v>
      </c>
      <c r="K91" s="14">
        <f t="shared" si="4"/>
        <v>0</v>
      </c>
      <c r="L91" s="13">
        <v>0</v>
      </c>
      <c r="M91" s="13">
        <v>0</v>
      </c>
      <c r="N91" s="14">
        <f t="shared" si="5"/>
        <v>0</v>
      </c>
      <c r="O91" s="14">
        <f t="shared" si="5"/>
        <v>0</v>
      </c>
      <c r="P91" s="4">
        <f t="shared" si="5"/>
        <v>0</v>
      </c>
      <c r="Q91" s="4"/>
    </row>
    <row r="92" spans="2:17" x14ac:dyDescent="0.4">
      <c r="B92" s="26" t="s">
        <v>38</v>
      </c>
      <c r="C92" s="11">
        <v>13700</v>
      </c>
      <c r="D92" s="11">
        <v>13700</v>
      </c>
      <c r="E92" s="11">
        <v>13700</v>
      </c>
      <c r="F92" s="11">
        <v>13700</v>
      </c>
      <c r="G92" s="12">
        <v>0</v>
      </c>
      <c r="H92" s="13">
        <f t="shared" si="3"/>
        <v>0</v>
      </c>
      <c r="I92" s="13">
        <v>0</v>
      </c>
      <c r="J92" s="13">
        <v>0</v>
      </c>
      <c r="K92" s="14">
        <f t="shared" si="4"/>
        <v>0</v>
      </c>
      <c r="L92" s="13">
        <v>0</v>
      </c>
      <c r="M92" s="13">
        <v>0</v>
      </c>
      <c r="N92" s="14">
        <f t="shared" si="5"/>
        <v>0</v>
      </c>
      <c r="O92" s="14">
        <f t="shared" si="5"/>
        <v>0</v>
      </c>
      <c r="P92" s="4">
        <f t="shared" si="5"/>
        <v>0</v>
      </c>
      <c r="Q92" s="4"/>
    </row>
    <row r="93" spans="2:17" x14ac:dyDescent="0.4">
      <c r="B93" s="26" t="s">
        <v>39</v>
      </c>
      <c r="C93" s="11">
        <v>13700</v>
      </c>
      <c r="D93" s="11">
        <v>13700</v>
      </c>
      <c r="E93" s="11">
        <v>13700</v>
      </c>
      <c r="F93" s="11">
        <v>13700</v>
      </c>
      <c r="G93" s="12">
        <v>0</v>
      </c>
      <c r="H93" s="13">
        <f t="shared" si="3"/>
        <v>0</v>
      </c>
      <c r="I93" s="13">
        <v>0</v>
      </c>
      <c r="J93" s="13">
        <v>0</v>
      </c>
      <c r="K93" s="14">
        <f t="shared" si="4"/>
        <v>0</v>
      </c>
      <c r="L93" s="13">
        <v>0</v>
      </c>
      <c r="M93" s="13">
        <v>0</v>
      </c>
      <c r="N93" s="14">
        <f t="shared" si="5"/>
        <v>0</v>
      </c>
      <c r="O93" s="14">
        <f t="shared" si="5"/>
        <v>0</v>
      </c>
      <c r="P93" s="4">
        <f t="shared" si="5"/>
        <v>0</v>
      </c>
      <c r="Q93" s="4"/>
    </row>
    <row r="94" spans="2:17" ht="15.6" customHeight="1" x14ac:dyDescent="0.4">
      <c r="B94" s="26" t="s">
        <v>40</v>
      </c>
      <c r="C94" s="11">
        <v>13700</v>
      </c>
      <c r="D94" s="11">
        <v>13700</v>
      </c>
      <c r="E94" s="11">
        <v>13700</v>
      </c>
      <c r="F94" s="11">
        <v>13700</v>
      </c>
      <c r="G94" s="12">
        <v>0</v>
      </c>
      <c r="H94" s="13">
        <f t="shared" si="3"/>
        <v>0</v>
      </c>
      <c r="I94" s="13">
        <v>0</v>
      </c>
      <c r="J94" s="13">
        <v>0</v>
      </c>
      <c r="K94" s="14">
        <f t="shared" si="4"/>
        <v>0</v>
      </c>
      <c r="L94" s="13">
        <v>0</v>
      </c>
      <c r="M94" s="13">
        <v>0</v>
      </c>
      <c r="N94" s="14">
        <f t="shared" si="5"/>
        <v>0</v>
      </c>
      <c r="O94" s="14">
        <f t="shared" si="5"/>
        <v>0</v>
      </c>
      <c r="P94" s="4">
        <f t="shared" si="5"/>
        <v>0</v>
      </c>
      <c r="Q94" s="4"/>
    </row>
    <row r="95" spans="2:17" x14ac:dyDescent="0.4">
      <c r="B95" s="26" t="s">
        <v>41</v>
      </c>
      <c r="C95" s="11">
        <v>13700</v>
      </c>
      <c r="D95" s="11">
        <v>13700</v>
      </c>
      <c r="E95" s="11">
        <v>13700</v>
      </c>
      <c r="F95" s="11">
        <v>13700</v>
      </c>
      <c r="G95" s="12">
        <v>0</v>
      </c>
      <c r="H95" s="13">
        <f t="shared" si="3"/>
        <v>0</v>
      </c>
      <c r="I95" s="13">
        <v>0</v>
      </c>
      <c r="J95" s="13">
        <v>0</v>
      </c>
      <c r="K95" s="14">
        <f t="shared" si="4"/>
        <v>0</v>
      </c>
      <c r="L95" s="13">
        <v>0</v>
      </c>
      <c r="M95" s="13">
        <v>0</v>
      </c>
      <c r="N95" s="14">
        <f t="shared" si="5"/>
        <v>0</v>
      </c>
      <c r="O95" s="14">
        <f t="shared" si="5"/>
        <v>0</v>
      </c>
      <c r="P95" s="4">
        <f t="shared" si="5"/>
        <v>0</v>
      </c>
      <c r="Q95" s="4"/>
    </row>
    <row r="96" spans="2:17" x14ac:dyDescent="0.4">
      <c r="B96" s="26" t="s">
        <v>42</v>
      </c>
      <c r="C96" s="11">
        <v>13700</v>
      </c>
      <c r="D96" s="11">
        <v>13700</v>
      </c>
      <c r="E96" s="11">
        <v>13700</v>
      </c>
      <c r="F96" s="11">
        <v>13700</v>
      </c>
      <c r="G96" s="12">
        <v>0</v>
      </c>
      <c r="H96" s="13">
        <f t="shared" si="3"/>
        <v>0</v>
      </c>
      <c r="I96" s="13">
        <v>0</v>
      </c>
      <c r="J96" s="13">
        <v>0</v>
      </c>
      <c r="K96" s="14">
        <f t="shared" si="4"/>
        <v>0</v>
      </c>
      <c r="L96" s="13">
        <v>0</v>
      </c>
      <c r="M96" s="13">
        <v>0</v>
      </c>
      <c r="N96" s="14">
        <f t="shared" si="5"/>
        <v>0</v>
      </c>
      <c r="O96" s="14">
        <f t="shared" si="5"/>
        <v>0</v>
      </c>
      <c r="P96" s="4">
        <f t="shared" si="5"/>
        <v>0</v>
      </c>
      <c r="Q96" s="4"/>
    </row>
    <row r="97" spans="2:17" x14ac:dyDescent="0.4">
      <c r="B97" s="26" t="s">
        <v>43</v>
      </c>
      <c r="C97" s="11">
        <v>13700</v>
      </c>
      <c r="D97" s="11">
        <v>13700</v>
      </c>
      <c r="E97" s="11">
        <v>13700</v>
      </c>
      <c r="F97" s="11">
        <v>13700</v>
      </c>
      <c r="G97" s="12">
        <v>0</v>
      </c>
      <c r="H97" s="13">
        <f t="shared" si="3"/>
        <v>0</v>
      </c>
      <c r="I97" s="13">
        <v>0</v>
      </c>
      <c r="J97" s="13">
        <v>0</v>
      </c>
      <c r="K97" s="14">
        <f t="shared" si="4"/>
        <v>0</v>
      </c>
      <c r="L97" s="13">
        <v>0</v>
      </c>
      <c r="M97" s="13">
        <v>0</v>
      </c>
      <c r="N97" s="14">
        <f t="shared" si="5"/>
        <v>0</v>
      </c>
      <c r="O97" s="14">
        <f t="shared" si="5"/>
        <v>0</v>
      </c>
      <c r="P97" s="4">
        <f t="shared" si="5"/>
        <v>0</v>
      </c>
      <c r="Q97" s="4"/>
    </row>
    <row r="98" spans="2:17" x14ac:dyDescent="0.4">
      <c r="B98" s="26" t="s">
        <v>44</v>
      </c>
      <c r="C98" s="11">
        <v>13700</v>
      </c>
      <c r="D98" s="11">
        <v>13700</v>
      </c>
      <c r="E98" s="11">
        <v>13700</v>
      </c>
      <c r="F98" s="11">
        <v>13700</v>
      </c>
      <c r="G98" s="12">
        <v>0</v>
      </c>
      <c r="H98" s="13">
        <f t="shared" si="3"/>
        <v>0</v>
      </c>
      <c r="I98" s="13">
        <v>0</v>
      </c>
      <c r="J98" s="13">
        <v>0</v>
      </c>
      <c r="K98" s="14">
        <f t="shared" si="4"/>
        <v>0</v>
      </c>
      <c r="L98" s="13">
        <v>0</v>
      </c>
      <c r="M98" s="13">
        <v>0</v>
      </c>
      <c r="N98" s="14">
        <f t="shared" si="5"/>
        <v>0</v>
      </c>
      <c r="O98" s="14">
        <f t="shared" si="5"/>
        <v>0</v>
      </c>
      <c r="P98" s="4">
        <f t="shared" si="5"/>
        <v>0</v>
      </c>
      <c r="Q98" s="4"/>
    </row>
    <row r="99" spans="2:17" x14ac:dyDescent="0.4">
      <c r="B99" s="26" t="s">
        <v>45</v>
      </c>
      <c r="C99" s="11">
        <v>13700</v>
      </c>
      <c r="D99" s="11">
        <v>13700</v>
      </c>
      <c r="E99" s="11">
        <v>13700</v>
      </c>
      <c r="F99" s="11">
        <v>13700</v>
      </c>
      <c r="G99" s="12">
        <v>0</v>
      </c>
      <c r="H99" s="13">
        <f t="shared" si="3"/>
        <v>0</v>
      </c>
      <c r="I99" s="13">
        <v>0</v>
      </c>
      <c r="J99" s="13">
        <v>0</v>
      </c>
      <c r="K99" s="14">
        <f t="shared" si="4"/>
        <v>0</v>
      </c>
      <c r="L99" s="13">
        <v>0</v>
      </c>
      <c r="M99" s="13">
        <v>0</v>
      </c>
      <c r="N99" s="14">
        <f t="shared" si="5"/>
        <v>0</v>
      </c>
      <c r="O99" s="14">
        <f t="shared" si="5"/>
        <v>0</v>
      </c>
      <c r="P99" s="4">
        <f t="shared" si="5"/>
        <v>0</v>
      </c>
      <c r="Q99" s="4"/>
    </row>
    <row r="100" spans="2:17" x14ac:dyDescent="0.4">
      <c r="B100" s="26" t="s">
        <v>46</v>
      </c>
      <c r="C100" s="11">
        <v>13700</v>
      </c>
      <c r="D100" s="11">
        <v>13700</v>
      </c>
      <c r="E100" s="11">
        <v>13700</v>
      </c>
      <c r="F100" s="11">
        <v>13700</v>
      </c>
      <c r="G100" s="12">
        <v>0</v>
      </c>
      <c r="H100" s="13">
        <f t="shared" si="3"/>
        <v>0</v>
      </c>
      <c r="I100" s="13">
        <v>0</v>
      </c>
      <c r="J100" s="13">
        <v>0</v>
      </c>
      <c r="K100" s="14">
        <f t="shared" si="4"/>
        <v>0</v>
      </c>
      <c r="L100" s="13">
        <v>0</v>
      </c>
      <c r="M100" s="13">
        <v>0</v>
      </c>
      <c r="N100" s="14">
        <f t="shared" si="5"/>
        <v>0</v>
      </c>
      <c r="O100" s="14">
        <f t="shared" si="5"/>
        <v>0</v>
      </c>
      <c r="P100" s="4">
        <f t="shared" si="5"/>
        <v>0</v>
      </c>
      <c r="Q100" s="4"/>
    </row>
    <row r="101" spans="2:17" x14ac:dyDescent="0.4">
      <c r="B101" s="26" t="s">
        <v>47</v>
      </c>
      <c r="C101" s="11">
        <v>13700</v>
      </c>
      <c r="D101" s="11">
        <v>13700</v>
      </c>
      <c r="E101" s="11">
        <v>13700</v>
      </c>
      <c r="F101" s="11">
        <v>13700</v>
      </c>
      <c r="G101" s="12">
        <v>0</v>
      </c>
      <c r="H101" s="13">
        <f t="shared" si="3"/>
        <v>0</v>
      </c>
      <c r="I101" s="13">
        <v>0</v>
      </c>
      <c r="J101" s="13">
        <v>0</v>
      </c>
      <c r="K101" s="14">
        <f t="shared" si="4"/>
        <v>0</v>
      </c>
      <c r="L101" s="13">
        <v>0</v>
      </c>
      <c r="M101" s="13">
        <v>0</v>
      </c>
      <c r="N101" s="14">
        <f t="shared" si="5"/>
        <v>0</v>
      </c>
      <c r="O101" s="14">
        <f t="shared" si="5"/>
        <v>0</v>
      </c>
      <c r="P101" s="4">
        <f t="shared" si="5"/>
        <v>0</v>
      </c>
      <c r="Q101" s="4"/>
    </row>
    <row r="102" spans="2:17" x14ac:dyDescent="0.4">
      <c r="B102" s="26" t="s">
        <v>48</v>
      </c>
      <c r="C102" s="11">
        <v>13700</v>
      </c>
      <c r="D102" s="11">
        <v>13700</v>
      </c>
      <c r="E102" s="11">
        <v>13700</v>
      </c>
      <c r="F102" s="11">
        <v>13700</v>
      </c>
      <c r="G102" s="12">
        <v>0</v>
      </c>
      <c r="H102" s="13">
        <f t="shared" si="3"/>
        <v>0</v>
      </c>
      <c r="I102" s="13">
        <v>0</v>
      </c>
      <c r="J102" s="13">
        <v>0</v>
      </c>
      <c r="K102" s="14">
        <f t="shared" si="4"/>
        <v>0</v>
      </c>
      <c r="L102" s="13">
        <v>0</v>
      </c>
      <c r="M102" s="13">
        <v>0</v>
      </c>
      <c r="N102" s="14">
        <f t="shared" si="5"/>
        <v>0</v>
      </c>
      <c r="O102" s="14">
        <f t="shared" si="5"/>
        <v>0</v>
      </c>
      <c r="P102" s="4">
        <f t="shared" si="5"/>
        <v>0</v>
      </c>
      <c r="Q102" s="4"/>
    </row>
    <row r="103" spans="2:17" x14ac:dyDescent="0.4">
      <c r="B103" s="26" t="s">
        <v>49</v>
      </c>
      <c r="C103" s="11">
        <v>18500</v>
      </c>
      <c r="D103" s="11">
        <v>18500</v>
      </c>
      <c r="E103" s="11">
        <v>18500</v>
      </c>
      <c r="F103" s="11">
        <v>18500</v>
      </c>
      <c r="G103" s="12">
        <v>35.04</v>
      </c>
      <c r="H103" s="13">
        <f t="shared" si="3"/>
        <v>0</v>
      </c>
      <c r="I103" s="13">
        <v>0</v>
      </c>
      <c r="J103" s="13">
        <v>0</v>
      </c>
      <c r="K103" s="14">
        <f t="shared" si="4"/>
        <v>0</v>
      </c>
      <c r="L103" s="13">
        <v>0</v>
      </c>
      <c r="M103" s="13">
        <v>0</v>
      </c>
      <c r="N103" s="14">
        <f t="shared" si="5"/>
        <v>0</v>
      </c>
      <c r="O103" s="14">
        <f t="shared" si="5"/>
        <v>0</v>
      </c>
      <c r="P103" s="4">
        <f t="shared" si="5"/>
        <v>0</v>
      </c>
      <c r="Q103" s="4"/>
    </row>
    <row r="104" spans="2:17" x14ac:dyDescent="0.4">
      <c r="B104" s="26" t="s">
        <v>50</v>
      </c>
      <c r="C104" s="11">
        <v>18500</v>
      </c>
      <c r="D104" s="11">
        <v>18500</v>
      </c>
      <c r="E104" s="11">
        <v>18500</v>
      </c>
      <c r="F104" s="11">
        <v>18500</v>
      </c>
      <c r="G104" s="12">
        <v>0</v>
      </c>
      <c r="H104" s="13">
        <f t="shared" si="3"/>
        <v>0</v>
      </c>
      <c r="I104" s="13">
        <v>0</v>
      </c>
      <c r="J104" s="13">
        <v>0</v>
      </c>
      <c r="K104" s="14">
        <f t="shared" si="4"/>
        <v>0</v>
      </c>
      <c r="L104" s="13">
        <v>0</v>
      </c>
      <c r="M104" s="13">
        <v>0</v>
      </c>
      <c r="N104" s="14">
        <f t="shared" si="5"/>
        <v>0</v>
      </c>
      <c r="O104" s="14">
        <f t="shared" si="5"/>
        <v>0</v>
      </c>
      <c r="P104" s="4">
        <f t="shared" si="5"/>
        <v>0</v>
      </c>
      <c r="Q104" s="4"/>
    </row>
    <row r="105" spans="2:17" x14ac:dyDescent="0.4">
      <c r="B105" s="26" t="s">
        <v>51</v>
      </c>
      <c r="C105" s="11">
        <v>18500</v>
      </c>
      <c r="D105" s="11">
        <v>18500</v>
      </c>
      <c r="E105" s="11">
        <v>18500</v>
      </c>
      <c r="F105" s="11">
        <v>18500</v>
      </c>
      <c r="G105" s="12">
        <v>0</v>
      </c>
      <c r="H105" s="13">
        <f t="shared" si="3"/>
        <v>0</v>
      </c>
      <c r="I105" s="13">
        <v>0</v>
      </c>
      <c r="J105" s="13">
        <v>0</v>
      </c>
      <c r="K105" s="14">
        <f t="shared" si="4"/>
        <v>0</v>
      </c>
      <c r="L105" s="13">
        <v>0</v>
      </c>
      <c r="M105" s="13">
        <v>0</v>
      </c>
      <c r="N105" s="14">
        <f t="shared" si="5"/>
        <v>0</v>
      </c>
      <c r="O105" s="14">
        <f t="shared" si="5"/>
        <v>0</v>
      </c>
      <c r="P105" s="4">
        <f t="shared" si="5"/>
        <v>0</v>
      </c>
      <c r="Q105" s="4"/>
    </row>
    <row r="106" spans="2:17" x14ac:dyDescent="0.4">
      <c r="B106" s="26" t="s">
        <v>52</v>
      </c>
      <c r="C106" s="11">
        <v>18500</v>
      </c>
      <c r="D106" s="11">
        <v>18500</v>
      </c>
      <c r="E106" s="11">
        <v>18500</v>
      </c>
      <c r="F106" s="11">
        <v>18500</v>
      </c>
      <c r="G106" s="12">
        <v>0</v>
      </c>
      <c r="H106" s="13">
        <f t="shared" si="3"/>
        <v>0</v>
      </c>
      <c r="I106" s="13">
        <v>0</v>
      </c>
      <c r="J106" s="13">
        <v>0</v>
      </c>
      <c r="K106" s="14">
        <f t="shared" si="4"/>
        <v>0</v>
      </c>
      <c r="L106" s="13">
        <v>0</v>
      </c>
      <c r="M106" s="13">
        <v>0</v>
      </c>
      <c r="N106" s="14">
        <f t="shared" si="5"/>
        <v>0</v>
      </c>
      <c r="O106" s="14">
        <f t="shared" si="5"/>
        <v>0</v>
      </c>
      <c r="P106" s="4">
        <f t="shared" si="5"/>
        <v>0</v>
      </c>
      <c r="Q106" s="4"/>
    </row>
    <row r="107" spans="2:17" x14ac:dyDescent="0.4">
      <c r="B107" s="26" t="s">
        <v>53</v>
      </c>
      <c r="C107" s="11">
        <v>18500</v>
      </c>
      <c r="D107" s="11">
        <v>18500</v>
      </c>
      <c r="E107" s="11">
        <v>18500</v>
      </c>
      <c r="F107" s="11">
        <v>18500</v>
      </c>
      <c r="G107" s="12">
        <v>0</v>
      </c>
      <c r="H107" s="13">
        <f t="shared" si="3"/>
        <v>0</v>
      </c>
      <c r="I107" s="13">
        <v>0</v>
      </c>
      <c r="J107" s="13">
        <v>0</v>
      </c>
      <c r="K107" s="14">
        <f t="shared" si="4"/>
        <v>0</v>
      </c>
      <c r="L107" s="13">
        <v>0</v>
      </c>
      <c r="M107" s="13">
        <v>0</v>
      </c>
      <c r="N107" s="14">
        <f t="shared" si="5"/>
        <v>0</v>
      </c>
      <c r="O107" s="14">
        <f t="shared" si="5"/>
        <v>0</v>
      </c>
      <c r="P107" s="4">
        <f t="shared" si="5"/>
        <v>0</v>
      </c>
      <c r="Q107" s="4"/>
    </row>
    <row r="108" spans="2:17" x14ac:dyDescent="0.4">
      <c r="B108" s="26" t="s">
        <v>54</v>
      </c>
      <c r="C108" s="11">
        <v>18500</v>
      </c>
      <c r="D108" s="11">
        <v>18500</v>
      </c>
      <c r="E108" s="11">
        <v>18500</v>
      </c>
      <c r="F108" s="11">
        <v>18500</v>
      </c>
      <c r="G108" s="12">
        <v>0</v>
      </c>
      <c r="H108" s="13">
        <f t="shared" si="3"/>
        <v>0</v>
      </c>
      <c r="I108" s="13">
        <v>0</v>
      </c>
      <c r="J108" s="13">
        <v>0</v>
      </c>
      <c r="K108" s="14">
        <f t="shared" si="4"/>
        <v>0</v>
      </c>
      <c r="L108" s="13">
        <v>0</v>
      </c>
      <c r="M108" s="13">
        <v>0</v>
      </c>
      <c r="N108" s="14">
        <f t="shared" si="5"/>
        <v>0</v>
      </c>
      <c r="O108" s="14">
        <f t="shared" si="5"/>
        <v>0</v>
      </c>
      <c r="P108" s="4">
        <f t="shared" si="5"/>
        <v>0</v>
      </c>
      <c r="Q108" s="4"/>
    </row>
    <row r="109" spans="2:17" x14ac:dyDescent="0.4">
      <c r="B109" s="26" t="s">
        <v>55</v>
      </c>
      <c r="C109" s="11">
        <v>18500</v>
      </c>
      <c r="D109" s="11">
        <v>18500</v>
      </c>
      <c r="E109" s="11">
        <v>18500</v>
      </c>
      <c r="F109" s="11">
        <v>18500</v>
      </c>
      <c r="G109" s="12">
        <v>0</v>
      </c>
      <c r="H109" s="13">
        <f t="shared" si="3"/>
        <v>0</v>
      </c>
      <c r="I109" s="13">
        <v>0</v>
      </c>
      <c r="J109" s="13">
        <v>0</v>
      </c>
      <c r="K109" s="14">
        <f t="shared" si="4"/>
        <v>0</v>
      </c>
      <c r="L109" s="13">
        <v>0</v>
      </c>
      <c r="M109" s="13">
        <v>0</v>
      </c>
      <c r="N109" s="14">
        <f t="shared" si="5"/>
        <v>0</v>
      </c>
      <c r="O109" s="14">
        <f t="shared" si="5"/>
        <v>0</v>
      </c>
      <c r="P109" s="4">
        <f t="shared" si="5"/>
        <v>0</v>
      </c>
      <c r="Q109" s="4"/>
    </row>
    <row r="110" spans="2:17" x14ac:dyDescent="0.4">
      <c r="B110" s="26" t="s">
        <v>56</v>
      </c>
      <c r="C110" s="11">
        <v>18500</v>
      </c>
      <c r="D110" s="11">
        <v>18500</v>
      </c>
      <c r="E110" s="11">
        <v>18500</v>
      </c>
      <c r="F110" s="11">
        <v>18500</v>
      </c>
      <c r="G110" s="12">
        <v>0</v>
      </c>
      <c r="H110" s="13">
        <f t="shared" si="3"/>
        <v>0</v>
      </c>
      <c r="I110" s="13">
        <v>0</v>
      </c>
      <c r="J110" s="13">
        <v>0</v>
      </c>
      <c r="K110" s="14">
        <f t="shared" si="4"/>
        <v>0</v>
      </c>
      <c r="L110" s="13">
        <v>0</v>
      </c>
      <c r="M110" s="13">
        <v>0</v>
      </c>
      <c r="N110" s="14">
        <f t="shared" si="5"/>
        <v>0</v>
      </c>
      <c r="O110" s="14">
        <f t="shared" si="5"/>
        <v>0</v>
      </c>
      <c r="P110" s="4">
        <f t="shared" si="5"/>
        <v>0</v>
      </c>
      <c r="Q110" s="4"/>
    </row>
    <row r="111" spans="2:17" x14ac:dyDescent="0.4">
      <c r="B111" s="26" t="s">
        <v>57</v>
      </c>
      <c r="C111" s="11">
        <v>18500</v>
      </c>
      <c r="D111" s="11">
        <v>18500</v>
      </c>
      <c r="E111" s="11">
        <v>18500</v>
      </c>
      <c r="F111" s="11">
        <v>18500</v>
      </c>
      <c r="G111" s="12">
        <v>0</v>
      </c>
      <c r="H111" s="13">
        <f t="shared" si="3"/>
        <v>0</v>
      </c>
      <c r="I111" s="13">
        <v>0</v>
      </c>
      <c r="J111" s="13">
        <v>0</v>
      </c>
      <c r="K111" s="14">
        <f t="shared" si="4"/>
        <v>0</v>
      </c>
      <c r="L111" s="13">
        <v>0</v>
      </c>
      <c r="M111" s="13">
        <v>0</v>
      </c>
      <c r="N111" s="14">
        <f t="shared" si="5"/>
        <v>0</v>
      </c>
      <c r="O111" s="14">
        <f t="shared" si="5"/>
        <v>0</v>
      </c>
      <c r="P111" s="4">
        <f t="shared" si="5"/>
        <v>0</v>
      </c>
      <c r="Q111" s="4"/>
    </row>
    <row r="112" spans="2:17" x14ac:dyDescent="0.4">
      <c r="B112" s="26" t="s">
        <v>58</v>
      </c>
      <c r="C112" s="11">
        <v>18500</v>
      </c>
      <c r="D112" s="11">
        <v>18500</v>
      </c>
      <c r="E112" s="11">
        <v>18500</v>
      </c>
      <c r="F112" s="11">
        <v>18500</v>
      </c>
      <c r="G112" s="12">
        <v>0</v>
      </c>
      <c r="H112" s="13">
        <f t="shared" si="3"/>
        <v>0</v>
      </c>
      <c r="I112" s="13">
        <v>0</v>
      </c>
      <c r="J112" s="13">
        <v>0</v>
      </c>
      <c r="K112" s="14">
        <f t="shared" si="4"/>
        <v>0</v>
      </c>
      <c r="L112" s="13">
        <v>0</v>
      </c>
      <c r="M112" s="13">
        <v>0</v>
      </c>
      <c r="N112" s="14">
        <f t="shared" si="5"/>
        <v>0</v>
      </c>
      <c r="O112" s="14">
        <f t="shared" si="5"/>
        <v>0</v>
      </c>
      <c r="P112" s="4">
        <f t="shared" si="5"/>
        <v>0</v>
      </c>
      <c r="Q112" s="4"/>
    </row>
    <row r="113" spans="2:17" x14ac:dyDescent="0.4">
      <c r="B113" s="26" t="s">
        <v>59</v>
      </c>
      <c r="C113" s="11">
        <v>18500</v>
      </c>
      <c r="D113" s="11">
        <v>18500</v>
      </c>
      <c r="E113" s="11">
        <v>18500</v>
      </c>
      <c r="F113" s="11">
        <v>18500</v>
      </c>
      <c r="G113" s="12">
        <v>0</v>
      </c>
      <c r="H113" s="13">
        <f t="shared" si="3"/>
        <v>0</v>
      </c>
      <c r="I113" s="13">
        <v>0</v>
      </c>
      <c r="J113" s="13">
        <v>0</v>
      </c>
      <c r="K113" s="14">
        <f t="shared" si="4"/>
        <v>0</v>
      </c>
      <c r="L113" s="13">
        <v>0</v>
      </c>
      <c r="M113" s="13">
        <v>0</v>
      </c>
      <c r="N113" s="14">
        <f t="shared" si="5"/>
        <v>0</v>
      </c>
      <c r="O113" s="14">
        <f t="shared" si="5"/>
        <v>0</v>
      </c>
      <c r="P113" s="4">
        <f t="shared" si="5"/>
        <v>0</v>
      </c>
      <c r="Q113" s="4"/>
    </row>
    <row r="114" spans="2:17" x14ac:dyDescent="0.4">
      <c r="B114" s="26" t="s">
        <v>60</v>
      </c>
      <c r="C114" s="11">
        <v>18500</v>
      </c>
      <c r="D114" s="11">
        <v>18500</v>
      </c>
      <c r="E114" s="11">
        <v>18500</v>
      </c>
      <c r="F114" s="11">
        <v>18500</v>
      </c>
      <c r="G114" s="12">
        <v>0</v>
      </c>
      <c r="H114" s="13">
        <f t="shared" si="3"/>
        <v>0</v>
      </c>
      <c r="I114" s="13">
        <v>0</v>
      </c>
      <c r="J114" s="13">
        <v>0</v>
      </c>
      <c r="K114" s="14">
        <f t="shared" si="4"/>
        <v>0</v>
      </c>
      <c r="L114" s="13">
        <v>0</v>
      </c>
      <c r="M114" s="13">
        <v>0</v>
      </c>
      <c r="N114" s="14">
        <f t="shared" si="5"/>
        <v>0</v>
      </c>
      <c r="O114" s="14">
        <f t="shared" si="5"/>
        <v>0</v>
      </c>
      <c r="P114" s="4">
        <f t="shared" si="5"/>
        <v>0</v>
      </c>
      <c r="Q114" s="4"/>
    </row>
    <row r="115" spans="2:17" x14ac:dyDescent="0.4">
      <c r="B115" s="26" t="s">
        <v>61</v>
      </c>
      <c r="C115" s="11">
        <v>18500</v>
      </c>
      <c r="D115" s="11">
        <v>18500</v>
      </c>
      <c r="E115" s="11">
        <v>18500</v>
      </c>
      <c r="F115" s="11">
        <v>18500</v>
      </c>
      <c r="G115" s="12">
        <v>0</v>
      </c>
      <c r="H115" s="13">
        <f t="shared" si="3"/>
        <v>0</v>
      </c>
      <c r="I115" s="13">
        <v>0</v>
      </c>
      <c r="J115" s="13">
        <v>0</v>
      </c>
      <c r="K115" s="14">
        <f t="shared" si="4"/>
        <v>0</v>
      </c>
      <c r="L115" s="13">
        <v>0</v>
      </c>
      <c r="M115" s="13">
        <v>0</v>
      </c>
      <c r="N115" s="14">
        <f t="shared" si="5"/>
        <v>0</v>
      </c>
      <c r="O115" s="14">
        <f t="shared" si="5"/>
        <v>0</v>
      </c>
      <c r="P115" s="4">
        <f t="shared" si="5"/>
        <v>0</v>
      </c>
      <c r="Q115" s="4"/>
    </row>
    <row r="116" spans="2:17" x14ac:dyDescent="0.4">
      <c r="B116" s="26" t="s">
        <v>62</v>
      </c>
      <c r="C116" s="11">
        <v>18500</v>
      </c>
      <c r="D116" s="11">
        <v>18500</v>
      </c>
      <c r="E116" s="11">
        <v>18500</v>
      </c>
      <c r="F116" s="11">
        <v>18500</v>
      </c>
      <c r="G116" s="12">
        <v>0</v>
      </c>
      <c r="H116" s="13">
        <f t="shared" si="3"/>
        <v>0</v>
      </c>
      <c r="I116" s="13">
        <v>0</v>
      </c>
      <c r="J116" s="13">
        <v>0</v>
      </c>
      <c r="K116" s="14">
        <f t="shared" si="4"/>
        <v>0</v>
      </c>
      <c r="L116" s="13">
        <v>0</v>
      </c>
      <c r="M116" s="13">
        <v>0</v>
      </c>
      <c r="N116" s="14">
        <f t="shared" si="5"/>
        <v>0</v>
      </c>
      <c r="O116" s="14">
        <f t="shared" si="5"/>
        <v>0</v>
      </c>
      <c r="P116" s="4">
        <f t="shared" si="5"/>
        <v>0</v>
      </c>
      <c r="Q116" s="4"/>
    </row>
    <row r="117" spans="2:17" x14ac:dyDescent="0.4">
      <c r="B117" s="26" t="s">
        <v>63</v>
      </c>
      <c r="C117" s="11">
        <v>18500</v>
      </c>
      <c r="D117" s="11">
        <v>18500</v>
      </c>
      <c r="E117" s="11">
        <v>18500</v>
      </c>
      <c r="F117" s="11">
        <v>18500</v>
      </c>
      <c r="G117" s="12">
        <v>0</v>
      </c>
      <c r="H117" s="13">
        <f t="shared" si="3"/>
        <v>0</v>
      </c>
      <c r="I117" s="13">
        <v>0</v>
      </c>
      <c r="J117" s="13">
        <v>0</v>
      </c>
      <c r="K117" s="14">
        <f t="shared" si="4"/>
        <v>0</v>
      </c>
      <c r="L117" s="13">
        <v>0</v>
      </c>
      <c r="M117" s="13">
        <v>0</v>
      </c>
      <c r="N117" s="14">
        <f t="shared" si="5"/>
        <v>0</v>
      </c>
      <c r="O117" s="14">
        <f t="shared" si="5"/>
        <v>0</v>
      </c>
      <c r="P117" s="4">
        <f t="shared" si="5"/>
        <v>0</v>
      </c>
      <c r="Q117" s="4"/>
    </row>
    <row r="118" spans="2:17" x14ac:dyDescent="0.4">
      <c r="B118" s="26" t="s">
        <v>64</v>
      </c>
      <c r="C118" s="11">
        <v>18500</v>
      </c>
      <c r="D118" s="11">
        <v>18500</v>
      </c>
      <c r="E118" s="11">
        <v>18500</v>
      </c>
      <c r="F118" s="11">
        <v>18500</v>
      </c>
      <c r="G118" s="12">
        <v>0</v>
      </c>
      <c r="H118" s="13">
        <f t="shared" si="3"/>
        <v>0</v>
      </c>
      <c r="I118" s="13">
        <v>0</v>
      </c>
      <c r="J118" s="13">
        <v>0</v>
      </c>
      <c r="K118" s="14">
        <f t="shared" si="4"/>
        <v>0</v>
      </c>
      <c r="L118" s="13">
        <v>0</v>
      </c>
      <c r="M118" s="13">
        <v>0</v>
      </c>
      <c r="N118" s="14">
        <f t="shared" si="5"/>
        <v>0</v>
      </c>
      <c r="O118" s="14">
        <f t="shared" si="5"/>
        <v>0</v>
      </c>
      <c r="P118" s="4">
        <f t="shared" si="5"/>
        <v>0</v>
      </c>
      <c r="Q118" s="4"/>
    </row>
    <row r="119" spans="2:17" x14ac:dyDescent="0.4">
      <c r="B119" s="26" t="s">
        <v>65</v>
      </c>
      <c r="C119" s="11">
        <v>18500</v>
      </c>
      <c r="D119" s="11">
        <v>18500</v>
      </c>
      <c r="E119" s="11">
        <v>18500</v>
      </c>
      <c r="F119" s="11">
        <v>18500</v>
      </c>
      <c r="G119" s="12">
        <v>0</v>
      </c>
      <c r="H119" s="13">
        <f t="shared" si="3"/>
        <v>0</v>
      </c>
      <c r="I119" s="13">
        <v>0</v>
      </c>
      <c r="J119" s="13">
        <v>0</v>
      </c>
      <c r="K119" s="14">
        <f t="shared" si="4"/>
        <v>0</v>
      </c>
      <c r="L119" s="13">
        <v>0</v>
      </c>
      <c r="M119" s="13">
        <v>0</v>
      </c>
      <c r="N119" s="14">
        <f t="shared" si="5"/>
        <v>0</v>
      </c>
      <c r="O119" s="14">
        <f t="shared" si="5"/>
        <v>0</v>
      </c>
      <c r="P119" s="4">
        <f t="shared" si="5"/>
        <v>0</v>
      </c>
      <c r="Q119" s="4"/>
    </row>
    <row r="120" spans="2:17" x14ac:dyDescent="0.4">
      <c r="B120" s="26" t="s">
        <v>66</v>
      </c>
      <c r="C120" s="11">
        <v>18500</v>
      </c>
      <c r="D120" s="11">
        <v>18500</v>
      </c>
      <c r="E120" s="11">
        <v>18500</v>
      </c>
      <c r="F120" s="11">
        <v>18500</v>
      </c>
      <c r="G120" s="12">
        <v>0</v>
      </c>
      <c r="H120" s="13">
        <f t="shared" si="3"/>
        <v>0</v>
      </c>
      <c r="I120" s="13">
        <v>0</v>
      </c>
      <c r="J120" s="13">
        <v>0</v>
      </c>
      <c r="K120" s="14">
        <f t="shared" si="4"/>
        <v>0</v>
      </c>
      <c r="L120" s="13">
        <v>0</v>
      </c>
      <c r="M120" s="13">
        <v>0</v>
      </c>
      <c r="N120" s="14">
        <f t="shared" si="5"/>
        <v>0</v>
      </c>
      <c r="O120" s="14">
        <f t="shared" si="5"/>
        <v>0</v>
      </c>
      <c r="P120" s="4">
        <f t="shared" si="5"/>
        <v>0</v>
      </c>
      <c r="Q120" s="4"/>
    </row>
    <row r="121" spans="2:17" x14ac:dyDescent="0.4">
      <c r="B121" s="26" t="s">
        <v>67</v>
      </c>
      <c r="C121" s="11">
        <v>18500</v>
      </c>
      <c r="D121" s="11">
        <v>18500</v>
      </c>
      <c r="E121" s="11">
        <v>18500</v>
      </c>
      <c r="F121" s="11">
        <v>18500</v>
      </c>
      <c r="G121" s="12">
        <v>0</v>
      </c>
      <c r="H121" s="13">
        <f t="shared" si="3"/>
        <v>0</v>
      </c>
      <c r="I121" s="13">
        <v>0</v>
      </c>
      <c r="J121" s="13">
        <v>0</v>
      </c>
      <c r="K121" s="14">
        <f t="shared" si="4"/>
        <v>0</v>
      </c>
      <c r="L121" s="13">
        <v>0</v>
      </c>
      <c r="M121" s="13">
        <v>0</v>
      </c>
      <c r="N121" s="14">
        <f t="shared" si="5"/>
        <v>0</v>
      </c>
      <c r="O121" s="14">
        <f t="shared" si="5"/>
        <v>0</v>
      </c>
      <c r="P121" s="4">
        <f t="shared" si="5"/>
        <v>0</v>
      </c>
      <c r="Q121" s="4"/>
    </row>
    <row r="122" spans="2:17" x14ac:dyDescent="0.4">
      <c r="B122" s="26" t="s">
        <v>68</v>
      </c>
      <c r="C122" s="11">
        <v>18500</v>
      </c>
      <c r="D122" s="11">
        <v>18500</v>
      </c>
      <c r="E122" s="11">
        <v>18500</v>
      </c>
      <c r="F122" s="11">
        <v>18500</v>
      </c>
      <c r="G122" s="12">
        <v>0</v>
      </c>
      <c r="H122" s="13">
        <f t="shared" si="3"/>
        <v>0</v>
      </c>
      <c r="I122" s="13">
        <v>0</v>
      </c>
      <c r="J122" s="13">
        <v>0</v>
      </c>
      <c r="K122" s="14">
        <f t="shared" si="4"/>
        <v>0</v>
      </c>
      <c r="L122" s="13">
        <v>0</v>
      </c>
      <c r="M122" s="13">
        <v>0</v>
      </c>
      <c r="N122" s="14">
        <f t="shared" si="5"/>
        <v>0</v>
      </c>
      <c r="O122" s="14">
        <f t="shared" si="5"/>
        <v>0</v>
      </c>
      <c r="P122" s="4">
        <f t="shared" si="5"/>
        <v>0</v>
      </c>
      <c r="Q122" s="4"/>
    </row>
    <row r="123" spans="2:17" x14ac:dyDescent="0.4">
      <c r="B123" s="26" t="s">
        <v>69</v>
      </c>
      <c r="C123" s="11">
        <v>18500</v>
      </c>
      <c r="D123" s="11">
        <v>18500</v>
      </c>
      <c r="E123" s="11">
        <v>18500</v>
      </c>
      <c r="F123" s="11">
        <v>18500</v>
      </c>
      <c r="G123" s="12">
        <v>0</v>
      </c>
      <c r="H123" s="13">
        <f t="shared" si="3"/>
        <v>0</v>
      </c>
      <c r="I123" s="13">
        <v>0</v>
      </c>
      <c r="J123" s="13">
        <v>0</v>
      </c>
      <c r="K123" s="14">
        <f t="shared" si="4"/>
        <v>0</v>
      </c>
      <c r="L123" s="13">
        <v>0</v>
      </c>
      <c r="M123" s="13">
        <v>0</v>
      </c>
      <c r="N123" s="14">
        <f t="shared" si="5"/>
        <v>0</v>
      </c>
      <c r="O123" s="14">
        <f t="shared" si="5"/>
        <v>0</v>
      </c>
      <c r="P123" s="4">
        <f t="shared" si="5"/>
        <v>0</v>
      </c>
      <c r="Q123" s="4"/>
    </row>
    <row r="124" spans="2:17" x14ac:dyDescent="0.4">
      <c r="B124" s="26" t="s">
        <v>70</v>
      </c>
      <c r="C124" s="11">
        <v>18500</v>
      </c>
      <c r="D124" s="11">
        <v>18500</v>
      </c>
      <c r="E124" s="11">
        <v>18500</v>
      </c>
      <c r="F124" s="11">
        <v>18500</v>
      </c>
      <c r="G124" s="12">
        <v>0</v>
      </c>
      <c r="H124" s="13">
        <f t="shared" si="3"/>
        <v>0</v>
      </c>
      <c r="I124" s="13">
        <v>0</v>
      </c>
      <c r="J124" s="13">
        <v>0</v>
      </c>
      <c r="K124" s="14">
        <f t="shared" si="4"/>
        <v>0</v>
      </c>
      <c r="L124" s="13">
        <v>0</v>
      </c>
      <c r="M124" s="13">
        <v>0</v>
      </c>
      <c r="N124" s="14">
        <f t="shared" si="5"/>
        <v>0</v>
      </c>
      <c r="O124" s="14">
        <f t="shared" si="5"/>
        <v>0</v>
      </c>
      <c r="P124" s="4">
        <f t="shared" si="5"/>
        <v>0</v>
      </c>
      <c r="Q124" s="4"/>
    </row>
    <row r="125" spans="2:17" x14ac:dyDescent="0.4">
      <c r="B125" s="26" t="s">
        <v>71</v>
      </c>
      <c r="C125" s="11">
        <v>18500</v>
      </c>
      <c r="D125" s="11">
        <v>18500</v>
      </c>
      <c r="E125" s="11">
        <v>18500</v>
      </c>
      <c r="F125" s="11">
        <v>18500</v>
      </c>
      <c r="G125" s="12">
        <v>0</v>
      </c>
      <c r="H125" s="13">
        <f t="shared" si="3"/>
        <v>0</v>
      </c>
      <c r="I125" s="13">
        <v>0</v>
      </c>
      <c r="J125" s="13">
        <v>0</v>
      </c>
      <c r="K125" s="14">
        <f t="shared" si="4"/>
        <v>0</v>
      </c>
      <c r="L125" s="13">
        <v>0</v>
      </c>
      <c r="M125" s="13">
        <v>0</v>
      </c>
      <c r="N125" s="14">
        <f t="shared" si="5"/>
        <v>0</v>
      </c>
      <c r="O125" s="14">
        <f t="shared" si="5"/>
        <v>0</v>
      </c>
      <c r="P125" s="4">
        <f t="shared" si="5"/>
        <v>0</v>
      </c>
      <c r="Q125" s="4"/>
    </row>
    <row r="126" spans="2:17" x14ac:dyDescent="0.4">
      <c r="B126" s="26" t="s">
        <v>72</v>
      </c>
      <c r="C126" s="11">
        <v>18500</v>
      </c>
      <c r="D126" s="11">
        <v>18500</v>
      </c>
      <c r="E126" s="11">
        <v>18500</v>
      </c>
      <c r="F126" s="11">
        <v>18500</v>
      </c>
      <c r="G126" s="12">
        <v>0</v>
      </c>
      <c r="H126" s="13">
        <f t="shared" si="3"/>
        <v>0</v>
      </c>
      <c r="I126" s="13">
        <v>0</v>
      </c>
      <c r="J126" s="13">
        <v>0</v>
      </c>
      <c r="K126" s="14">
        <f t="shared" si="4"/>
        <v>0</v>
      </c>
      <c r="L126" s="13">
        <v>0</v>
      </c>
      <c r="M126" s="13">
        <v>0</v>
      </c>
      <c r="N126" s="14">
        <f t="shared" si="5"/>
        <v>0</v>
      </c>
      <c r="O126" s="14">
        <f t="shared" si="5"/>
        <v>0</v>
      </c>
      <c r="P126" s="4">
        <f t="shared" si="5"/>
        <v>0</v>
      </c>
      <c r="Q126" s="4"/>
    </row>
    <row r="127" spans="2:17" x14ac:dyDescent="0.4">
      <c r="B127" s="26" t="s">
        <v>73</v>
      </c>
      <c r="C127" s="11">
        <v>18500</v>
      </c>
      <c r="D127" s="11">
        <v>18500</v>
      </c>
      <c r="E127" s="11">
        <v>18500</v>
      </c>
      <c r="F127" s="11">
        <v>18500</v>
      </c>
      <c r="G127" s="12">
        <v>0</v>
      </c>
      <c r="H127" s="13">
        <f t="shared" si="3"/>
        <v>0</v>
      </c>
      <c r="I127" s="13">
        <v>0</v>
      </c>
      <c r="J127" s="13">
        <v>0</v>
      </c>
      <c r="K127" s="14">
        <f t="shared" si="4"/>
        <v>0</v>
      </c>
      <c r="L127" s="13">
        <v>0</v>
      </c>
      <c r="M127" s="13">
        <v>0</v>
      </c>
      <c r="N127" s="14">
        <f t="shared" si="5"/>
        <v>0</v>
      </c>
      <c r="O127" s="14">
        <f t="shared" si="5"/>
        <v>0</v>
      </c>
      <c r="P127" s="4">
        <f t="shared" si="5"/>
        <v>0</v>
      </c>
      <c r="Q127" s="4"/>
    </row>
    <row r="128" spans="2:17" ht="15" customHeight="1" x14ac:dyDescent="0.4">
      <c r="B128" s="26" t="s">
        <v>74</v>
      </c>
      <c r="C128" s="11">
        <v>18500</v>
      </c>
      <c r="D128" s="11">
        <v>18500</v>
      </c>
      <c r="E128" s="11">
        <v>18500</v>
      </c>
      <c r="F128" s="11">
        <v>18500</v>
      </c>
      <c r="G128" s="12">
        <v>0</v>
      </c>
      <c r="H128" s="13">
        <f t="shared" si="3"/>
        <v>0</v>
      </c>
      <c r="I128" s="13">
        <v>0</v>
      </c>
      <c r="J128" s="13">
        <v>0</v>
      </c>
      <c r="K128" s="14">
        <f t="shared" si="4"/>
        <v>0</v>
      </c>
      <c r="L128" s="13">
        <v>0</v>
      </c>
      <c r="M128" s="13">
        <v>0</v>
      </c>
      <c r="N128" s="14">
        <f t="shared" si="5"/>
        <v>0</v>
      </c>
      <c r="O128" s="14">
        <f t="shared" si="5"/>
        <v>0</v>
      </c>
      <c r="P128" s="4">
        <f t="shared" si="5"/>
        <v>0</v>
      </c>
      <c r="Q128" s="4"/>
    </row>
    <row r="129" spans="2:17" x14ac:dyDescent="0.4">
      <c r="B129" s="26" t="s">
        <v>75</v>
      </c>
      <c r="C129" s="11">
        <v>18500</v>
      </c>
      <c r="D129" s="11">
        <v>18500</v>
      </c>
      <c r="E129" s="11">
        <v>18500</v>
      </c>
      <c r="F129" s="11">
        <v>18500</v>
      </c>
      <c r="G129" s="12">
        <v>0</v>
      </c>
      <c r="H129" s="13">
        <f t="shared" si="3"/>
        <v>0</v>
      </c>
      <c r="I129" s="13">
        <v>0</v>
      </c>
      <c r="J129" s="13">
        <v>0</v>
      </c>
      <c r="K129" s="14">
        <f t="shared" si="4"/>
        <v>0</v>
      </c>
      <c r="L129" s="13">
        <v>0</v>
      </c>
      <c r="M129" s="13">
        <v>0</v>
      </c>
      <c r="N129" s="14">
        <f t="shared" si="5"/>
        <v>0</v>
      </c>
      <c r="O129" s="14">
        <f t="shared" si="5"/>
        <v>0</v>
      </c>
      <c r="P129" s="4">
        <f t="shared" si="5"/>
        <v>0</v>
      </c>
      <c r="Q129" s="4"/>
    </row>
    <row r="130" spans="2:17" x14ac:dyDescent="0.4">
      <c r="B130" s="26" t="s">
        <v>76</v>
      </c>
      <c r="C130" s="11">
        <v>18500</v>
      </c>
      <c r="D130" s="11">
        <v>18500</v>
      </c>
      <c r="E130" s="11">
        <v>18500</v>
      </c>
      <c r="F130" s="11">
        <v>18500</v>
      </c>
      <c r="G130" s="12">
        <v>0</v>
      </c>
      <c r="H130" s="13">
        <f t="shared" si="3"/>
        <v>0</v>
      </c>
      <c r="I130" s="13">
        <v>0</v>
      </c>
      <c r="J130" s="13">
        <v>0</v>
      </c>
      <c r="K130" s="14">
        <f t="shared" si="4"/>
        <v>0</v>
      </c>
      <c r="L130" s="13">
        <v>0</v>
      </c>
      <c r="M130" s="13">
        <v>0</v>
      </c>
      <c r="N130" s="14">
        <f t="shared" si="5"/>
        <v>0</v>
      </c>
      <c r="O130" s="14">
        <f t="shared" si="5"/>
        <v>0</v>
      </c>
      <c r="P130" s="4">
        <f t="shared" si="5"/>
        <v>0</v>
      </c>
      <c r="Q130" s="4"/>
    </row>
    <row r="131" spans="2:17" x14ac:dyDescent="0.4">
      <c r="B131" s="26" t="s">
        <v>77</v>
      </c>
      <c r="C131" s="11">
        <v>18500</v>
      </c>
      <c r="D131" s="11">
        <v>18500</v>
      </c>
      <c r="E131" s="11">
        <v>18500</v>
      </c>
      <c r="F131" s="11">
        <v>18500</v>
      </c>
      <c r="G131" s="12">
        <v>0</v>
      </c>
      <c r="H131" s="13">
        <f t="shared" si="3"/>
        <v>0</v>
      </c>
      <c r="I131" s="13">
        <v>0</v>
      </c>
      <c r="J131" s="13">
        <v>0</v>
      </c>
      <c r="K131" s="14">
        <f t="shared" si="4"/>
        <v>0</v>
      </c>
      <c r="L131" s="13">
        <v>0</v>
      </c>
      <c r="M131" s="13">
        <v>0</v>
      </c>
      <c r="N131" s="14">
        <f t="shared" si="5"/>
        <v>0</v>
      </c>
      <c r="O131" s="14">
        <f t="shared" si="5"/>
        <v>0</v>
      </c>
      <c r="P131" s="4">
        <f t="shared" si="5"/>
        <v>0</v>
      </c>
      <c r="Q131" s="4"/>
    </row>
    <row r="132" spans="2:17" x14ac:dyDescent="0.4">
      <c r="B132" s="26" t="s">
        <v>78</v>
      </c>
      <c r="C132" s="11">
        <v>18500</v>
      </c>
      <c r="D132" s="11">
        <v>18500</v>
      </c>
      <c r="E132" s="11">
        <v>18500</v>
      </c>
      <c r="F132" s="11">
        <v>18500</v>
      </c>
      <c r="G132" s="12">
        <v>0</v>
      </c>
      <c r="H132" s="13">
        <f t="shared" si="3"/>
        <v>0</v>
      </c>
      <c r="I132" s="13">
        <v>0</v>
      </c>
      <c r="J132" s="13">
        <v>0</v>
      </c>
      <c r="K132" s="14">
        <f t="shared" si="4"/>
        <v>0</v>
      </c>
      <c r="L132" s="13">
        <v>0</v>
      </c>
      <c r="M132" s="13">
        <v>0</v>
      </c>
      <c r="N132" s="14">
        <f t="shared" si="5"/>
        <v>0</v>
      </c>
      <c r="O132" s="14">
        <f t="shared" si="5"/>
        <v>0</v>
      </c>
      <c r="P132" s="4">
        <f t="shared" si="5"/>
        <v>0</v>
      </c>
      <c r="Q132" s="4"/>
    </row>
    <row r="133" spans="2:17" x14ac:dyDescent="0.4">
      <c r="B133" s="26" t="s">
        <v>79</v>
      </c>
      <c r="C133" s="11">
        <v>18500</v>
      </c>
      <c r="D133" s="11">
        <v>18500</v>
      </c>
      <c r="E133" s="11">
        <v>18500</v>
      </c>
      <c r="F133" s="11">
        <v>18500</v>
      </c>
      <c r="G133" s="12">
        <v>0</v>
      </c>
      <c r="H133" s="13">
        <f t="shared" si="3"/>
        <v>0</v>
      </c>
      <c r="I133" s="13">
        <v>0</v>
      </c>
      <c r="J133" s="13">
        <v>0</v>
      </c>
      <c r="K133" s="14">
        <f t="shared" si="4"/>
        <v>0</v>
      </c>
      <c r="L133" s="13">
        <v>0</v>
      </c>
      <c r="M133" s="13">
        <v>0</v>
      </c>
      <c r="N133" s="14">
        <f t="shared" si="5"/>
        <v>0</v>
      </c>
      <c r="O133" s="14">
        <f t="shared" si="5"/>
        <v>0</v>
      </c>
      <c r="P133" s="4">
        <f t="shared" si="5"/>
        <v>0</v>
      </c>
      <c r="Q133" s="4"/>
    </row>
    <row r="134" spans="2:17" x14ac:dyDescent="0.4">
      <c r="B134" s="26" t="s">
        <v>80</v>
      </c>
      <c r="C134" s="11">
        <v>18500</v>
      </c>
      <c r="D134" s="11">
        <v>18500</v>
      </c>
      <c r="E134" s="11">
        <v>18500</v>
      </c>
      <c r="F134" s="11">
        <v>18500</v>
      </c>
      <c r="G134" s="12">
        <v>0</v>
      </c>
      <c r="H134" s="13">
        <f t="shared" si="3"/>
        <v>0</v>
      </c>
      <c r="I134" s="13">
        <v>0</v>
      </c>
      <c r="J134" s="13">
        <v>0</v>
      </c>
      <c r="K134" s="14">
        <f t="shared" si="4"/>
        <v>0</v>
      </c>
      <c r="L134" s="13">
        <v>0</v>
      </c>
      <c r="M134" s="13">
        <v>0</v>
      </c>
      <c r="N134" s="14">
        <f t="shared" si="5"/>
        <v>0</v>
      </c>
      <c r="O134" s="14">
        <f t="shared" si="5"/>
        <v>0</v>
      </c>
      <c r="P134" s="4">
        <f t="shared" si="5"/>
        <v>0</v>
      </c>
      <c r="Q134" s="4"/>
    </row>
    <row r="135" spans="2:17" x14ac:dyDescent="0.4">
      <c r="B135" s="26" t="s">
        <v>81</v>
      </c>
      <c r="C135" s="11">
        <v>18500</v>
      </c>
      <c r="D135" s="11">
        <v>18500</v>
      </c>
      <c r="E135" s="11">
        <v>18500</v>
      </c>
      <c r="F135" s="11">
        <v>18500</v>
      </c>
      <c r="G135" s="12">
        <v>0</v>
      </c>
      <c r="H135" s="13">
        <f t="shared" ref="H135:H179" si="6">J135-I135</f>
        <v>0</v>
      </c>
      <c r="I135" s="13">
        <v>0</v>
      </c>
      <c r="J135" s="13">
        <v>0</v>
      </c>
      <c r="K135" s="14">
        <f t="shared" ref="K135:K179" si="7">M135-L135</f>
        <v>0</v>
      </c>
      <c r="L135" s="13">
        <v>0</v>
      </c>
      <c r="M135" s="13">
        <v>0</v>
      </c>
      <c r="N135" s="14">
        <f t="shared" ref="N135:P179" si="8">IFERROR(K135/H135,0)</f>
        <v>0</v>
      </c>
      <c r="O135" s="14">
        <f t="shared" si="8"/>
        <v>0</v>
      </c>
      <c r="P135" s="4">
        <f t="shared" si="8"/>
        <v>0</v>
      </c>
      <c r="Q135" s="4"/>
    </row>
    <row r="136" spans="2:17" x14ac:dyDescent="0.4">
      <c r="B136" s="26" t="s">
        <v>82</v>
      </c>
      <c r="C136" s="11">
        <v>18500</v>
      </c>
      <c r="D136" s="11">
        <v>18500</v>
      </c>
      <c r="E136" s="11">
        <v>18500</v>
      </c>
      <c r="F136" s="11">
        <v>18500</v>
      </c>
      <c r="G136" s="12">
        <v>0</v>
      </c>
      <c r="H136" s="13">
        <f t="shared" si="6"/>
        <v>0</v>
      </c>
      <c r="I136" s="13">
        <v>0</v>
      </c>
      <c r="J136" s="13">
        <v>0</v>
      </c>
      <c r="K136" s="14">
        <f t="shared" si="7"/>
        <v>0</v>
      </c>
      <c r="L136" s="13">
        <v>0</v>
      </c>
      <c r="M136" s="13">
        <v>0</v>
      </c>
      <c r="N136" s="14">
        <f t="shared" si="8"/>
        <v>0</v>
      </c>
      <c r="O136" s="14">
        <f t="shared" si="8"/>
        <v>0</v>
      </c>
      <c r="P136" s="4">
        <f t="shared" si="8"/>
        <v>0</v>
      </c>
      <c r="Q136" s="4"/>
    </row>
    <row r="137" spans="2:17" x14ac:dyDescent="0.4">
      <c r="B137" s="26" t="s">
        <v>83</v>
      </c>
      <c r="C137" s="11">
        <v>18500</v>
      </c>
      <c r="D137" s="11">
        <v>18500</v>
      </c>
      <c r="E137" s="11">
        <v>18500</v>
      </c>
      <c r="F137" s="11">
        <v>18500</v>
      </c>
      <c r="G137" s="12">
        <v>0</v>
      </c>
      <c r="H137" s="13">
        <f t="shared" si="6"/>
        <v>0</v>
      </c>
      <c r="I137" s="13">
        <v>0</v>
      </c>
      <c r="J137" s="13">
        <v>0</v>
      </c>
      <c r="K137" s="14">
        <f t="shared" si="7"/>
        <v>0</v>
      </c>
      <c r="L137" s="13">
        <v>0</v>
      </c>
      <c r="M137" s="13">
        <v>0</v>
      </c>
      <c r="N137" s="14">
        <f t="shared" si="8"/>
        <v>0</v>
      </c>
      <c r="O137" s="14">
        <f t="shared" si="8"/>
        <v>0</v>
      </c>
      <c r="P137" s="4">
        <f t="shared" si="8"/>
        <v>0</v>
      </c>
      <c r="Q137" s="4"/>
    </row>
    <row r="138" spans="2:17" x14ac:dyDescent="0.4">
      <c r="B138" s="26" t="s">
        <v>84</v>
      </c>
      <c r="C138" s="11">
        <v>18500</v>
      </c>
      <c r="D138" s="11">
        <v>18500</v>
      </c>
      <c r="E138" s="11">
        <v>18500</v>
      </c>
      <c r="F138" s="11">
        <v>18500</v>
      </c>
      <c r="G138" s="12">
        <v>0</v>
      </c>
      <c r="H138" s="13">
        <f t="shared" si="6"/>
        <v>0</v>
      </c>
      <c r="I138" s="13">
        <v>0</v>
      </c>
      <c r="J138" s="13">
        <v>0</v>
      </c>
      <c r="K138" s="14">
        <f t="shared" si="7"/>
        <v>0</v>
      </c>
      <c r="L138" s="13">
        <v>0</v>
      </c>
      <c r="M138" s="13">
        <v>0</v>
      </c>
      <c r="N138" s="14">
        <f t="shared" si="8"/>
        <v>0</v>
      </c>
      <c r="O138" s="14">
        <f t="shared" si="8"/>
        <v>0</v>
      </c>
      <c r="P138" s="4">
        <f t="shared" si="8"/>
        <v>0</v>
      </c>
      <c r="Q138" s="4"/>
    </row>
    <row r="139" spans="2:17" x14ac:dyDescent="0.4">
      <c r="B139" s="26" t="s">
        <v>85</v>
      </c>
      <c r="C139" s="11">
        <v>18500</v>
      </c>
      <c r="D139" s="11">
        <v>18500</v>
      </c>
      <c r="E139" s="11">
        <v>18500</v>
      </c>
      <c r="F139" s="11">
        <v>18500</v>
      </c>
      <c r="G139" s="12">
        <v>0</v>
      </c>
      <c r="H139" s="13">
        <f t="shared" si="6"/>
        <v>0</v>
      </c>
      <c r="I139" s="13">
        <v>0</v>
      </c>
      <c r="J139" s="13">
        <v>0</v>
      </c>
      <c r="K139" s="14">
        <f t="shared" si="7"/>
        <v>0</v>
      </c>
      <c r="L139" s="13">
        <v>0</v>
      </c>
      <c r="M139" s="13">
        <v>0</v>
      </c>
      <c r="N139" s="14">
        <f t="shared" si="8"/>
        <v>0</v>
      </c>
      <c r="O139" s="14">
        <f t="shared" si="8"/>
        <v>0</v>
      </c>
      <c r="P139" s="4">
        <f t="shared" si="8"/>
        <v>0</v>
      </c>
      <c r="Q139" s="4"/>
    </row>
    <row r="140" spans="2:17" x14ac:dyDescent="0.4">
      <c r="B140" s="26" t="s">
        <v>86</v>
      </c>
      <c r="C140" s="11">
        <v>18500</v>
      </c>
      <c r="D140" s="11">
        <v>18500</v>
      </c>
      <c r="E140" s="11">
        <v>18500</v>
      </c>
      <c r="F140" s="11">
        <v>18500</v>
      </c>
      <c r="G140" s="12">
        <v>0</v>
      </c>
      <c r="H140" s="13">
        <f t="shared" si="6"/>
        <v>0</v>
      </c>
      <c r="I140" s="13">
        <v>0</v>
      </c>
      <c r="J140" s="13">
        <v>0</v>
      </c>
      <c r="K140" s="14">
        <f t="shared" si="7"/>
        <v>0</v>
      </c>
      <c r="L140" s="13">
        <v>0</v>
      </c>
      <c r="M140" s="13">
        <v>0</v>
      </c>
      <c r="N140" s="14">
        <f t="shared" si="8"/>
        <v>0</v>
      </c>
      <c r="O140" s="14">
        <f t="shared" si="8"/>
        <v>0</v>
      </c>
      <c r="P140" s="4">
        <f t="shared" si="8"/>
        <v>0</v>
      </c>
      <c r="Q140" s="4"/>
    </row>
    <row r="141" spans="2:17" x14ac:dyDescent="0.4">
      <c r="B141" s="26" t="s">
        <v>87</v>
      </c>
      <c r="C141" s="11">
        <v>18500</v>
      </c>
      <c r="D141" s="11">
        <v>18500</v>
      </c>
      <c r="E141" s="11">
        <v>18500</v>
      </c>
      <c r="F141" s="11">
        <v>18500</v>
      </c>
      <c r="G141" s="12">
        <v>0</v>
      </c>
      <c r="H141" s="13">
        <f t="shared" si="6"/>
        <v>0</v>
      </c>
      <c r="I141" s="13">
        <v>0</v>
      </c>
      <c r="J141" s="13">
        <v>0</v>
      </c>
      <c r="K141" s="14">
        <f t="shared" si="7"/>
        <v>0</v>
      </c>
      <c r="L141" s="13">
        <v>0</v>
      </c>
      <c r="M141" s="13">
        <v>0</v>
      </c>
      <c r="N141" s="14">
        <f t="shared" si="8"/>
        <v>0</v>
      </c>
      <c r="O141" s="14">
        <f t="shared" si="8"/>
        <v>0</v>
      </c>
      <c r="P141" s="4">
        <f t="shared" si="8"/>
        <v>0</v>
      </c>
      <c r="Q141" s="4"/>
    </row>
    <row r="142" spans="2:17" x14ac:dyDescent="0.4">
      <c r="B142" s="26" t="s">
        <v>88</v>
      </c>
      <c r="C142" s="11">
        <v>18500</v>
      </c>
      <c r="D142" s="11">
        <v>18500</v>
      </c>
      <c r="E142" s="11">
        <v>18500</v>
      </c>
      <c r="F142" s="11">
        <v>18500</v>
      </c>
      <c r="G142" s="12">
        <v>0</v>
      </c>
      <c r="H142" s="13">
        <f t="shared" si="6"/>
        <v>0</v>
      </c>
      <c r="I142" s="13">
        <v>0</v>
      </c>
      <c r="J142" s="13">
        <v>0</v>
      </c>
      <c r="K142" s="14">
        <f t="shared" si="7"/>
        <v>0</v>
      </c>
      <c r="L142" s="13">
        <v>0</v>
      </c>
      <c r="M142" s="13">
        <v>0</v>
      </c>
      <c r="N142" s="14">
        <f t="shared" si="8"/>
        <v>0</v>
      </c>
      <c r="O142" s="14">
        <f t="shared" si="8"/>
        <v>0</v>
      </c>
      <c r="P142" s="4">
        <f t="shared" si="8"/>
        <v>0</v>
      </c>
      <c r="Q142" s="4"/>
    </row>
    <row r="143" spans="2:17" x14ac:dyDescent="0.4">
      <c r="B143" s="26" t="s">
        <v>89</v>
      </c>
      <c r="C143" s="11">
        <v>18500</v>
      </c>
      <c r="D143" s="11">
        <v>18500</v>
      </c>
      <c r="E143" s="11">
        <v>18500</v>
      </c>
      <c r="F143" s="11">
        <v>18500</v>
      </c>
      <c r="G143" s="12">
        <v>0</v>
      </c>
      <c r="H143" s="13">
        <f t="shared" si="6"/>
        <v>0</v>
      </c>
      <c r="I143" s="13">
        <v>0</v>
      </c>
      <c r="J143" s="13">
        <v>0</v>
      </c>
      <c r="K143" s="14">
        <f t="shared" si="7"/>
        <v>0</v>
      </c>
      <c r="L143" s="13">
        <v>0</v>
      </c>
      <c r="M143" s="13">
        <v>0</v>
      </c>
      <c r="N143" s="14">
        <f t="shared" si="8"/>
        <v>0</v>
      </c>
      <c r="O143" s="14">
        <f t="shared" si="8"/>
        <v>0</v>
      </c>
      <c r="P143" s="4">
        <f t="shared" si="8"/>
        <v>0</v>
      </c>
      <c r="Q143" s="4"/>
    </row>
    <row r="144" spans="2:17" x14ac:dyDescent="0.4">
      <c r="B144" s="26" t="s">
        <v>90</v>
      </c>
      <c r="C144" s="11">
        <v>18500</v>
      </c>
      <c r="D144" s="11">
        <v>18500</v>
      </c>
      <c r="E144" s="11">
        <v>18500</v>
      </c>
      <c r="F144" s="11">
        <v>18500</v>
      </c>
      <c r="G144" s="12">
        <v>0</v>
      </c>
      <c r="H144" s="13">
        <f t="shared" si="6"/>
        <v>0</v>
      </c>
      <c r="I144" s="13">
        <v>0</v>
      </c>
      <c r="J144" s="13">
        <v>0</v>
      </c>
      <c r="K144" s="14">
        <f t="shared" si="7"/>
        <v>0</v>
      </c>
      <c r="L144" s="13">
        <v>0</v>
      </c>
      <c r="M144" s="13">
        <v>0</v>
      </c>
      <c r="N144" s="14">
        <f t="shared" si="8"/>
        <v>0</v>
      </c>
      <c r="O144" s="14">
        <f t="shared" si="8"/>
        <v>0</v>
      </c>
      <c r="P144" s="4">
        <f t="shared" si="8"/>
        <v>0</v>
      </c>
      <c r="Q144" s="4"/>
    </row>
    <row r="145" spans="2:17" x14ac:dyDescent="0.4">
      <c r="B145" s="26" t="s">
        <v>91</v>
      </c>
      <c r="C145" s="11">
        <v>18500</v>
      </c>
      <c r="D145" s="11">
        <v>18500</v>
      </c>
      <c r="E145" s="11">
        <v>18500</v>
      </c>
      <c r="F145" s="11">
        <v>18500</v>
      </c>
      <c r="G145" s="12">
        <v>0</v>
      </c>
      <c r="H145" s="13">
        <f t="shared" si="6"/>
        <v>0</v>
      </c>
      <c r="I145" s="13">
        <v>0</v>
      </c>
      <c r="J145" s="13">
        <v>0</v>
      </c>
      <c r="K145" s="14">
        <f t="shared" si="7"/>
        <v>0</v>
      </c>
      <c r="L145" s="13">
        <v>0</v>
      </c>
      <c r="M145" s="13">
        <v>0</v>
      </c>
      <c r="N145" s="14">
        <f t="shared" si="8"/>
        <v>0</v>
      </c>
      <c r="O145" s="14">
        <f t="shared" si="8"/>
        <v>0</v>
      </c>
      <c r="P145" s="4">
        <f t="shared" si="8"/>
        <v>0</v>
      </c>
      <c r="Q145" s="4"/>
    </row>
    <row r="146" spans="2:17" x14ac:dyDescent="0.4">
      <c r="B146" s="26" t="s">
        <v>92</v>
      </c>
      <c r="C146" s="11">
        <v>18500</v>
      </c>
      <c r="D146" s="11">
        <v>18500</v>
      </c>
      <c r="E146" s="11">
        <v>18500</v>
      </c>
      <c r="F146" s="11">
        <v>18500</v>
      </c>
      <c r="G146" s="12">
        <v>0</v>
      </c>
      <c r="H146" s="13">
        <f t="shared" si="6"/>
        <v>0</v>
      </c>
      <c r="I146" s="13">
        <v>0</v>
      </c>
      <c r="J146" s="13">
        <v>0</v>
      </c>
      <c r="K146" s="14">
        <f t="shared" si="7"/>
        <v>0</v>
      </c>
      <c r="L146" s="13">
        <v>0</v>
      </c>
      <c r="M146" s="13">
        <v>0</v>
      </c>
      <c r="N146" s="14">
        <f t="shared" si="8"/>
        <v>0</v>
      </c>
      <c r="O146" s="14">
        <f t="shared" si="8"/>
        <v>0</v>
      </c>
      <c r="P146" s="4">
        <f t="shared" si="8"/>
        <v>0</v>
      </c>
      <c r="Q146" s="4"/>
    </row>
    <row r="147" spans="2:17" x14ac:dyDescent="0.4">
      <c r="B147" s="26" t="s">
        <v>93</v>
      </c>
      <c r="C147" s="11">
        <v>18500</v>
      </c>
      <c r="D147" s="11">
        <v>18500</v>
      </c>
      <c r="E147" s="11">
        <v>18500</v>
      </c>
      <c r="F147" s="11">
        <v>18500</v>
      </c>
      <c r="G147" s="12">
        <v>0</v>
      </c>
      <c r="H147" s="13">
        <f t="shared" si="6"/>
        <v>0</v>
      </c>
      <c r="I147" s="13">
        <v>0</v>
      </c>
      <c r="J147" s="13">
        <v>0</v>
      </c>
      <c r="K147" s="14">
        <f t="shared" si="7"/>
        <v>0</v>
      </c>
      <c r="L147" s="13">
        <v>0</v>
      </c>
      <c r="M147" s="13">
        <v>0</v>
      </c>
      <c r="N147" s="14">
        <f t="shared" si="8"/>
        <v>0</v>
      </c>
      <c r="O147" s="14">
        <f t="shared" si="8"/>
        <v>0</v>
      </c>
      <c r="P147" s="4">
        <f t="shared" si="8"/>
        <v>0</v>
      </c>
      <c r="Q147" s="4"/>
    </row>
    <row r="148" spans="2:17" x14ac:dyDescent="0.4">
      <c r="B148" s="26" t="s">
        <v>94</v>
      </c>
      <c r="C148" s="11">
        <v>18500</v>
      </c>
      <c r="D148" s="11">
        <v>18500</v>
      </c>
      <c r="E148" s="11">
        <v>18500</v>
      </c>
      <c r="F148" s="11">
        <v>18500</v>
      </c>
      <c r="G148" s="12">
        <v>0</v>
      </c>
      <c r="H148" s="13">
        <f t="shared" si="6"/>
        <v>0</v>
      </c>
      <c r="I148" s="13">
        <v>0</v>
      </c>
      <c r="J148" s="13">
        <v>0</v>
      </c>
      <c r="K148" s="14">
        <f t="shared" si="7"/>
        <v>0</v>
      </c>
      <c r="L148" s="13">
        <v>0</v>
      </c>
      <c r="M148" s="13">
        <v>0</v>
      </c>
      <c r="N148" s="14">
        <f t="shared" si="8"/>
        <v>0</v>
      </c>
      <c r="O148" s="14">
        <f t="shared" si="8"/>
        <v>0</v>
      </c>
      <c r="P148" s="4">
        <f t="shared" si="8"/>
        <v>0</v>
      </c>
      <c r="Q148" s="4"/>
    </row>
    <row r="149" spans="2:17" x14ac:dyDescent="0.4">
      <c r="B149" s="26" t="s">
        <v>95</v>
      </c>
      <c r="C149" s="11">
        <v>18500</v>
      </c>
      <c r="D149" s="11">
        <v>18500</v>
      </c>
      <c r="E149" s="11">
        <v>18500</v>
      </c>
      <c r="F149" s="11">
        <v>18500</v>
      </c>
      <c r="G149" s="12">
        <v>0</v>
      </c>
      <c r="H149" s="13">
        <f t="shared" si="6"/>
        <v>0</v>
      </c>
      <c r="I149" s="13">
        <v>0</v>
      </c>
      <c r="J149" s="13">
        <v>0</v>
      </c>
      <c r="K149" s="14">
        <f t="shared" si="7"/>
        <v>0</v>
      </c>
      <c r="L149" s="13">
        <v>0</v>
      </c>
      <c r="M149" s="13">
        <v>0</v>
      </c>
      <c r="N149" s="14">
        <f t="shared" si="8"/>
        <v>0</v>
      </c>
      <c r="O149" s="14">
        <f t="shared" si="8"/>
        <v>0</v>
      </c>
      <c r="P149" s="4">
        <f t="shared" si="8"/>
        <v>0</v>
      </c>
      <c r="Q149" s="4"/>
    </row>
    <row r="150" spans="2:17" x14ac:dyDescent="0.4">
      <c r="B150" s="26" t="s">
        <v>96</v>
      </c>
      <c r="C150" s="11">
        <v>18500</v>
      </c>
      <c r="D150" s="11">
        <v>18500</v>
      </c>
      <c r="E150" s="11">
        <v>18500</v>
      </c>
      <c r="F150" s="11">
        <v>18500</v>
      </c>
      <c r="G150" s="12">
        <v>0</v>
      </c>
      <c r="H150" s="13">
        <f t="shared" si="6"/>
        <v>0</v>
      </c>
      <c r="I150" s="13">
        <v>0</v>
      </c>
      <c r="J150" s="13">
        <v>0</v>
      </c>
      <c r="K150" s="14">
        <f t="shared" si="7"/>
        <v>0</v>
      </c>
      <c r="L150" s="13">
        <v>0</v>
      </c>
      <c r="M150" s="13">
        <v>0</v>
      </c>
      <c r="N150" s="14">
        <f t="shared" si="8"/>
        <v>0</v>
      </c>
      <c r="O150" s="14">
        <f t="shared" si="8"/>
        <v>0</v>
      </c>
      <c r="P150" s="4">
        <f t="shared" si="8"/>
        <v>0</v>
      </c>
      <c r="Q150" s="4"/>
    </row>
    <row r="151" spans="2:17" x14ac:dyDescent="0.4">
      <c r="B151" s="26" t="s">
        <v>97</v>
      </c>
      <c r="C151" s="11">
        <v>18500</v>
      </c>
      <c r="D151" s="11">
        <v>18500</v>
      </c>
      <c r="E151" s="11">
        <v>18500</v>
      </c>
      <c r="F151" s="11">
        <v>18500</v>
      </c>
      <c r="G151" s="12">
        <v>0</v>
      </c>
      <c r="H151" s="13">
        <f t="shared" si="6"/>
        <v>0</v>
      </c>
      <c r="I151" s="13">
        <v>0</v>
      </c>
      <c r="J151" s="13">
        <v>0</v>
      </c>
      <c r="K151" s="14">
        <f t="shared" si="7"/>
        <v>0</v>
      </c>
      <c r="L151" s="13">
        <v>0</v>
      </c>
      <c r="M151" s="13">
        <v>0</v>
      </c>
      <c r="N151" s="14">
        <f t="shared" si="8"/>
        <v>0</v>
      </c>
      <c r="O151" s="14">
        <f t="shared" si="8"/>
        <v>0</v>
      </c>
      <c r="P151" s="4">
        <f t="shared" si="8"/>
        <v>0</v>
      </c>
      <c r="Q151" s="4"/>
    </row>
    <row r="152" spans="2:17" x14ac:dyDescent="0.4">
      <c r="B152" s="26" t="s">
        <v>98</v>
      </c>
      <c r="C152" s="11">
        <v>18500</v>
      </c>
      <c r="D152" s="11">
        <v>18500</v>
      </c>
      <c r="E152" s="11">
        <v>18500</v>
      </c>
      <c r="F152" s="11">
        <v>18500</v>
      </c>
      <c r="G152" s="12">
        <v>0</v>
      </c>
      <c r="H152" s="13">
        <f t="shared" si="6"/>
        <v>0</v>
      </c>
      <c r="I152" s="13">
        <v>0</v>
      </c>
      <c r="J152" s="13">
        <v>0</v>
      </c>
      <c r="K152" s="14">
        <f t="shared" si="7"/>
        <v>0</v>
      </c>
      <c r="L152" s="13">
        <v>0</v>
      </c>
      <c r="M152" s="13">
        <v>0</v>
      </c>
      <c r="N152" s="14">
        <f t="shared" si="8"/>
        <v>0</v>
      </c>
      <c r="O152" s="14">
        <f t="shared" si="8"/>
        <v>0</v>
      </c>
      <c r="P152" s="4">
        <f t="shared" si="8"/>
        <v>0</v>
      </c>
      <c r="Q152" s="4"/>
    </row>
    <row r="153" spans="2:17" x14ac:dyDescent="0.4">
      <c r="B153" s="26" t="s">
        <v>99</v>
      </c>
      <c r="C153" s="11">
        <v>18500</v>
      </c>
      <c r="D153" s="11">
        <v>18500</v>
      </c>
      <c r="E153" s="11">
        <v>18500</v>
      </c>
      <c r="F153" s="11">
        <v>18500</v>
      </c>
      <c r="G153" s="12">
        <v>0</v>
      </c>
      <c r="H153" s="13">
        <f t="shared" si="6"/>
        <v>0</v>
      </c>
      <c r="I153" s="13">
        <v>0</v>
      </c>
      <c r="J153" s="13">
        <v>0</v>
      </c>
      <c r="K153" s="14">
        <f t="shared" si="7"/>
        <v>0</v>
      </c>
      <c r="L153" s="13">
        <v>0</v>
      </c>
      <c r="M153" s="13">
        <v>0</v>
      </c>
      <c r="N153" s="14">
        <f t="shared" si="8"/>
        <v>0</v>
      </c>
      <c r="O153" s="14">
        <f t="shared" si="8"/>
        <v>0</v>
      </c>
      <c r="P153" s="4">
        <f t="shared" si="8"/>
        <v>0</v>
      </c>
      <c r="Q153" s="4"/>
    </row>
    <row r="154" spans="2:17" x14ac:dyDescent="0.4">
      <c r="B154" s="26" t="s">
        <v>100</v>
      </c>
      <c r="C154" s="11">
        <v>18500</v>
      </c>
      <c r="D154" s="11">
        <v>18500</v>
      </c>
      <c r="E154" s="11">
        <v>18500</v>
      </c>
      <c r="F154" s="11">
        <v>18500</v>
      </c>
      <c r="G154" s="12">
        <v>0</v>
      </c>
      <c r="H154" s="13">
        <f t="shared" si="6"/>
        <v>0</v>
      </c>
      <c r="I154" s="13">
        <v>0</v>
      </c>
      <c r="J154" s="13">
        <v>0</v>
      </c>
      <c r="K154" s="14">
        <f t="shared" si="7"/>
        <v>0</v>
      </c>
      <c r="L154" s="13">
        <v>0</v>
      </c>
      <c r="M154" s="13">
        <v>0</v>
      </c>
      <c r="N154" s="14">
        <f t="shared" si="8"/>
        <v>0</v>
      </c>
      <c r="O154" s="14">
        <f t="shared" si="8"/>
        <v>0</v>
      </c>
      <c r="P154" s="4">
        <f t="shared" si="8"/>
        <v>0</v>
      </c>
      <c r="Q154" s="4"/>
    </row>
    <row r="155" spans="2:17" x14ac:dyDescent="0.4">
      <c r="B155" s="26" t="s">
        <v>101</v>
      </c>
      <c r="C155" s="11">
        <v>18500</v>
      </c>
      <c r="D155" s="11">
        <v>18500</v>
      </c>
      <c r="E155" s="11">
        <v>18500</v>
      </c>
      <c r="F155" s="11">
        <v>18500</v>
      </c>
      <c r="G155" s="12">
        <v>0</v>
      </c>
      <c r="H155" s="13">
        <f t="shared" si="6"/>
        <v>0</v>
      </c>
      <c r="I155" s="13">
        <v>0</v>
      </c>
      <c r="J155" s="13">
        <v>0</v>
      </c>
      <c r="K155" s="14">
        <f t="shared" si="7"/>
        <v>0</v>
      </c>
      <c r="L155" s="13">
        <v>0</v>
      </c>
      <c r="M155" s="13">
        <v>0</v>
      </c>
      <c r="N155" s="14">
        <f t="shared" si="8"/>
        <v>0</v>
      </c>
      <c r="O155" s="14">
        <f t="shared" si="8"/>
        <v>0</v>
      </c>
      <c r="P155" s="4">
        <f t="shared" si="8"/>
        <v>0</v>
      </c>
      <c r="Q155" s="4"/>
    </row>
    <row r="156" spans="2:17" x14ac:dyDescent="0.4">
      <c r="B156" s="26" t="s">
        <v>102</v>
      </c>
      <c r="C156" s="11">
        <v>18000</v>
      </c>
      <c r="D156" s="11">
        <v>18000</v>
      </c>
      <c r="E156" s="11">
        <v>18000</v>
      </c>
      <c r="F156" s="11">
        <v>18000</v>
      </c>
      <c r="G156" s="12">
        <v>-2.7</v>
      </c>
      <c r="H156" s="13">
        <f t="shared" si="6"/>
        <v>0</v>
      </c>
      <c r="I156" s="13">
        <v>0</v>
      </c>
      <c r="J156" s="13">
        <v>0</v>
      </c>
      <c r="K156" s="14">
        <f t="shared" si="7"/>
        <v>0</v>
      </c>
      <c r="L156" s="13">
        <v>0</v>
      </c>
      <c r="M156" s="13">
        <v>0</v>
      </c>
      <c r="N156" s="14">
        <f t="shared" si="8"/>
        <v>0</v>
      </c>
      <c r="O156" s="14">
        <f t="shared" si="8"/>
        <v>0</v>
      </c>
      <c r="P156" s="4">
        <f t="shared" si="8"/>
        <v>0</v>
      </c>
      <c r="Q156" s="4"/>
    </row>
    <row r="157" spans="2:17" x14ac:dyDescent="0.4">
      <c r="B157" s="26" t="s">
        <v>103</v>
      </c>
      <c r="C157" s="11">
        <v>18000</v>
      </c>
      <c r="D157" s="11">
        <v>18000</v>
      </c>
      <c r="E157" s="11">
        <v>18000</v>
      </c>
      <c r="F157" s="11">
        <v>18000</v>
      </c>
      <c r="G157" s="12">
        <v>0</v>
      </c>
      <c r="H157" s="13">
        <f t="shared" si="6"/>
        <v>0</v>
      </c>
      <c r="I157" s="13">
        <v>0</v>
      </c>
      <c r="J157" s="13">
        <v>0</v>
      </c>
      <c r="K157" s="14">
        <f t="shared" si="7"/>
        <v>0</v>
      </c>
      <c r="L157" s="13">
        <v>0</v>
      </c>
      <c r="M157" s="13">
        <v>0</v>
      </c>
      <c r="N157" s="14">
        <f t="shared" si="8"/>
        <v>0</v>
      </c>
      <c r="O157" s="14">
        <f t="shared" si="8"/>
        <v>0</v>
      </c>
      <c r="P157" s="4">
        <f t="shared" si="8"/>
        <v>0</v>
      </c>
      <c r="Q157" s="4"/>
    </row>
    <row r="158" spans="2:17" x14ac:dyDescent="0.4">
      <c r="B158" s="26" t="s">
        <v>104</v>
      </c>
      <c r="C158" s="11">
        <v>18000</v>
      </c>
      <c r="D158" s="11">
        <v>18000</v>
      </c>
      <c r="E158" s="11">
        <v>18000</v>
      </c>
      <c r="F158" s="11">
        <v>18000</v>
      </c>
      <c r="G158" s="12">
        <v>0</v>
      </c>
      <c r="H158" s="13">
        <f t="shared" si="6"/>
        <v>0</v>
      </c>
      <c r="I158" s="13">
        <v>0</v>
      </c>
      <c r="J158" s="13">
        <v>0</v>
      </c>
      <c r="K158" s="14">
        <f t="shared" si="7"/>
        <v>0</v>
      </c>
      <c r="L158" s="13">
        <v>0</v>
      </c>
      <c r="M158" s="13">
        <v>0</v>
      </c>
      <c r="N158" s="14">
        <f t="shared" si="8"/>
        <v>0</v>
      </c>
      <c r="O158" s="14">
        <f t="shared" si="8"/>
        <v>0</v>
      </c>
      <c r="P158" s="4">
        <f t="shared" si="8"/>
        <v>0</v>
      </c>
      <c r="Q158" s="4"/>
    </row>
    <row r="159" spans="2:17" x14ac:dyDescent="0.4">
      <c r="B159" s="26" t="s">
        <v>105</v>
      </c>
      <c r="C159" s="11">
        <v>18000</v>
      </c>
      <c r="D159" s="11">
        <v>18000</v>
      </c>
      <c r="E159" s="11">
        <v>18000</v>
      </c>
      <c r="F159" s="11">
        <v>18000</v>
      </c>
      <c r="G159" s="12">
        <v>0</v>
      </c>
      <c r="H159" s="13">
        <f t="shared" si="6"/>
        <v>0</v>
      </c>
      <c r="I159" s="13">
        <v>0</v>
      </c>
      <c r="J159" s="13">
        <v>0</v>
      </c>
      <c r="K159" s="14">
        <f t="shared" si="7"/>
        <v>0</v>
      </c>
      <c r="L159" s="13">
        <v>0</v>
      </c>
      <c r="M159" s="13">
        <v>0</v>
      </c>
      <c r="N159" s="14">
        <f t="shared" si="8"/>
        <v>0</v>
      </c>
      <c r="O159" s="14">
        <f t="shared" si="8"/>
        <v>0</v>
      </c>
      <c r="P159" s="4">
        <f t="shared" si="8"/>
        <v>0</v>
      </c>
      <c r="Q159" s="4"/>
    </row>
    <row r="160" spans="2:17" s="18" customFormat="1" ht="15.6" x14ac:dyDescent="0.4">
      <c r="B160" s="41" t="s">
        <v>106</v>
      </c>
      <c r="C160" s="11">
        <v>18000</v>
      </c>
      <c r="D160" s="11">
        <v>18000</v>
      </c>
      <c r="E160" s="11">
        <v>18000</v>
      </c>
      <c r="F160" s="13">
        <v>18000</v>
      </c>
      <c r="G160" s="19">
        <v>0</v>
      </c>
      <c r="H160" s="13">
        <f t="shared" si="6"/>
        <v>0</v>
      </c>
      <c r="I160" s="13">
        <v>0</v>
      </c>
      <c r="J160" s="13">
        <v>0</v>
      </c>
      <c r="K160" s="14">
        <f t="shared" si="7"/>
        <v>0</v>
      </c>
      <c r="L160" s="13">
        <v>0</v>
      </c>
      <c r="M160" s="13">
        <v>0</v>
      </c>
      <c r="N160" s="14">
        <f t="shared" si="8"/>
        <v>0</v>
      </c>
      <c r="O160" s="14">
        <f t="shared" si="8"/>
        <v>0</v>
      </c>
      <c r="P160" s="4">
        <f t="shared" si="8"/>
        <v>0</v>
      </c>
      <c r="Q160" s="4"/>
    </row>
    <row r="161" spans="2:17" s="18" customFormat="1" ht="15.6" x14ac:dyDescent="0.4">
      <c r="B161" s="41" t="s">
        <v>107</v>
      </c>
      <c r="C161" s="13">
        <v>17500</v>
      </c>
      <c r="D161" s="13">
        <v>17500</v>
      </c>
      <c r="E161" s="13">
        <v>17500</v>
      </c>
      <c r="F161" s="13">
        <v>17500</v>
      </c>
      <c r="G161" s="19">
        <v>-2.78</v>
      </c>
      <c r="H161" s="13">
        <f t="shared" si="6"/>
        <v>0</v>
      </c>
      <c r="I161" s="13">
        <v>0</v>
      </c>
      <c r="J161" s="13">
        <v>0</v>
      </c>
      <c r="K161" s="14">
        <f t="shared" si="7"/>
        <v>0</v>
      </c>
      <c r="L161" s="13">
        <v>0</v>
      </c>
      <c r="M161" s="13">
        <v>0</v>
      </c>
      <c r="N161" s="14">
        <f t="shared" si="8"/>
        <v>0</v>
      </c>
      <c r="O161" s="14">
        <f t="shared" si="8"/>
        <v>0</v>
      </c>
      <c r="P161" s="4">
        <f t="shared" si="8"/>
        <v>0</v>
      </c>
      <c r="Q161" s="4"/>
    </row>
    <row r="162" spans="2:17" s="18" customFormat="1" ht="15.6" x14ac:dyDescent="0.4">
      <c r="B162" s="41" t="s">
        <v>108</v>
      </c>
      <c r="C162" s="13">
        <v>17500</v>
      </c>
      <c r="D162" s="13">
        <v>17500</v>
      </c>
      <c r="E162" s="13">
        <v>17500</v>
      </c>
      <c r="F162" s="13">
        <v>17500</v>
      </c>
      <c r="G162" s="19">
        <v>0</v>
      </c>
      <c r="H162" s="13">
        <f t="shared" si="6"/>
        <v>0</v>
      </c>
      <c r="I162" s="13">
        <v>0</v>
      </c>
      <c r="J162" s="13">
        <v>0</v>
      </c>
      <c r="K162" s="14">
        <f t="shared" si="7"/>
        <v>0</v>
      </c>
      <c r="L162" s="13">
        <v>0</v>
      </c>
      <c r="M162" s="13">
        <v>0</v>
      </c>
      <c r="N162" s="14">
        <f t="shared" si="8"/>
        <v>0</v>
      </c>
      <c r="O162" s="14">
        <f t="shared" si="8"/>
        <v>0</v>
      </c>
      <c r="P162" s="4">
        <f t="shared" si="8"/>
        <v>0</v>
      </c>
      <c r="Q162" s="4"/>
    </row>
    <row r="163" spans="2:17" s="18" customFormat="1" ht="15.6" x14ac:dyDescent="0.4">
      <c r="B163" s="41" t="s">
        <v>109</v>
      </c>
      <c r="C163" s="13">
        <v>17500</v>
      </c>
      <c r="D163" s="13">
        <v>17500</v>
      </c>
      <c r="E163" s="13">
        <v>17500</v>
      </c>
      <c r="F163" s="13">
        <v>17500</v>
      </c>
      <c r="G163" s="19">
        <v>0</v>
      </c>
      <c r="H163" s="13">
        <f t="shared" si="6"/>
        <v>0</v>
      </c>
      <c r="I163" s="13">
        <v>0</v>
      </c>
      <c r="J163" s="13">
        <v>0</v>
      </c>
      <c r="K163" s="14">
        <f t="shared" si="7"/>
        <v>0</v>
      </c>
      <c r="L163" s="13">
        <v>0</v>
      </c>
      <c r="M163" s="13">
        <v>0</v>
      </c>
      <c r="N163" s="14">
        <f t="shared" si="8"/>
        <v>0</v>
      </c>
      <c r="O163" s="14">
        <f t="shared" si="8"/>
        <v>0</v>
      </c>
      <c r="P163" s="4">
        <f t="shared" si="8"/>
        <v>0</v>
      </c>
      <c r="Q163" s="4"/>
    </row>
    <row r="164" spans="2:17" s="18" customFormat="1" ht="15.6" x14ac:dyDescent="0.4">
      <c r="B164" s="41" t="s">
        <v>110</v>
      </c>
      <c r="C164" s="13">
        <v>17500</v>
      </c>
      <c r="D164" s="13">
        <v>17500</v>
      </c>
      <c r="E164" s="13">
        <v>17500</v>
      </c>
      <c r="F164" s="13">
        <v>17500</v>
      </c>
      <c r="G164" s="19">
        <v>0</v>
      </c>
      <c r="H164" s="13">
        <f t="shared" si="6"/>
        <v>0</v>
      </c>
      <c r="I164" s="13">
        <v>0</v>
      </c>
      <c r="J164" s="13">
        <v>0</v>
      </c>
      <c r="K164" s="14">
        <f t="shared" si="7"/>
        <v>0</v>
      </c>
      <c r="L164" s="13">
        <v>0</v>
      </c>
      <c r="M164" s="13">
        <v>0</v>
      </c>
      <c r="N164" s="14">
        <f t="shared" si="8"/>
        <v>0</v>
      </c>
      <c r="O164" s="14">
        <f t="shared" si="8"/>
        <v>0</v>
      </c>
      <c r="P164" s="4">
        <f t="shared" si="8"/>
        <v>0</v>
      </c>
      <c r="Q164" s="4"/>
    </row>
    <row r="165" spans="2:17" s="18" customFormat="1" ht="15.6" x14ac:dyDescent="0.4">
      <c r="B165" s="41" t="s">
        <v>111</v>
      </c>
      <c r="C165" s="13">
        <v>17500</v>
      </c>
      <c r="D165" s="13">
        <v>17500</v>
      </c>
      <c r="E165" s="13">
        <v>17500</v>
      </c>
      <c r="F165" s="13">
        <v>17500</v>
      </c>
      <c r="G165" s="19">
        <v>0</v>
      </c>
      <c r="H165" s="13">
        <f t="shared" si="6"/>
        <v>0</v>
      </c>
      <c r="I165" s="13">
        <v>0</v>
      </c>
      <c r="J165" s="13">
        <v>0</v>
      </c>
      <c r="K165" s="14">
        <f t="shared" si="7"/>
        <v>0</v>
      </c>
      <c r="L165" s="13">
        <v>0</v>
      </c>
      <c r="M165" s="13">
        <v>0</v>
      </c>
      <c r="N165" s="14">
        <f t="shared" si="8"/>
        <v>0</v>
      </c>
      <c r="O165" s="14">
        <f t="shared" si="8"/>
        <v>0</v>
      </c>
      <c r="P165" s="4">
        <f t="shared" si="8"/>
        <v>0</v>
      </c>
      <c r="Q165" s="4"/>
    </row>
    <row r="166" spans="2:17" s="18" customFormat="1" ht="15.6" x14ac:dyDescent="0.4">
      <c r="B166" s="41" t="s">
        <v>112</v>
      </c>
      <c r="C166" s="13">
        <v>17500</v>
      </c>
      <c r="D166" s="13">
        <v>17500</v>
      </c>
      <c r="E166" s="13">
        <v>17500</v>
      </c>
      <c r="F166" s="13">
        <v>17500</v>
      </c>
      <c r="G166" s="19">
        <v>0</v>
      </c>
      <c r="H166" s="13">
        <f t="shared" si="6"/>
        <v>0</v>
      </c>
      <c r="I166" s="13">
        <v>0</v>
      </c>
      <c r="J166" s="13">
        <v>0</v>
      </c>
      <c r="K166" s="14">
        <f t="shared" si="7"/>
        <v>0</v>
      </c>
      <c r="L166" s="13">
        <v>0</v>
      </c>
      <c r="M166" s="13">
        <v>0</v>
      </c>
      <c r="N166" s="14">
        <f t="shared" si="8"/>
        <v>0</v>
      </c>
      <c r="O166" s="14">
        <f t="shared" si="8"/>
        <v>0</v>
      </c>
      <c r="P166" s="4">
        <f t="shared" si="8"/>
        <v>0</v>
      </c>
      <c r="Q166" s="4"/>
    </row>
    <row r="167" spans="2:17" s="18" customFormat="1" ht="15.6" x14ac:dyDescent="0.4">
      <c r="B167" s="41" t="s">
        <v>113</v>
      </c>
      <c r="C167" s="13">
        <v>17500</v>
      </c>
      <c r="D167" s="87">
        <v>17500</v>
      </c>
      <c r="E167" s="13">
        <v>17500</v>
      </c>
      <c r="F167" s="13">
        <v>17500</v>
      </c>
      <c r="G167" s="19">
        <v>0</v>
      </c>
      <c r="H167" s="13">
        <f t="shared" si="6"/>
        <v>50000</v>
      </c>
      <c r="I167" s="13">
        <v>0</v>
      </c>
      <c r="J167" s="13">
        <v>50000</v>
      </c>
      <c r="K167" s="14">
        <f t="shared" si="7"/>
        <v>875000000</v>
      </c>
      <c r="L167" s="13">
        <v>0</v>
      </c>
      <c r="M167" s="13">
        <v>875000000</v>
      </c>
      <c r="N167" s="14">
        <f t="shared" si="8"/>
        <v>17500</v>
      </c>
      <c r="O167" s="14">
        <f t="shared" si="8"/>
        <v>0</v>
      </c>
      <c r="P167" s="4">
        <f t="shared" si="8"/>
        <v>17500</v>
      </c>
      <c r="Q167" s="4"/>
    </row>
    <row r="168" spans="2:17" s="18" customFormat="1" ht="15.6" x14ac:dyDescent="0.4">
      <c r="B168" s="41" t="s">
        <v>114</v>
      </c>
      <c r="C168" s="13">
        <v>17500</v>
      </c>
      <c r="D168" s="13">
        <v>17500</v>
      </c>
      <c r="E168" s="13">
        <v>17500</v>
      </c>
      <c r="F168" s="13">
        <v>17500</v>
      </c>
      <c r="G168" s="19">
        <v>0</v>
      </c>
      <c r="H168" s="13">
        <f t="shared" si="6"/>
        <v>0</v>
      </c>
      <c r="I168" s="13">
        <v>0</v>
      </c>
      <c r="J168" s="13">
        <v>0</v>
      </c>
      <c r="K168" s="14">
        <f t="shared" si="7"/>
        <v>0</v>
      </c>
      <c r="L168" s="13">
        <v>0</v>
      </c>
      <c r="M168" s="13">
        <v>0</v>
      </c>
      <c r="N168" s="14">
        <f t="shared" si="8"/>
        <v>0</v>
      </c>
      <c r="O168" s="14">
        <f t="shared" si="8"/>
        <v>0</v>
      </c>
      <c r="P168" s="4">
        <f t="shared" si="8"/>
        <v>0</v>
      </c>
      <c r="Q168" s="4"/>
    </row>
    <row r="169" spans="2:17" s="18" customFormat="1" ht="15.6" x14ac:dyDescent="0.4">
      <c r="B169" s="41" t="s">
        <v>115</v>
      </c>
      <c r="C169" s="13">
        <v>17500</v>
      </c>
      <c r="D169" s="13">
        <v>17500</v>
      </c>
      <c r="E169" s="13">
        <v>17500</v>
      </c>
      <c r="F169" s="13">
        <v>17500</v>
      </c>
      <c r="G169" s="19">
        <v>0</v>
      </c>
      <c r="H169" s="13">
        <f t="shared" si="6"/>
        <v>0</v>
      </c>
      <c r="I169" s="13">
        <v>0</v>
      </c>
      <c r="J169" s="13">
        <v>0</v>
      </c>
      <c r="K169" s="14">
        <f t="shared" si="7"/>
        <v>0</v>
      </c>
      <c r="L169" s="13">
        <v>0</v>
      </c>
      <c r="M169" s="13">
        <v>0</v>
      </c>
      <c r="N169" s="14">
        <f t="shared" si="8"/>
        <v>0</v>
      </c>
      <c r="O169" s="14">
        <f t="shared" si="8"/>
        <v>0</v>
      </c>
      <c r="P169" s="4">
        <f t="shared" si="8"/>
        <v>0</v>
      </c>
      <c r="Q169" s="4"/>
    </row>
    <row r="170" spans="2:17" s="18" customFormat="1" ht="15.6" x14ac:dyDescent="0.4">
      <c r="B170" s="41" t="s">
        <v>116</v>
      </c>
      <c r="C170" s="13">
        <v>17500</v>
      </c>
      <c r="D170" s="13">
        <v>17500</v>
      </c>
      <c r="E170" s="13">
        <v>17500</v>
      </c>
      <c r="F170" s="13">
        <v>17500</v>
      </c>
      <c r="G170" s="19">
        <v>0</v>
      </c>
      <c r="H170" s="13">
        <f t="shared" si="6"/>
        <v>0</v>
      </c>
      <c r="I170" s="13">
        <v>0</v>
      </c>
      <c r="J170" s="13">
        <v>0</v>
      </c>
      <c r="K170" s="14">
        <f t="shared" si="7"/>
        <v>0</v>
      </c>
      <c r="L170" s="13">
        <v>0</v>
      </c>
      <c r="M170" s="13">
        <v>0</v>
      </c>
      <c r="N170" s="14">
        <f t="shared" si="8"/>
        <v>0</v>
      </c>
      <c r="O170" s="14">
        <f t="shared" si="8"/>
        <v>0</v>
      </c>
      <c r="P170" s="4">
        <f t="shared" si="8"/>
        <v>0</v>
      </c>
      <c r="Q170" s="4"/>
    </row>
    <row r="171" spans="2:17" s="18" customFormat="1" ht="15.6" x14ac:dyDescent="0.4">
      <c r="B171" s="41" t="s">
        <v>117</v>
      </c>
      <c r="C171" s="13">
        <v>17500</v>
      </c>
      <c r="D171" s="13">
        <v>17500</v>
      </c>
      <c r="E171" s="13">
        <v>17500</v>
      </c>
      <c r="F171" s="13">
        <v>17500</v>
      </c>
      <c r="G171" s="19">
        <v>0</v>
      </c>
      <c r="H171" s="13">
        <f t="shared" si="6"/>
        <v>0</v>
      </c>
      <c r="I171" s="13">
        <v>0</v>
      </c>
      <c r="J171" s="13">
        <v>0</v>
      </c>
      <c r="K171" s="14">
        <f t="shared" si="7"/>
        <v>0</v>
      </c>
      <c r="L171" s="13">
        <v>0</v>
      </c>
      <c r="M171" s="13">
        <v>0</v>
      </c>
      <c r="N171" s="14">
        <f t="shared" si="8"/>
        <v>0</v>
      </c>
      <c r="O171" s="14">
        <f t="shared" si="8"/>
        <v>0</v>
      </c>
      <c r="P171" s="4">
        <f t="shared" si="8"/>
        <v>0</v>
      </c>
      <c r="Q171" s="4"/>
    </row>
    <row r="172" spans="2:17" s="18" customFormat="1" ht="15.6" x14ac:dyDescent="0.4">
      <c r="B172" s="41" t="s">
        <v>118</v>
      </c>
      <c r="C172" s="13">
        <v>17500</v>
      </c>
      <c r="D172" s="13">
        <v>17500</v>
      </c>
      <c r="E172" s="13">
        <v>17500</v>
      </c>
      <c r="F172" s="13">
        <v>17500</v>
      </c>
      <c r="G172" s="19">
        <v>0</v>
      </c>
      <c r="H172" s="13">
        <f t="shared" si="6"/>
        <v>0</v>
      </c>
      <c r="I172" s="13">
        <v>0</v>
      </c>
      <c r="J172" s="13">
        <v>0</v>
      </c>
      <c r="K172" s="14">
        <f t="shared" si="7"/>
        <v>0</v>
      </c>
      <c r="L172" s="13">
        <v>0</v>
      </c>
      <c r="M172" s="13">
        <v>0</v>
      </c>
      <c r="N172" s="14">
        <f t="shared" si="8"/>
        <v>0</v>
      </c>
      <c r="O172" s="14">
        <f t="shared" si="8"/>
        <v>0</v>
      </c>
      <c r="P172" s="4">
        <f t="shared" si="8"/>
        <v>0</v>
      </c>
      <c r="Q172" s="4"/>
    </row>
    <row r="173" spans="2:17" s="18" customFormat="1" ht="15.6" x14ac:dyDescent="0.4">
      <c r="B173" s="41" t="s">
        <v>119</v>
      </c>
      <c r="C173" s="13">
        <v>17500</v>
      </c>
      <c r="D173" s="13">
        <v>17500</v>
      </c>
      <c r="E173" s="13">
        <v>17500</v>
      </c>
      <c r="F173" s="13">
        <v>17500</v>
      </c>
      <c r="G173" s="19">
        <v>0</v>
      </c>
      <c r="H173" s="13">
        <f t="shared" si="6"/>
        <v>0</v>
      </c>
      <c r="I173" s="13">
        <v>0</v>
      </c>
      <c r="J173" s="13">
        <v>0</v>
      </c>
      <c r="K173" s="14">
        <f t="shared" si="7"/>
        <v>0</v>
      </c>
      <c r="L173" s="13">
        <v>0</v>
      </c>
      <c r="M173" s="13">
        <v>0</v>
      </c>
      <c r="N173" s="14">
        <f t="shared" si="8"/>
        <v>0</v>
      </c>
      <c r="O173" s="14">
        <f t="shared" si="8"/>
        <v>0</v>
      </c>
      <c r="P173" s="4">
        <f t="shared" si="8"/>
        <v>0</v>
      </c>
      <c r="Q173" s="4"/>
    </row>
    <row r="174" spans="2:17" s="18" customFormat="1" ht="15.6" x14ac:dyDescent="0.4">
      <c r="B174" s="41" t="s">
        <v>120</v>
      </c>
      <c r="C174" s="13">
        <v>17500</v>
      </c>
      <c r="D174" s="13">
        <v>17500</v>
      </c>
      <c r="E174" s="13">
        <v>17500</v>
      </c>
      <c r="F174" s="13">
        <v>17500</v>
      </c>
      <c r="G174" s="19">
        <v>0</v>
      </c>
      <c r="H174" s="13">
        <f t="shared" si="6"/>
        <v>0</v>
      </c>
      <c r="I174" s="13">
        <v>0</v>
      </c>
      <c r="J174" s="13">
        <v>0</v>
      </c>
      <c r="K174" s="14">
        <f t="shared" si="7"/>
        <v>0</v>
      </c>
      <c r="L174" s="13">
        <v>0</v>
      </c>
      <c r="M174" s="13">
        <v>0</v>
      </c>
      <c r="N174" s="14">
        <f t="shared" si="8"/>
        <v>0</v>
      </c>
      <c r="O174" s="14">
        <f t="shared" si="8"/>
        <v>0</v>
      </c>
      <c r="P174" s="4">
        <f t="shared" si="8"/>
        <v>0</v>
      </c>
      <c r="Q174" s="4"/>
    </row>
    <row r="175" spans="2:17" s="18" customFormat="1" ht="15.6" x14ac:dyDescent="0.4">
      <c r="B175" s="41" t="s">
        <v>121</v>
      </c>
      <c r="C175" s="13">
        <v>17500</v>
      </c>
      <c r="D175" s="13">
        <v>17500</v>
      </c>
      <c r="E175" s="13">
        <v>17500</v>
      </c>
      <c r="F175" s="13">
        <v>17500</v>
      </c>
      <c r="G175" s="19">
        <v>0</v>
      </c>
      <c r="H175" s="13">
        <f t="shared" si="6"/>
        <v>0</v>
      </c>
      <c r="I175" s="13">
        <v>0</v>
      </c>
      <c r="J175" s="13">
        <v>0</v>
      </c>
      <c r="K175" s="14">
        <f t="shared" si="7"/>
        <v>0</v>
      </c>
      <c r="L175" s="13">
        <v>0</v>
      </c>
      <c r="M175" s="13">
        <v>0</v>
      </c>
      <c r="N175" s="14">
        <f t="shared" si="8"/>
        <v>0</v>
      </c>
      <c r="O175" s="14">
        <f t="shared" si="8"/>
        <v>0</v>
      </c>
      <c r="P175" s="4">
        <f t="shared" si="8"/>
        <v>0</v>
      </c>
      <c r="Q175" s="4"/>
    </row>
    <row r="176" spans="2:17" s="18" customFormat="1" ht="15.6" x14ac:dyDescent="0.4">
      <c r="B176" s="41" t="s">
        <v>122</v>
      </c>
      <c r="C176" s="13">
        <v>17500</v>
      </c>
      <c r="D176" s="13">
        <v>17500</v>
      </c>
      <c r="E176" s="13">
        <v>17500</v>
      </c>
      <c r="F176" s="13">
        <v>17500</v>
      </c>
      <c r="G176" s="19">
        <v>0</v>
      </c>
      <c r="H176" s="13">
        <f t="shared" si="6"/>
        <v>0</v>
      </c>
      <c r="I176" s="13">
        <v>0</v>
      </c>
      <c r="J176" s="13">
        <v>0</v>
      </c>
      <c r="K176" s="14">
        <f t="shared" si="7"/>
        <v>0</v>
      </c>
      <c r="L176" s="13">
        <v>0</v>
      </c>
      <c r="M176" s="13">
        <v>0</v>
      </c>
      <c r="N176" s="14">
        <f t="shared" si="8"/>
        <v>0</v>
      </c>
      <c r="O176" s="14">
        <f t="shared" si="8"/>
        <v>0</v>
      </c>
      <c r="P176" s="4">
        <f t="shared" si="8"/>
        <v>0</v>
      </c>
      <c r="Q176" s="4"/>
    </row>
    <row r="177" spans="2:17" s="18" customFormat="1" ht="15.6" x14ac:dyDescent="0.4">
      <c r="B177" s="41" t="s">
        <v>123</v>
      </c>
      <c r="C177" s="13">
        <v>17500</v>
      </c>
      <c r="D177" s="13">
        <v>17500</v>
      </c>
      <c r="E177" s="13">
        <v>17500</v>
      </c>
      <c r="F177" s="13">
        <v>17500</v>
      </c>
      <c r="G177" s="19">
        <v>0</v>
      </c>
      <c r="H177" s="13">
        <f t="shared" si="6"/>
        <v>0</v>
      </c>
      <c r="I177" s="13">
        <v>0</v>
      </c>
      <c r="J177" s="13">
        <v>0</v>
      </c>
      <c r="K177" s="14">
        <f t="shared" si="7"/>
        <v>0</v>
      </c>
      <c r="L177" s="13">
        <v>0</v>
      </c>
      <c r="M177" s="13">
        <v>0</v>
      </c>
      <c r="N177" s="14">
        <f t="shared" si="8"/>
        <v>0</v>
      </c>
      <c r="O177" s="14">
        <f t="shared" si="8"/>
        <v>0</v>
      </c>
      <c r="P177" s="4">
        <f t="shared" si="8"/>
        <v>0</v>
      </c>
      <c r="Q177" s="4"/>
    </row>
    <row r="178" spans="2:17" s="18" customFormat="1" ht="15.6" x14ac:dyDescent="0.4">
      <c r="B178" s="41" t="s">
        <v>124</v>
      </c>
      <c r="C178" s="13">
        <v>18000</v>
      </c>
      <c r="D178" s="20">
        <v>18000</v>
      </c>
      <c r="E178" s="13">
        <v>18000</v>
      </c>
      <c r="F178" s="13">
        <v>18000</v>
      </c>
      <c r="G178" s="19">
        <v>2.86</v>
      </c>
      <c r="H178" s="13">
        <f t="shared" si="6"/>
        <v>50000</v>
      </c>
      <c r="I178" s="13">
        <v>0</v>
      </c>
      <c r="J178" s="13">
        <v>50000</v>
      </c>
      <c r="K178" s="14">
        <f t="shared" si="7"/>
        <v>900000000</v>
      </c>
      <c r="L178" s="13">
        <v>0</v>
      </c>
      <c r="M178" s="13">
        <v>900000000</v>
      </c>
      <c r="N178" s="14">
        <f t="shared" si="8"/>
        <v>18000</v>
      </c>
      <c r="O178" s="14">
        <f t="shared" si="8"/>
        <v>0</v>
      </c>
      <c r="P178" s="4">
        <f t="shared" si="8"/>
        <v>18000</v>
      </c>
      <c r="Q178" s="4"/>
    </row>
    <row r="179" spans="2:17" ht="15.6" customHeight="1" x14ac:dyDescent="0.4">
      <c r="B179" s="26" t="s">
        <v>125</v>
      </c>
      <c r="C179" s="13">
        <v>18000</v>
      </c>
      <c r="D179" s="13">
        <v>18000</v>
      </c>
      <c r="E179" s="13">
        <v>18000</v>
      </c>
      <c r="F179" s="11">
        <v>18000</v>
      </c>
      <c r="G179" s="12">
        <v>0</v>
      </c>
      <c r="H179" s="13">
        <f t="shared" si="6"/>
        <v>0</v>
      </c>
      <c r="I179" s="13">
        <v>0</v>
      </c>
      <c r="J179" s="13">
        <v>0</v>
      </c>
      <c r="K179" s="14">
        <f t="shared" si="7"/>
        <v>0</v>
      </c>
      <c r="L179" s="13">
        <v>0</v>
      </c>
      <c r="M179" s="13">
        <v>0</v>
      </c>
      <c r="N179" s="14">
        <f t="shared" si="8"/>
        <v>0</v>
      </c>
      <c r="O179" s="14">
        <f t="shared" si="8"/>
        <v>0</v>
      </c>
      <c r="P179" s="4">
        <f t="shared" si="8"/>
        <v>0</v>
      </c>
      <c r="Q179" s="4"/>
    </row>
    <row r="180" spans="2:17" x14ac:dyDescent="0.4">
      <c r="B180" s="26" t="s">
        <v>126</v>
      </c>
      <c r="C180" s="13">
        <v>18000</v>
      </c>
      <c r="D180" s="13">
        <v>18000</v>
      </c>
      <c r="E180" s="13">
        <v>18000</v>
      </c>
      <c r="F180" s="11">
        <v>18000</v>
      </c>
      <c r="G180" s="12">
        <v>0</v>
      </c>
      <c r="H180" s="13">
        <f>J180-I180</f>
        <v>0</v>
      </c>
      <c r="I180" s="13">
        <v>0</v>
      </c>
      <c r="J180" s="13">
        <v>0</v>
      </c>
      <c r="K180" s="14">
        <f>M180-L180</f>
        <v>0</v>
      </c>
      <c r="L180" s="13">
        <v>0</v>
      </c>
      <c r="M180" s="13">
        <v>0</v>
      </c>
      <c r="N180" s="14">
        <f t="shared" ref="N180:P195" si="9">IFERROR(K180/H180,0)</f>
        <v>0</v>
      </c>
      <c r="O180" s="14">
        <f t="shared" si="9"/>
        <v>0</v>
      </c>
      <c r="P180" s="4">
        <f t="shared" si="9"/>
        <v>0</v>
      </c>
      <c r="Q180" s="4"/>
    </row>
    <row r="181" spans="2:17" x14ac:dyDescent="0.4">
      <c r="B181" s="26" t="s">
        <v>127</v>
      </c>
      <c r="C181" s="13">
        <v>18000</v>
      </c>
      <c r="D181" s="13">
        <v>18000</v>
      </c>
      <c r="E181" s="13">
        <v>18000</v>
      </c>
      <c r="F181" s="11">
        <v>18000</v>
      </c>
      <c r="G181" s="12">
        <v>0</v>
      </c>
      <c r="H181" s="13">
        <f>J181-I181</f>
        <v>0</v>
      </c>
      <c r="I181" s="13">
        <v>0</v>
      </c>
      <c r="J181" s="13">
        <v>0</v>
      </c>
      <c r="K181" s="14">
        <f>M181-L181</f>
        <v>0</v>
      </c>
      <c r="L181" s="13">
        <v>0</v>
      </c>
      <c r="M181" s="13">
        <v>0</v>
      </c>
      <c r="N181" s="14">
        <f t="shared" si="9"/>
        <v>0</v>
      </c>
      <c r="O181" s="14">
        <f t="shared" si="9"/>
        <v>0</v>
      </c>
      <c r="P181" s="4">
        <f t="shared" si="9"/>
        <v>0</v>
      </c>
      <c r="Q181" s="4"/>
    </row>
    <row r="182" spans="2:17" x14ac:dyDescent="0.4">
      <c r="B182" s="26" t="s">
        <v>128</v>
      </c>
      <c r="C182" s="13">
        <v>18000</v>
      </c>
      <c r="D182" s="13">
        <v>18000</v>
      </c>
      <c r="E182" s="13">
        <v>18000</v>
      </c>
      <c r="F182" s="11">
        <v>18000</v>
      </c>
      <c r="G182" s="12">
        <v>0</v>
      </c>
      <c r="H182" s="13">
        <f t="shared" ref="H182:H245" si="10">J182-I182</f>
        <v>0</v>
      </c>
      <c r="I182" s="13">
        <v>0</v>
      </c>
      <c r="J182" s="13">
        <v>0</v>
      </c>
      <c r="K182" s="14">
        <f t="shared" ref="K182:K245" si="11">M182-L182</f>
        <v>0</v>
      </c>
      <c r="L182" s="13">
        <v>0</v>
      </c>
      <c r="M182" s="13">
        <v>0</v>
      </c>
      <c r="N182" s="14">
        <f t="shared" si="9"/>
        <v>0</v>
      </c>
      <c r="O182" s="14">
        <f t="shared" si="9"/>
        <v>0</v>
      </c>
      <c r="P182" s="4">
        <f t="shared" si="9"/>
        <v>0</v>
      </c>
      <c r="Q182" s="4"/>
    </row>
    <row r="183" spans="2:17" x14ac:dyDescent="0.4">
      <c r="B183" s="26" t="s">
        <v>129</v>
      </c>
      <c r="C183" s="13">
        <v>18000</v>
      </c>
      <c r="D183" s="13">
        <v>18000</v>
      </c>
      <c r="E183" s="13">
        <v>18000</v>
      </c>
      <c r="F183" s="11">
        <v>18000</v>
      </c>
      <c r="G183" s="12">
        <v>0</v>
      </c>
      <c r="H183" s="13">
        <f t="shared" si="10"/>
        <v>0</v>
      </c>
      <c r="I183" s="13">
        <v>0</v>
      </c>
      <c r="J183" s="13">
        <v>0</v>
      </c>
      <c r="K183" s="14">
        <f t="shared" si="11"/>
        <v>0</v>
      </c>
      <c r="L183" s="13">
        <v>0</v>
      </c>
      <c r="M183" s="13">
        <v>0</v>
      </c>
      <c r="N183" s="14">
        <f t="shared" si="9"/>
        <v>0</v>
      </c>
      <c r="O183" s="14">
        <f t="shared" si="9"/>
        <v>0</v>
      </c>
      <c r="P183" s="4">
        <f t="shared" si="9"/>
        <v>0</v>
      </c>
      <c r="Q183" s="4"/>
    </row>
    <row r="184" spans="2:17" x14ac:dyDescent="0.4">
      <c r="B184" s="26" t="s">
        <v>130</v>
      </c>
      <c r="C184" s="13">
        <v>18000</v>
      </c>
      <c r="D184" s="13">
        <v>18000</v>
      </c>
      <c r="E184" s="13">
        <v>18000</v>
      </c>
      <c r="F184" s="11">
        <v>18000</v>
      </c>
      <c r="G184" s="12">
        <v>0</v>
      </c>
      <c r="H184" s="13">
        <f t="shared" si="10"/>
        <v>0</v>
      </c>
      <c r="I184" s="13">
        <v>0</v>
      </c>
      <c r="J184" s="13">
        <v>0</v>
      </c>
      <c r="K184" s="14">
        <f t="shared" si="11"/>
        <v>0</v>
      </c>
      <c r="L184" s="13">
        <v>0</v>
      </c>
      <c r="M184" s="13">
        <v>0</v>
      </c>
      <c r="N184" s="14">
        <f t="shared" si="9"/>
        <v>0</v>
      </c>
      <c r="O184" s="14">
        <f t="shared" si="9"/>
        <v>0</v>
      </c>
      <c r="P184" s="4">
        <f t="shared" si="9"/>
        <v>0</v>
      </c>
      <c r="Q184" s="4"/>
    </row>
    <row r="185" spans="2:17" x14ac:dyDescent="0.4">
      <c r="B185" s="26" t="s">
        <v>131</v>
      </c>
      <c r="C185" s="13">
        <v>18000</v>
      </c>
      <c r="D185" s="13">
        <v>18000</v>
      </c>
      <c r="E185" s="13">
        <v>18000</v>
      </c>
      <c r="F185" s="11">
        <v>18000</v>
      </c>
      <c r="G185" s="12">
        <v>0</v>
      </c>
      <c r="H185" s="13">
        <f t="shared" si="10"/>
        <v>0</v>
      </c>
      <c r="I185" s="13">
        <v>0</v>
      </c>
      <c r="J185" s="13">
        <v>0</v>
      </c>
      <c r="K185" s="14">
        <f t="shared" si="11"/>
        <v>0</v>
      </c>
      <c r="L185" s="13">
        <v>0</v>
      </c>
      <c r="M185" s="13">
        <v>0</v>
      </c>
      <c r="N185" s="14">
        <f t="shared" si="9"/>
        <v>0</v>
      </c>
      <c r="O185" s="14">
        <f t="shared" si="9"/>
        <v>0</v>
      </c>
      <c r="P185" s="4">
        <f t="shared" si="9"/>
        <v>0</v>
      </c>
      <c r="Q185" s="4"/>
    </row>
    <row r="186" spans="2:17" x14ac:dyDescent="0.4">
      <c r="B186" s="26" t="s">
        <v>132</v>
      </c>
      <c r="C186" s="13">
        <v>18000</v>
      </c>
      <c r="D186" s="13">
        <v>18000</v>
      </c>
      <c r="E186" s="13">
        <v>18000</v>
      </c>
      <c r="F186" s="11">
        <v>18000</v>
      </c>
      <c r="G186" s="12">
        <v>0</v>
      </c>
      <c r="H186" s="13">
        <f t="shared" si="10"/>
        <v>0</v>
      </c>
      <c r="I186" s="13">
        <v>0</v>
      </c>
      <c r="J186" s="13">
        <v>0</v>
      </c>
      <c r="K186" s="14">
        <f t="shared" si="11"/>
        <v>0</v>
      </c>
      <c r="L186" s="13">
        <v>0</v>
      </c>
      <c r="M186" s="13">
        <v>0</v>
      </c>
      <c r="N186" s="14">
        <f t="shared" si="9"/>
        <v>0</v>
      </c>
      <c r="O186" s="14">
        <f t="shared" si="9"/>
        <v>0</v>
      </c>
      <c r="P186" s="4">
        <f t="shared" si="9"/>
        <v>0</v>
      </c>
      <c r="Q186" s="4"/>
    </row>
    <row r="187" spans="2:17" x14ac:dyDescent="0.4">
      <c r="B187" s="26" t="s">
        <v>133</v>
      </c>
      <c r="C187" s="13">
        <v>18000</v>
      </c>
      <c r="D187" s="13">
        <v>18000</v>
      </c>
      <c r="E187" s="13">
        <v>18000</v>
      </c>
      <c r="F187" s="11">
        <v>18000</v>
      </c>
      <c r="G187" s="12">
        <v>0</v>
      </c>
      <c r="H187" s="13">
        <f t="shared" si="10"/>
        <v>0</v>
      </c>
      <c r="I187" s="13">
        <v>0</v>
      </c>
      <c r="J187" s="13">
        <v>0</v>
      </c>
      <c r="K187" s="14">
        <f t="shared" si="11"/>
        <v>0</v>
      </c>
      <c r="L187" s="13">
        <v>0</v>
      </c>
      <c r="M187" s="13">
        <v>0</v>
      </c>
      <c r="N187" s="14">
        <f t="shared" si="9"/>
        <v>0</v>
      </c>
      <c r="O187" s="14">
        <f t="shared" si="9"/>
        <v>0</v>
      </c>
      <c r="P187" s="4">
        <f t="shared" si="9"/>
        <v>0</v>
      </c>
      <c r="Q187" s="4" t="str">
        <f>IFERROR(SUM(M183:M187)/SUM(J183:J187),"")</f>
        <v/>
      </c>
    </row>
    <row r="188" spans="2:17" x14ac:dyDescent="0.4">
      <c r="B188" s="42">
        <v>42660</v>
      </c>
      <c r="C188" s="11">
        <v>18000</v>
      </c>
      <c r="D188" s="11">
        <v>18000</v>
      </c>
      <c r="E188" s="11">
        <v>18000</v>
      </c>
      <c r="F188" s="11">
        <v>18000</v>
      </c>
      <c r="G188" s="12">
        <v>0</v>
      </c>
      <c r="H188" s="13">
        <f t="shared" si="10"/>
        <v>0</v>
      </c>
      <c r="I188" s="13">
        <v>0</v>
      </c>
      <c r="J188" s="13">
        <v>0</v>
      </c>
      <c r="K188" s="14">
        <f t="shared" si="11"/>
        <v>0</v>
      </c>
      <c r="L188" s="13">
        <v>0</v>
      </c>
      <c r="M188" s="13">
        <v>0</v>
      </c>
      <c r="N188" s="14">
        <f t="shared" si="9"/>
        <v>0</v>
      </c>
      <c r="O188" s="14">
        <f t="shared" si="9"/>
        <v>0</v>
      </c>
      <c r="P188" s="4">
        <f t="shared" si="9"/>
        <v>0</v>
      </c>
      <c r="Q188" s="4"/>
    </row>
    <row r="189" spans="2:17" x14ac:dyDescent="0.4">
      <c r="B189" s="42">
        <v>42661</v>
      </c>
      <c r="C189" s="11">
        <v>18000</v>
      </c>
      <c r="D189" s="11">
        <v>18000</v>
      </c>
      <c r="E189" s="11">
        <v>18000</v>
      </c>
      <c r="F189" s="11">
        <v>18000</v>
      </c>
      <c r="G189" s="12">
        <v>0</v>
      </c>
      <c r="H189" s="13">
        <f t="shared" si="10"/>
        <v>0</v>
      </c>
      <c r="I189" s="13">
        <v>0</v>
      </c>
      <c r="J189" s="13">
        <v>0</v>
      </c>
      <c r="K189" s="14">
        <f t="shared" si="11"/>
        <v>0</v>
      </c>
      <c r="L189" s="13">
        <v>0</v>
      </c>
      <c r="M189" s="13">
        <v>0</v>
      </c>
      <c r="N189" s="14">
        <f t="shared" si="9"/>
        <v>0</v>
      </c>
      <c r="O189" s="14">
        <f t="shared" si="9"/>
        <v>0</v>
      </c>
      <c r="P189" s="4">
        <f t="shared" si="9"/>
        <v>0</v>
      </c>
      <c r="Q189" s="4"/>
    </row>
    <row r="190" spans="2:17" x14ac:dyDescent="0.4">
      <c r="B190" s="42">
        <v>42662</v>
      </c>
      <c r="C190" s="11">
        <v>18000</v>
      </c>
      <c r="D190" s="11">
        <v>18000</v>
      </c>
      <c r="E190" s="11">
        <v>18000</v>
      </c>
      <c r="F190" s="11">
        <v>18000</v>
      </c>
      <c r="G190" s="12">
        <v>0</v>
      </c>
      <c r="H190" s="13">
        <f t="shared" si="10"/>
        <v>0</v>
      </c>
      <c r="I190" s="13">
        <v>0</v>
      </c>
      <c r="J190" s="13">
        <v>0</v>
      </c>
      <c r="K190" s="14">
        <f t="shared" si="11"/>
        <v>0</v>
      </c>
      <c r="L190" s="13">
        <v>0</v>
      </c>
      <c r="M190" s="13">
        <v>0</v>
      </c>
      <c r="N190" s="14">
        <f t="shared" si="9"/>
        <v>0</v>
      </c>
      <c r="O190" s="14">
        <f t="shared" si="9"/>
        <v>0</v>
      </c>
      <c r="P190" s="4">
        <f t="shared" si="9"/>
        <v>0</v>
      </c>
      <c r="Q190" s="4"/>
    </row>
    <row r="191" spans="2:17" x14ac:dyDescent="0.4">
      <c r="B191" s="42">
        <v>42663</v>
      </c>
      <c r="C191" s="11">
        <v>18000</v>
      </c>
      <c r="D191" s="11">
        <v>18000</v>
      </c>
      <c r="E191" s="11">
        <v>18000</v>
      </c>
      <c r="F191" s="11">
        <v>18000</v>
      </c>
      <c r="G191" s="12">
        <v>0</v>
      </c>
      <c r="H191" s="13">
        <f t="shared" si="10"/>
        <v>0</v>
      </c>
      <c r="I191" s="13">
        <v>0</v>
      </c>
      <c r="J191" s="13">
        <v>0</v>
      </c>
      <c r="K191" s="14">
        <f t="shared" si="11"/>
        <v>0</v>
      </c>
      <c r="L191" s="13">
        <v>0</v>
      </c>
      <c r="M191" s="13">
        <v>0</v>
      </c>
      <c r="N191" s="14">
        <f t="shared" si="9"/>
        <v>0</v>
      </c>
      <c r="O191" s="14">
        <f t="shared" si="9"/>
        <v>0</v>
      </c>
      <c r="P191" s="4">
        <f t="shared" si="9"/>
        <v>0</v>
      </c>
      <c r="Q191" s="4"/>
    </row>
    <row r="192" spans="2:17" x14ac:dyDescent="0.4">
      <c r="B192" s="42">
        <v>42664</v>
      </c>
      <c r="C192" s="11">
        <v>18000</v>
      </c>
      <c r="D192" s="11">
        <v>18000</v>
      </c>
      <c r="E192" s="11">
        <v>18000</v>
      </c>
      <c r="F192" s="11">
        <v>18000</v>
      </c>
      <c r="G192" s="12">
        <v>0</v>
      </c>
      <c r="H192" s="13">
        <f t="shared" si="10"/>
        <v>0</v>
      </c>
      <c r="I192" s="13">
        <v>0</v>
      </c>
      <c r="J192" s="13">
        <v>0</v>
      </c>
      <c r="K192" s="14">
        <f t="shared" si="11"/>
        <v>0</v>
      </c>
      <c r="L192" s="13">
        <v>0</v>
      </c>
      <c r="M192" s="13">
        <v>0</v>
      </c>
      <c r="N192" s="14">
        <f t="shared" si="9"/>
        <v>0</v>
      </c>
      <c r="O192" s="14">
        <f t="shared" si="9"/>
        <v>0</v>
      </c>
      <c r="P192" s="4">
        <f t="shared" si="9"/>
        <v>0</v>
      </c>
      <c r="Q192" s="4" t="str">
        <f>IFERROR(SUM(M188:M192)/SUM(J188:J192),"")</f>
        <v/>
      </c>
    </row>
    <row r="193" spans="2:17" x14ac:dyDescent="0.4">
      <c r="B193" s="26">
        <v>42667</v>
      </c>
      <c r="C193" s="11">
        <v>18000</v>
      </c>
      <c r="D193" s="11">
        <v>18000</v>
      </c>
      <c r="E193" s="11">
        <v>18000</v>
      </c>
      <c r="F193" s="11">
        <v>18000</v>
      </c>
      <c r="G193" s="12">
        <v>0</v>
      </c>
      <c r="H193" s="13">
        <f t="shared" si="10"/>
        <v>0</v>
      </c>
      <c r="I193" s="13">
        <v>0</v>
      </c>
      <c r="J193" s="13">
        <v>0</v>
      </c>
      <c r="K193" s="14">
        <f t="shared" si="11"/>
        <v>0</v>
      </c>
      <c r="L193" s="13">
        <v>0</v>
      </c>
      <c r="M193" s="13">
        <v>0</v>
      </c>
      <c r="N193" s="14">
        <f t="shared" si="9"/>
        <v>0</v>
      </c>
      <c r="O193" s="14">
        <f t="shared" si="9"/>
        <v>0</v>
      </c>
      <c r="P193" s="4">
        <f t="shared" si="9"/>
        <v>0</v>
      </c>
      <c r="Q193" s="4"/>
    </row>
    <row r="194" spans="2:17" x14ac:dyDescent="0.4">
      <c r="B194" s="26">
        <v>42668</v>
      </c>
      <c r="C194" s="21">
        <v>18000</v>
      </c>
      <c r="D194" s="25">
        <v>18000</v>
      </c>
      <c r="E194" s="21">
        <v>18000</v>
      </c>
      <c r="F194" s="21">
        <v>18000</v>
      </c>
      <c r="G194" s="12">
        <v>0</v>
      </c>
      <c r="H194" s="13">
        <f t="shared" si="10"/>
        <v>0</v>
      </c>
      <c r="I194" s="13">
        <v>0</v>
      </c>
      <c r="J194" s="13">
        <v>0</v>
      </c>
      <c r="K194" s="14">
        <f t="shared" si="11"/>
        <v>0</v>
      </c>
      <c r="L194" s="13">
        <v>0</v>
      </c>
      <c r="M194" s="13">
        <v>0</v>
      </c>
      <c r="N194" s="14">
        <f t="shared" si="9"/>
        <v>0</v>
      </c>
      <c r="O194" s="14">
        <f t="shared" si="9"/>
        <v>0</v>
      </c>
      <c r="P194" s="4">
        <f t="shared" si="9"/>
        <v>0</v>
      </c>
      <c r="Q194" s="4"/>
    </row>
    <row r="195" spans="2:17" x14ac:dyDescent="0.4">
      <c r="B195" s="26">
        <v>42669</v>
      </c>
      <c r="C195" s="21">
        <v>18000</v>
      </c>
      <c r="D195" s="25">
        <v>18000</v>
      </c>
      <c r="E195" s="21">
        <v>18000</v>
      </c>
      <c r="F195" s="21">
        <v>18000</v>
      </c>
      <c r="G195" s="12">
        <v>0</v>
      </c>
      <c r="H195" s="13">
        <f t="shared" si="10"/>
        <v>0</v>
      </c>
      <c r="I195" s="13">
        <v>0</v>
      </c>
      <c r="J195" s="13">
        <v>0</v>
      </c>
      <c r="K195" s="14">
        <f t="shared" si="11"/>
        <v>0</v>
      </c>
      <c r="L195" s="13">
        <v>0</v>
      </c>
      <c r="M195" s="13">
        <v>0</v>
      </c>
      <c r="N195" s="14">
        <f t="shared" si="9"/>
        <v>0</v>
      </c>
      <c r="O195" s="14">
        <f t="shared" si="9"/>
        <v>0</v>
      </c>
      <c r="P195" s="4">
        <f t="shared" si="9"/>
        <v>0</v>
      </c>
      <c r="Q195" s="4"/>
    </row>
    <row r="196" spans="2:17" x14ac:dyDescent="0.4">
      <c r="B196" s="26">
        <v>42670</v>
      </c>
      <c r="C196" s="21">
        <v>18500</v>
      </c>
      <c r="D196" s="25">
        <v>18500</v>
      </c>
      <c r="E196" s="21">
        <v>18500</v>
      </c>
      <c r="F196" s="21">
        <v>18500</v>
      </c>
      <c r="G196" s="12">
        <v>2.78</v>
      </c>
      <c r="H196" s="14">
        <f t="shared" si="10"/>
        <v>2650</v>
      </c>
      <c r="I196" s="14">
        <v>0</v>
      </c>
      <c r="J196" s="14">
        <v>2650</v>
      </c>
      <c r="K196" s="14">
        <f t="shared" si="11"/>
        <v>49025000</v>
      </c>
      <c r="L196" s="14">
        <v>0</v>
      </c>
      <c r="M196" s="14">
        <v>49025000</v>
      </c>
      <c r="N196" s="14">
        <f t="shared" ref="N196:P364" si="12">IFERROR(K196/H196,0)</f>
        <v>18500</v>
      </c>
      <c r="O196" s="14">
        <f t="shared" si="12"/>
        <v>0</v>
      </c>
      <c r="P196" s="4">
        <f t="shared" si="12"/>
        <v>18500</v>
      </c>
      <c r="Q196" s="4"/>
    </row>
    <row r="197" spans="2:17" x14ac:dyDescent="0.4">
      <c r="B197" s="26">
        <v>42671</v>
      </c>
      <c r="C197" s="21">
        <v>18500</v>
      </c>
      <c r="D197" s="25">
        <v>18500</v>
      </c>
      <c r="E197" s="21">
        <v>18500</v>
      </c>
      <c r="F197" s="21">
        <v>18500</v>
      </c>
      <c r="G197" s="12">
        <v>0</v>
      </c>
      <c r="H197" s="14">
        <f t="shared" si="10"/>
        <v>0</v>
      </c>
      <c r="I197" s="14">
        <v>0</v>
      </c>
      <c r="J197" s="14">
        <v>0</v>
      </c>
      <c r="K197" s="14">
        <f t="shared" si="11"/>
        <v>0</v>
      </c>
      <c r="L197" s="14">
        <v>0</v>
      </c>
      <c r="M197" s="14">
        <v>0</v>
      </c>
      <c r="N197" s="14">
        <f t="shared" si="12"/>
        <v>0</v>
      </c>
      <c r="O197" s="14">
        <f t="shared" si="12"/>
        <v>0</v>
      </c>
      <c r="P197" s="4">
        <f t="shared" si="12"/>
        <v>0</v>
      </c>
      <c r="Q197" s="4">
        <f>IFERROR(SUM(M193:M197)/SUM(J193:J197),"")</f>
        <v>18500</v>
      </c>
    </row>
    <row r="198" spans="2:17" x14ac:dyDescent="0.4">
      <c r="B198" s="26">
        <v>42674</v>
      </c>
      <c r="C198" s="21">
        <v>18500</v>
      </c>
      <c r="D198" s="25">
        <v>18500</v>
      </c>
      <c r="E198" s="21">
        <v>18500</v>
      </c>
      <c r="F198" s="21">
        <v>18500</v>
      </c>
      <c r="G198" s="12">
        <v>0</v>
      </c>
      <c r="H198" s="14">
        <f t="shared" si="10"/>
        <v>0</v>
      </c>
      <c r="I198" s="14">
        <v>0</v>
      </c>
      <c r="J198" s="14">
        <v>0</v>
      </c>
      <c r="K198" s="14">
        <f t="shared" si="11"/>
        <v>0</v>
      </c>
      <c r="L198" s="14">
        <v>0</v>
      </c>
      <c r="M198" s="14">
        <v>0</v>
      </c>
      <c r="N198" s="14">
        <f t="shared" si="12"/>
        <v>0</v>
      </c>
      <c r="O198" s="14">
        <f t="shared" si="12"/>
        <v>0</v>
      </c>
      <c r="P198" s="4">
        <f t="shared" si="12"/>
        <v>0</v>
      </c>
      <c r="Q198" s="22"/>
    </row>
    <row r="199" spans="2:17" x14ac:dyDescent="0.4">
      <c r="B199" s="26">
        <v>42675</v>
      </c>
      <c r="C199" s="21">
        <v>18500</v>
      </c>
      <c r="D199" s="25">
        <v>18500</v>
      </c>
      <c r="E199" s="21">
        <v>18500</v>
      </c>
      <c r="F199" s="21">
        <v>18500</v>
      </c>
      <c r="G199" s="12">
        <v>0</v>
      </c>
      <c r="H199" s="14">
        <f t="shared" si="10"/>
        <v>0</v>
      </c>
      <c r="I199" s="14">
        <v>0</v>
      </c>
      <c r="J199" s="14">
        <v>0</v>
      </c>
      <c r="K199" s="14">
        <f t="shared" si="11"/>
        <v>0</v>
      </c>
      <c r="L199" s="14">
        <v>0</v>
      </c>
      <c r="M199" s="14">
        <v>0</v>
      </c>
      <c r="N199" s="14">
        <f t="shared" si="12"/>
        <v>0</v>
      </c>
      <c r="O199" s="14">
        <f t="shared" si="12"/>
        <v>0</v>
      </c>
      <c r="P199" s="4">
        <f t="shared" si="12"/>
        <v>0</v>
      </c>
      <c r="Q199" s="22"/>
    </row>
    <row r="200" spans="2:17" x14ac:dyDescent="0.4">
      <c r="B200" s="26">
        <v>42676</v>
      </c>
      <c r="C200" s="21">
        <v>18500</v>
      </c>
      <c r="D200" s="25">
        <v>18500</v>
      </c>
      <c r="E200" s="21">
        <v>18500</v>
      </c>
      <c r="F200" s="21">
        <v>18500</v>
      </c>
      <c r="G200" s="12">
        <v>0</v>
      </c>
      <c r="H200" s="14">
        <f t="shared" si="10"/>
        <v>0</v>
      </c>
      <c r="I200" s="14">
        <v>0</v>
      </c>
      <c r="J200" s="14">
        <v>0</v>
      </c>
      <c r="K200" s="14">
        <f t="shared" si="11"/>
        <v>0</v>
      </c>
      <c r="L200" s="14">
        <v>0</v>
      </c>
      <c r="M200" s="14">
        <v>0</v>
      </c>
      <c r="N200" s="14">
        <f t="shared" si="12"/>
        <v>0</v>
      </c>
      <c r="O200" s="14">
        <f t="shared" si="12"/>
        <v>0</v>
      </c>
      <c r="P200" s="4">
        <f t="shared" si="12"/>
        <v>0</v>
      </c>
      <c r="Q200" s="22"/>
    </row>
    <row r="201" spans="2:17" x14ac:dyDescent="0.4">
      <c r="B201" s="26">
        <v>42677</v>
      </c>
      <c r="C201" s="21">
        <v>18500</v>
      </c>
      <c r="D201" s="25">
        <v>18500</v>
      </c>
      <c r="E201" s="21">
        <v>18500</v>
      </c>
      <c r="F201" s="21">
        <v>18500</v>
      </c>
      <c r="G201" s="12">
        <v>0</v>
      </c>
      <c r="H201" s="14">
        <f t="shared" si="10"/>
        <v>0</v>
      </c>
      <c r="I201" s="14">
        <v>0</v>
      </c>
      <c r="J201" s="14">
        <v>0</v>
      </c>
      <c r="K201" s="14">
        <f t="shared" si="11"/>
        <v>0</v>
      </c>
      <c r="L201" s="14">
        <v>0</v>
      </c>
      <c r="M201" s="14">
        <v>0</v>
      </c>
      <c r="N201" s="14">
        <f t="shared" si="12"/>
        <v>0</v>
      </c>
      <c r="O201" s="14">
        <f t="shared" si="12"/>
        <v>0</v>
      </c>
      <c r="P201" s="4">
        <f t="shared" si="12"/>
        <v>0</v>
      </c>
      <c r="Q201" s="22"/>
    </row>
    <row r="202" spans="2:17" x14ac:dyDescent="0.4">
      <c r="B202" s="26">
        <v>42678</v>
      </c>
      <c r="C202" s="21">
        <v>18500</v>
      </c>
      <c r="D202" s="25">
        <v>18500</v>
      </c>
      <c r="E202" s="21">
        <v>18500</v>
      </c>
      <c r="F202" s="21">
        <v>18500</v>
      </c>
      <c r="G202" s="12">
        <v>0</v>
      </c>
      <c r="H202" s="14">
        <f t="shared" si="10"/>
        <v>0</v>
      </c>
      <c r="I202" s="14">
        <v>0</v>
      </c>
      <c r="J202" s="14">
        <v>0</v>
      </c>
      <c r="K202" s="14">
        <f t="shared" si="11"/>
        <v>0</v>
      </c>
      <c r="L202" s="14">
        <v>0</v>
      </c>
      <c r="M202" s="14">
        <v>0</v>
      </c>
      <c r="N202" s="14">
        <f t="shared" si="12"/>
        <v>0</v>
      </c>
      <c r="O202" s="14">
        <f t="shared" si="12"/>
        <v>0</v>
      </c>
      <c r="P202" s="4">
        <f t="shared" si="12"/>
        <v>0</v>
      </c>
      <c r="Q202" s="4" t="str">
        <f>IFERROR(SUM(M198:M202)/SUM(J198:J202),"")</f>
        <v/>
      </c>
    </row>
    <row r="203" spans="2:17" x14ac:dyDescent="0.4">
      <c r="B203" s="26">
        <v>42681</v>
      </c>
      <c r="C203" s="21">
        <v>18500</v>
      </c>
      <c r="D203" s="25">
        <v>18500</v>
      </c>
      <c r="E203" s="21">
        <v>18500</v>
      </c>
      <c r="F203" s="21">
        <v>18500</v>
      </c>
      <c r="G203" s="12">
        <v>0</v>
      </c>
      <c r="H203" s="14">
        <f t="shared" si="10"/>
        <v>0</v>
      </c>
      <c r="I203" s="14">
        <v>0</v>
      </c>
      <c r="J203" s="14">
        <v>0</v>
      </c>
      <c r="K203" s="14">
        <f t="shared" si="11"/>
        <v>0</v>
      </c>
      <c r="L203" s="14">
        <v>0</v>
      </c>
      <c r="M203" s="14">
        <v>0</v>
      </c>
      <c r="N203" s="14">
        <f t="shared" si="12"/>
        <v>0</v>
      </c>
      <c r="O203" s="14">
        <f t="shared" si="12"/>
        <v>0</v>
      </c>
      <c r="P203" s="4">
        <f t="shared" si="12"/>
        <v>0</v>
      </c>
      <c r="Q203" s="22"/>
    </row>
    <row r="204" spans="2:17" x14ac:dyDescent="0.4">
      <c r="B204" s="16">
        <v>42682</v>
      </c>
      <c r="C204" s="21">
        <v>18500</v>
      </c>
      <c r="D204" s="25">
        <v>18500</v>
      </c>
      <c r="E204" s="21">
        <v>18500</v>
      </c>
      <c r="F204" s="21">
        <v>18500</v>
      </c>
      <c r="G204" s="12">
        <v>0</v>
      </c>
      <c r="H204" s="14">
        <f t="shared" si="10"/>
        <v>0</v>
      </c>
      <c r="I204" s="14">
        <v>0</v>
      </c>
      <c r="J204" s="14">
        <v>0</v>
      </c>
      <c r="K204" s="14">
        <f t="shared" si="11"/>
        <v>0</v>
      </c>
      <c r="L204" s="14">
        <v>0</v>
      </c>
      <c r="M204" s="14">
        <v>0</v>
      </c>
      <c r="N204" s="14">
        <f t="shared" si="12"/>
        <v>0</v>
      </c>
      <c r="O204" s="14">
        <f t="shared" si="12"/>
        <v>0</v>
      </c>
      <c r="P204" s="4">
        <f t="shared" si="12"/>
        <v>0</v>
      </c>
      <c r="Q204" s="22"/>
    </row>
    <row r="205" spans="2:17" x14ac:dyDescent="0.4">
      <c r="B205" s="16">
        <v>42683</v>
      </c>
      <c r="C205" s="21">
        <v>18500</v>
      </c>
      <c r="D205" s="25">
        <v>18500</v>
      </c>
      <c r="E205" s="21">
        <v>18500</v>
      </c>
      <c r="F205" s="21">
        <v>18500</v>
      </c>
      <c r="G205" s="12">
        <v>0</v>
      </c>
      <c r="H205" s="14">
        <f t="shared" si="10"/>
        <v>55982</v>
      </c>
      <c r="I205" s="14">
        <v>0</v>
      </c>
      <c r="J205" s="14">
        <v>55982</v>
      </c>
      <c r="K205" s="14">
        <f t="shared" si="11"/>
        <v>1035667000</v>
      </c>
      <c r="L205" s="14">
        <v>0</v>
      </c>
      <c r="M205" s="14">
        <v>1035667000</v>
      </c>
      <c r="N205" s="14">
        <f t="shared" si="12"/>
        <v>18500</v>
      </c>
      <c r="O205" s="14">
        <f t="shared" si="12"/>
        <v>0</v>
      </c>
      <c r="P205" s="4">
        <f t="shared" si="12"/>
        <v>18500</v>
      </c>
      <c r="Q205" s="22"/>
    </row>
    <row r="206" spans="2:17" x14ac:dyDescent="0.4">
      <c r="B206" s="16">
        <v>42684</v>
      </c>
      <c r="C206" s="21">
        <v>18500</v>
      </c>
      <c r="D206" s="25">
        <v>18500</v>
      </c>
      <c r="E206" s="21">
        <v>18500</v>
      </c>
      <c r="F206" s="21">
        <v>18500</v>
      </c>
      <c r="G206" s="12">
        <v>0</v>
      </c>
      <c r="H206" s="14">
        <f t="shared" si="10"/>
        <v>0</v>
      </c>
      <c r="I206" s="14">
        <v>0</v>
      </c>
      <c r="J206" s="14">
        <v>0</v>
      </c>
      <c r="K206" s="14">
        <f t="shared" si="11"/>
        <v>0</v>
      </c>
      <c r="L206" s="14">
        <v>0</v>
      </c>
      <c r="M206" s="14">
        <v>0</v>
      </c>
      <c r="N206" s="14">
        <f t="shared" si="12"/>
        <v>0</v>
      </c>
      <c r="O206" s="14">
        <f t="shared" si="12"/>
        <v>0</v>
      </c>
      <c r="P206" s="4">
        <f t="shared" si="12"/>
        <v>0</v>
      </c>
      <c r="Q206" s="22"/>
    </row>
    <row r="207" spans="2:17" x14ac:dyDescent="0.4">
      <c r="B207" s="16">
        <v>42685</v>
      </c>
      <c r="C207" s="21">
        <v>18500</v>
      </c>
      <c r="D207" s="25">
        <v>18500</v>
      </c>
      <c r="E207" s="21">
        <v>18500</v>
      </c>
      <c r="F207" s="21">
        <v>18500</v>
      </c>
      <c r="G207" s="12">
        <v>0</v>
      </c>
      <c r="H207" s="14">
        <f t="shared" si="10"/>
        <v>0</v>
      </c>
      <c r="I207" s="14">
        <v>0</v>
      </c>
      <c r="J207" s="14">
        <v>0</v>
      </c>
      <c r="K207" s="14">
        <f t="shared" si="11"/>
        <v>0</v>
      </c>
      <c r="L207" s="14">
        <v>0</v>
      </c>
      <c r="M207" s="14">
        <v>0</v>
      </c>
      <c r="N207" s="14">
        <f t="shared" si="12"/>
        <v>0</v>
      </c>
      <c r="O207" s="14">
        <f t="shared" si="12"/>
        <v>0</v>
      </c>
      <c r="P207" s="4">
        <f t="shared" si="12"/>
        <v>0</v>
      </c>
      <c r="Q207" s="4">
        <f>IFERROR(SUM(M203:M207)/SUM(J203:J207),"")</f>
        <v>18500</v>
      </c>
    </row>
    <row r="208" spans="2:17" x14ac:dyDescent="0.4">
      <c r="B208" s="16">
        <v>42688</v>
      </c>
      <c r="C208" s="21">
        <v>18500</v>
      </c>
      <c r="D208" s="23">
        <v>18500</v>
      </c>
      <c r="E208" s="23">
        <v>18500</v>
      </c>
      <c r="F208" s="23">
        <v>18500</v>
      </c>
      <c r="G208" s="12">
        <v>0</v>
      </c>
      <c r="H208" s="14">
        <f t="shared" si="10"/>
        <v>0</v>
      </c>
      <c r="I208" s="14">
        <v>0</v>
      </c>
      <c r="J208" s="14">
        <v>0</v>
      </c>
      <c r="K208" s="14">
        <f t="shared" si="11"/>
        <v>0</v>
      </c>
      <c r="L208" s="14">
        <v>0</v>
      </c>
      <c r="M208" s="14">
        <v>0</v>
      </c>
      <c r="N208" s="14">
        <f t="shared" si="12"/>
        <v>0</v>
      </c>
      <c r="O208" s="14">
        <f t="shared" si="12"/>
        <v>0</v>
      </c>
      <c r="P208" s="4">
        <f t="shared" si="12"/>
        <v>0</v>
      </c>
      <c r="Q208" s="22"/>
    </row>
    <row r="209" spans="2:17" x14ac:dyDescent="0.4">
      <c r="B209" s="16">
        <v>42689</v>
      </c>
      <c r="C209" s="21">
        <v>18500</v>
      </c>
      <c r="D209" s="23">
        <v>18500</v>
      </c>
      <c r="E209" s="23">
        <v>18500</v>
      </c>
      <c r="F209" s="23">
        <v>18500</v>
      </c>
      <c r="G209" s="12">
        <v>0</v>
      </c>
      <c r="H209" s="14">
        <f t="shared" si="10"/>
        <v>0</v>
      </c>
      <c r="I209" s="14">
        <v>0</v>
      </c>
      <c r="J209" s="14">
        <v>0</v>
      </c>
      <c r="K209" s="14">
        <f t="shared" si="11"/>
        <v>0</v>
      </c>
      <c r="L209" s="14">
        <v>0</v>
      </c>
      <c r="M209" s="14">
        <v>0</v>
      </c>
      <c r="N209" s="14">
        <f t="shared" si="12"/>
        <v>0</v>
      </c>
      <c r="O209" s="14">
        <f t="shared" si="12"/>
        <v>0</v>
      </c>
      <c r="P209" s="4">
        <f t="shared" si="12"/>
        <v>0</v>
      </c>
      <c r="Q209" s="22"/>
    </row>
    <row r="210" spans="2:17" x14ac:dyDescent="0.4">
      <c r="B210" s="16">
        <v>42690</v>
      </c>
      <c r="C210" s="21">
        <v>18500</v>
      </c>
      <c r="D210" s="23">
        <v>18500</v>
      </c>
      <c r="E210" s="23">
        <v>18500</v>
      </c>
      <c r="F210" s="23">
        <v>18500</v>
      </c>
      <c r="G210" s="12">
        <v>0</v>
      </c>
      <c r="H210" s="14">
        <f t="shared" si="10"/>
        <v>0</v>
      </c>
      <c r="I210" s="14">
        <v>0</v>
      </c>
      <c r="J210" s="14">
        <v>0</v>
      </c>
      <c r="K210" s="14">
        <f t="shared" si="11"/>
        <v>0</v>
      </c>
      <c r="L210" s="14">
        <v>0</v>
      </c>
      <c r="M210" s="14">
        <v>0</v>
      </c>
      <c r="N210" s="14">
        <f t="shared" si="12"/>
        <v>0</v>
      </c>
      <c r="O210" s="14">
        <f t="shared" si="12"/>
        <v>0</v>
      </c>
      <c r="P210" s="4">
        <f t="shared" si="12"/>
        <v>0</v>
      </c>
      <c r="Q210" s="22"/>
    </row>
    <row r="211" spans="2:17" x14ac:dyDescent="0.4">
      <c r="B211" s="16">
        <v>42691</v>
      </c>
      <c r="C211" s="21">
        <v>18500</v>
      </c>
      <c r="D211" s="23">
        <v>18500</v>
      </c>
      <c r="E211" s="23">
        <v>18500</v>
      </c>
      <c r="F211" s="23">
        <v>18500</v>
      </c>
      <c r="G211" s="12">
        <v>0</v>
      </c>
      <c r="H211" s="14">
        <f t="shared" si="10"/>
        <v>0</v>
      </c>
      <c r="I211" s="14">
        <v>0</v>
      </c>
      <c r="J211" s="14">
        <v>0</v>
      </c>
      <c r="K211" s="14">
        <f t="shared" si="11"/>
        <v>0</v>
      </c>
      <c r="L211" s="14">
        <v>0</v>
      </c>
      <c r="M211" s="14">
        <v>0</v>
      </c>
      <c r="N211" s="14">
        <f t="shared" si="12"/>
        <v>0</v>
      </c>
      <c r="O211" s="14">
        <f t="shared" si="12"/>
        <v>0</v>
      </c>
      <c r="P211" s="4">
        <f t="shared" si="12"/>
        <v>0</v>
      </c>
      <c r="Q211" s="22"/>
    </row>
    <row r="212" spans="2:17" x14ac:dyDescent="0.4">
      <c r="B212" s="16">
        <v>42692</v>
      </c>
      <c r="C212" s="21">
        <v>18500</v>
      </c>
      <c r="D212" s="23">
        <v>18500</v>
      </c>
      <c r="E212" s="23">
        <v>18500</v>
      </c>
      <c r="F212" s="23">
        <v>18500</v>
      </c>
      <c r="G212" s="12">
        <v>0</v>
      </c>
      <c r="H212" s="14">
        <f t="shared" si="10"/>
        <v>0</v>
      </c>
      <c r="I212" s="14">
        <v>0</v>
      </c>
      <c r="J212" s="14">
        <v>0</v>
      </c>
      <c r="K212" s="14">
        <f t="shared" si="11"/>
        <v>0</v>
      </c>
      <c r="L212" s="14">
        <v>0</v>
      </c>
      <c r="M212" s="14">
        <v>0</v>
      </c>
      <c r="N212" s="14">
        <f t="shared" si="12"/>
        <v>0</v>
      </c>
      <c r="O212" s="14">
        <f t="shared" si="12"/>
        <v>0</v>
      </c>
      <c r="P212" s="4">
        <f t="shared" si="12"/>
        <v>0</v>
      </c>
      <c r="Q212" s="4" t="str">
        <f>IFERROR(SUM(M208:M212)/SUM(J208:J212),"")</f>
        <v/>
      </c>
    </row>
    <row r="213" spans="2:17" x14ac:dyDescent="0.4">
      <c r="B213" s="16">
        <v>42695</v>
      </c>
      <c r="C213" s="21">
        <v>18500</v>
      </c>
      <c r="D213" s="23">
        <v>18500</v>
      </c>
      <c r="E213" s="23">
        <v>18500</v>
      </c>
      <c r="F213" s="23">
        <v>18500</v>
      </c>
      <c r="G213" s="12">
        <v>0</v>
      </c>
      <c r="H213" s="14">
        <f t="shared" si="10"/>
        <v>0</v>
      </c>
      <c r="I213" s="14">
        <v>0</v>
      </c>
      <c r="J213" s="14">
        <v>0</v>
      </c>
      <c r="K213" s="14">
        <f t="shared" si="11"/>
        <v>0</v>
      </c>
      <c r="L213" s="14">
        <v>0</v>
      </c>
      <c r="M213" s="14">
        <v>0</v>
      </c>
      <c r="N213" s="14">
        <f t="shared" si="12"/>
        <v>0</v>
      </c>
      <c r="O213" s="14">
        <f t="shared" si="12"/>
        <v>0</v>
      </c>
      <c r="P213" s="4">
        <f t="shared" si="12"/>
        <v>0</v>
      </c>
      <c r="Q213" s="22"/>
    </row>
    <row r="214" spans="2:17" x14ac:dyDescent="0.4">
      <c r="B214" s="16">
        <v>42696</v>
      </c>
      <c r="C214" s="21">
        <v>18500</v>
      </c>
      <c r="D214" s="23">
        <v>18500</v>
      </c>
      <c r="E214" s="23">
        <v>18500</v>
      </c>
      <c r="F214" s="23">
        <v>18500</v>
      </c>
      <c r="G214" s="12">
        <v>0</v>
      </c>
      <c r="H214" s="14">
        <f t="shared" si="10"/>
        <v>0</v>
      </c>
      <c r="I214" s="14">
        <v>0</v>
      </c>
      <c r="J214" s="14">
        <v>0</v>
      </c>
      <c r="K214" s="14">
        <f t="shared" si="11"/>
        <v>0</v>
      </c>
      <c r="L214" s="14">
        <v>0</v>
      </c>
      <c r="M214" s="14">
        <v>0</v>
      </c>
      <c r="N214" s="14">
        <f t="shared" si="12"/>
        <v>0</v>
      </c>
      <c r="O214" s="14">
        <f t="shared" si="12"/>
        <v>0</v>
      </c>
      <c r="P214" s="4">
        <f t="shared" si="12"/>
        <v>0</v>
      </c>
      <c r="Q214" s="22"/>
    </row>
    <row r="215" spans="2:17" x14ac:dyDescent="0.4">
      <c r="B215" s="16">
        <v>42697</v>
      </c>
      <c r="C215" s="21">
        <v>18500</v>
      </c>
      <c r="D215" s="23">
        <v>18500</v>
      </c>
      <c r="E215" s="23">
        <v>18500</v>
      </c>
      <c r="F215" s="23">
        <v>18500</v>
      </c>
      <c r="G215" s="12">
        <v>0</v>
      </c>
      <c r="H215" s="14">
        <f t="shared" si="10"/>
        <v>0</v>
      </c>
      <c r="I215" s="14">
        <v>0</v>
      </c>
      <c r="J215" s="14">
        <v>0</v>
      </c>
      <c r="K215" s="14">
        <f t="shared" si="11"/>
        <v>0</v>
      </c>
      <c r="L215" s="14">
        <v>0</v>
      </c>
      <c r="M215" s="14">
        <v>0</v>
      </c>
      <c r="N215" s="14">
        <f t="shared" si="12"/>
        <v>0</v>
      </c>
      <c r="O215" s="14">
        <f t="shared" si="12"/>
        <v>0</v>
      </c>
      <c r="P215" s="4">
        <f t="shared" si="12"/>
        <v>0</v>
      </c>
      <c r="Q215" s="22"/>
    </row>
    <row r="216" spans="2:17" x14ac:dyDescent="0.4">
      <c r="B216" s="16">
        <v>42698</v>
      </c>
      <c r="C216" s="21">
        <v>18500</v>
      </c>
      <c r="D216" s="23">
        <v>18500</v>
      </c>
      <c r="E216" s="23">
        <v>18500</v>
      </c>
      <c r="F216" s="23">
        <v>18500</v>
      </c>
      <c r="G216" s="12">
        <v>0</v>
      </c>
      <c r="H216" s="14">
        <f t="shared" si="10"/>
        <v>0</v>
      </c>
      <c r="I216" s="14">
        <v>0</v>
      </c>
      <c r="J216" s="14">
        <v>0</v>
      </c>
      <c r="K216" s="14">
        <f t="shared" si="11"/>
        <v>0</v>
      </c>
      <c r="L216" s="14">
        <v>0</v>
      </c>
      <c r="M216" s="14">
        <v>0</v>
      </c>
      <c r="N216" s="14">
        <f t="shared" si="12"/>
        <v>0</v>
      </c>
      <c r="O216" s="14">
        <f t="shared" si="12"/>
        <v>0</v>
      </c>
      <c r="P216" s="4">
        <f t="shared" si="12"/>
        <v>0</v>
      </c>
      <c r="Q216" s="22"/>
    </row>
    <row r="217" spans="2:17" x14ac:dyDescent="0.4">
      <c r="B217" s="16">
        <v>42699</v>
      </c>
      <c r="C217" s="21">
        <v>18500</v>
      </c>
      <c r="D217" s="23">
        <v>18500</v>
      </c>
      <c r="E217" s="23">
        <v>18500</v>
      </c>
      <c r="F217" s="23">
        <v>18500</v>
      </c>
      <c r="G217" s="12">
        <v>0</v>
      </c>
      <c r="H217" s="14">
        <f t="shared" si="10"/>
        <v>0</v>
      </c>
      <c r="I217" s="14">
        <v>0</v>
      </c>
      <c r="J217" s="14">
        <v>0</v>
      </c>
      <c r="K217" s="14">
        <f t="shared" si="11"/>
        <v>0</v>
      </c>
      <c r="L217" s="14">
        <v>0</v>
      </c>
      <c r="M217" s="14">
        <v>0</v>
      </c>
      <c r="N217" s="14">
        <f t="shared" si="12"/>
        <v>0</v>
      </c>
      <c r="O217" s="14">
        <f t="shared" si="12"/>
        <v>0</v>
      </c>
      <c r="P217" s="4">
        <f t="shared" si="12"/>
        <v>0</v>
      </c>
      <c r="Q217" s="4" t="str">
        <f>IFERROR(SUM(M213:M217)/SUM(J213:J217),"")</f>
        <v/>
      </c>
    </row>
    <row r="218" spans="2:17" x14ac:dyDescent="0.4">
      <c r="B218" s="16">
        <v>42702</v>
      </c>
      <c r="C218" s="21">
        <v>18500</v>
      </c>
      <c r="D218" s="23">
        <v>18500</v>
      </c>
      <c r="E218" s="23">
        <v>18500</v>
      </c>
      <c r="F218" s="23">
        <v>18500</v>
      </c>
      <c r="G218" s="12">
        <v>0</v>
      </c>
      <c r="H218" s="14">
        <f t="shared" si="10"/>
        <v>0</v>
      </c>
      <c r="I218" s="14">
        <v>0</v>
      </c>
      <c r="J218" s="14">
        <v>0</v>
      </c>
      <c r="K218" s="14">
        <f t="shared" si="11"/>
        <v>0</v>
      </c>
      <c r="L218" s="14">
        <v>0</v>
      </c>
      <c r="M218" s="14">
        <v>0</v>
      </c>
      <c r="N218" s="14">
        <f t="shared" si="12"/>
        <v>0</v>
      </c>
      <c r="O218" s="14">
        <f t="shared" si="12"/>
        <v>0</v>
      </c>
      <c r="P218" s="4">
        <f t="shared" si="12"/>
        <v>0</v>
      </c>
      <c r="Q218" s="22"/>
    </row>
    <row r="219" spans="2:17" x14ac:dyDescent="0.4">
      <c r="B219" s="16">
        <v>42703</v>
      </c>
      <c r="C219" s="21">
        <v>18500</v>
      </c>
      <c r="D219" s="23">
        <v>18500</v>
      </c>
      <c r="E219" s="23">
        <v>18500</v>
      </c>
      <c r="F219" s="23">
        <v>18500</v>
      </c>
      <c r="G219" s="12">
        <v>0</v>
      </c>
      <c r="H219" s="14">
        <f t="shared" si="10"/>
        <v>0</v>
      </c>
      <c r="I219" s="14">
        <v>0</v>
      </c>
      <c r="J219" s="14">
        <v>0</v>
      </c>
      <c r="K219" s="14">
        <f t="shared" si="11"/>
        <v>0</v>
      </c>
      <c r="L219" s="14">
        <v>0</v>
      </c>
      <c r="M219" s="14">
        <v>0</v>
      </c>
      <c r="N219" s="14">
        <f t="shared" si="12"/>
        <v>0</v>
      </c>
      <c r="O219" s="14">
        <f t="shared" si="12"/>
        <v>0</v>
      </c>
      <c r="P219" s="4">
        <f t="shared" si="12"/>
        <v>0</v>
      </c>
      <c r="Q219" s="22"/>
    </row>
    <row r="220" spans="2:17" x14ac:dyDescent="0.4">
      <c r="B220" s="16">
        <v>42704</v>
      </c>
      <c r="C220" s="21">
        <v>18500</v>
      </c>
      <c r="D220" s="23">
        <v>18500</v>
      </c>
      <c r="E220" s="23">
        <v>18500</v>
      </c>
      <c r="F220" s="23">
        <v>18500</v>
      </c>
      <c r="G220" s="12">
        <v>0</v>
      </c>
      <c r="H220" s="14">
        <f t="shared" si="10"/>
        <v>0</v>
      </c>
      <c r="I220" s="14">
        <v>0</v>
      </c>
      <c r="J220" s="14">
        <v>0</v>
      </c>
      <c r="K220" s="14">
        <f t="shared" si="11"/>
        <v>0</v>
      </c>
      <c r="L220" s="14">
        <v>0</v>
      </c>
      <c r="M220" s="14">
        <v>0</v>
      </c>
      <c r="N220" s="14">
        <f t="shared" si="12"/>
        <v>0</v>
      </c>
      <c r="O220" s="14">
        <f t="shared" si="12"/>
        <v>0</v>
      </c>
      <c r="P220" s="4">
        <f t="shared" si="12"/>
        <v>0</v>
      </c>
      <c r="Q220" s="22"/>
    </row>
    <row r="221" spans="2:17" x14ac:dyDescent="0.4">
      <c r="B221" s="16">
        <v>42705</v>
      </c>
      <c r="C221" s="21">
        <v>18500</v>
      </c>
      <c r="D221" s="23">
        <v>18500</v>
      </c>
      <c r="E221" s="23">
        <v>18500</v>
      </c>
      <c r="F221" s="23">
        <v>18500</v>
      </c>
      <c r="G221" s="12">
        <v>0</v>
      </c>
      <c r="H221" s="14">
        <f t="shared" si="10"/>
        <v>0</v>
      </c>
      <c r="I221" s="14">
        <v>0</v>
      </c>
      <c r="J221" s="14">
        <v>0</v>
      </c>
      <c r="K221" s="14">
        <f t="shared" si="11"/>
        <v>0</v>
      </c>
      <c r="L221" s="14">
        <v>0</v>
      </c>
      <c r="M221" s="14">
        <v>0</v>
      </c>
      <c r="N221" s="14">
        <f t="shared" si="12"/>
        <v>0</v>
      </c>
      <c r="O221" s="14">
        <f t="shared" si="12"/>
        <v>0</v>
      </c>
      <c r="P221" s="4">
        <f t="shared" si="12"/>
        <v>0</v>
      </c>
      <c r="Q221" s="22"/>
    </row>
    <row r="222" spans="2:17" x14ac:dyDescent="0.4">
      <c r="B222" s="16">
        <v>42706</v>
      </c>
      <c r="C222" s="21">
        <v>18500</v>
      </c>
      <c r="D222" s="23">
        <v>18500</v>
      </c>
      <c r="E222" s="23">
        <v>18500</v>
      </c>
      <c r="F222" s="23">
        <v>18500</v>
      </c>
      <c r="G222" s="12">
        <v>0</v>
      </c>
      <c r="H222" s="14">
        <f t="shared" si="10"/>
        <v>0</v>
      </c>
      <c r="I222" s="14">
        <v>0</v>
      </c>
      <c r="J222" s="14">
        <v>0</v>
      </c>
      <c r="K222" s="14">
        <f t="shared" si="11"/>
        <v>0</v>
      </c>
      <c r="L222" s="14">
        <v>0</v>
      </c>
      <c r="M222" s="14">
        <v>0</v>
      </c>
      <c r="N222" s="14">
        <f t="shared" si="12"/>
        <v>0</v>
      </c>
      <c r="O222" s="14">
        <f t="shared" si="12"/>
        <v>0</v>
      </c>
      <c r="P222" s="4">
        <f t="shared" si="12"/>
        <v>0</v>
      </c>
      <c r="Q222" s="4" t="str">
        <f>IFERROR(SUM(M218:M222)/SUM(J218:J222),"")</f>
        <v/>
      </c>
    </row>
    <row r="223" spans="2:17" x14ac:dyDescent="0.4">
      <c r="B223" s="16">
        <v>42709</v>
      </c>
      <c r="C223" s="21">
        <v>18500</v>
      </c>
      <c r="D223" s="23">
        <v>18500</v>
      </c>
      <c r="E223" s="23">
        <v>18500</v>
      </c>
      <c r="F223" s="23">
        <v>18500</v>
      </c>
      <c r="G223" s="12">
        <v>0</v>
      </c>
      <c r="H223" s="14">
        <f t="shared" si="10"/>
        <v>0</v>
      </c>
      <c r="I223" s="14">
        <v>0</v>
      </c>
      <c r="J223" s="14">
        <v>0</v>
      </c>
      <c r="K223" s="14">
        <f t="shared" si="11"/>
        <v>0</v>
      </c>
      <c r="L223" s="14">
        <v>0</v>
      </c>
      <c r="M223" s="14">
        <v>0</v>
      </c>
      <c r="N223" s="14">
        <f t="shared" si="12"/>
        <v>0</v>
      </c>
      <c r="O223" s="14">
        <f t="shared" si="12"/>
        <v>0</v>
      </c>
      <c r="P223" s="4">
        <f t="shared" si="12"/>
        <v>0</v>
      </c>
      <c r="Q223" s="22"/>
    </row>
    <row r="224" spans="2:17" x14ac:dyDescent="0.4">
      <c r="B224" s="16">
        <v>42710</v>
      </c>
      <c r="C224" s="21">
        <v>18500</v>
      </c>
      <c r="D224" s="23">
        <v>18500</v>
      </c>
      <c r="E224" s="23">
        <v>18500</v>
      </c>
      <c r="F224" s="23">
        <v>18500</v>
      </c>
      <c r="G224" s="12">
        <v>0</v>
      </c>
      <c r="H224" s="14">
        <f t="shared" si="10"/>
        <v>0</v>
      </c>
      <c r="I224" s="14">
        <v>0</v>
      </c>
      <c r="J224" s="14">
        <v>0</v>
      </c>
      <c r="K224" s="14">
        <f t="shared" si="11"/>
        <v>0</v>
      </c>
      <c r="L224" s="14">
        <v>0</v>
      </c>
      <c r="M224" s="14">
        <v>0</v>
      </c>
      <c r="N224" s="14">
        <f t="shared" si="12"/>
        <v>0</v>
      </c>
      <c r="O224" s="14">
        <f t="shared" si="12"/>
        <v>0</v>
      </c>
      <c r="P224" s="4">
        <f t="shared" si="12"/>
        <v>0</v>
      </c>
      <c r="Q224" s="22"/>
    </row>
    <row r="225" spans="2:17" x14ac:dyDescent="0.4">
      <c r="B225" s="16">
        <v>42711</v>
      </c>
      <c r="C225" s="21">
        <v>18500</v>
      </c>
      <c r="D225" s="23">
        <v>18500</v>
      </c>
      <c r="E225" s="23">
        <v>18500</v>
      </c>
      <c r="F225" s="23">
        <v>18500</v>
      </c>
      <c r="G225" s="12">
        <v>0</v>
      </c>
      <c r="H225" s="14">
        <f t="shared" si="10"/>
        <v>0</v>
      </c>
      <c r="I225" s="14">
        <v>0</v>
      </c>
      <c r="J225" s="14">
        <v>0</v>
      </c>
      <c r="K225" s="14">
        <f t="shared" si="11"/>
        <v>0</v>
      </c>
      <c r="L225" s="14">
        <v>0</v>
      </c>
      <c r="M225" s="14">
        <v>0</v>
      </c>
      <c r="N225" s="14">
        <f t="shared" si="12"/>
        <v>0</v>
      </c>
      <c r="O225" s="14">
        <f t="shared" si="12"/>
        <v>0</v>
      </c>
      <c r="P225" s="4">
        <f t="shared" si="12"/>
        <v>0</v>
      </c>
      <c r="Q225" s="22"/>
    </row>
    <row r="226" spans="2:17" x14ac:dyDescent="0.4">
      <c r="B226" s="16">
        <v>42712</v>
      </c>
      <c r="C226" s="21">
        <v>18500</v>
      </c>
      <c r="D226" s="23">
        <v>18500</v>
      </c>
      <c r="E226" s="23">
        <v>18500</v>
      </c>
      <c r="F226" s="23">
        <v>18500</v>
      </c>
      <c r="G226" s="12">
        <v>0</v>
      </c>
      <c r="H226" s="14">
        <f t="shared" si="10"/>
        <v>0</v>
      </c>
      <c r="I226" s="14">
        <v>0</v>
      </c>
      <c r="J226" s="14">
        <v>0</v>
      </c>
      <c r="K226" s="14">
        <f t="shared" si="11"/>
        <v>0</v>
      </c>
      <c r="L226" s="14">
        <v>0</v>
      </c>
      <c r="M226" s="14">
        <v>0</v>
      </c>
      <c r="N226" s="14">
        <f t="shared" si="12"/>
        <v>0</v>
      </c>
      <c r="O226" s="14">
        <f t="shared" si="12"/>
        <v>0</v>
      </c>
      <c r="P226" s="4">
        <f t="shared" si="12"/>
        <v>0</v>
      </c>
      <c r="Q226" s="22"/>
    </row>
    <row r="227" spans="2:17" x14ac:dyDescent="0.4">
      <c r="B227" s="16">
        <v>42713</v>
      </c>
      <c r="C227" s="21">
        <v>18500</v>
      </c>
      <c r="D227" s="23">
        <v>18500</v>
      </c>
      <c r="E227" s="23">
        <v>18500</v>
      </c>
      <c r="F227" s="23">
        <v>18500</v>
      </c>
      <c r="G227" s="12">
        <v>0</v>
      </c>
      <c r="H227" s="14">
        <f t="shared" si="10"/>
        <v>0</v>
      </c>
      <c r="I227" s="14">
        <v>0</v>
      </c>
      <c r="J227" s="14">
        <v>0</v>
      </c>
      <c r="K227" s="14">
        <f t="shared" si="11"/>
        <v>0</v>
      </c>
      <c r="L227" s="14">
        <v>0</v>
      </c>
      <c r="M227" s="14">
        <v>0</v>
      </c>
      <c r="N227" s="14">
        <f t="shared" si="12"/>
        <v>0</v>
      </c>
      <c r="O227" s="14">
        <f t="shared" si="12"/>
        <v>0</v>
      </c>
      <c r="P227" s="4">
        <f t="shared" si="12"/>
        <v>0</v>
      </c>
      <c r="Q227" s="4" t="str">
        <f>IFERROR(SUM(M223:M227)/SUM(J223:J227),"")</f>
        <v/>
      </c>
    </row>
    <row r="228" spans="2:17" x14ac:dyDescent="0.4">
      <c r="B228" s="16">
        <v>42716</v>
      </c>
      <c r="C228" s="21">
        <v>18500</v>
      </c>
      <c r="D228" s="23">
        <v>18500</v>
      </c>
      <c r="E228" s="23">
        <v>18500</v>
      </c>
      <c r="F228" s="23">
        <v>18500</v>
      </c>
      <c r="G228" s="12">
        <v>0</v>
      </c>
      <c r="H228" s="14">
        <f t="shared" si="10"/>
        <v>0</v>
      </c>
      <c r="I228" s="14">
        <v>0</v>
      </c>
      <c r="J228" s="14">
        <v>0</v>
      </c>
      <c r="K228" s="14">
        <f t="shared" si="11"/>
        <v>0</v>
      </c>
      <c r="L228" s="14">
        <v>0</v>
      </c>
      <c r="M228" s="14">
        <v>0</v>
      </c>
      <c r="N228" s="14">
        <f t="shared" si="12"/>
        <v>0</v>
      </c>
      <c r="O228" s="14">
        <f t="shared" si="12"/>
        <v>0</v>
      </c>
      <c r="P228" s="4">
        <f t="shared" si="12"/>
        <v>0</v>
      </c>
      <c r="Q228" s="22"/>
    </row>
    <row r="229" spans="2:17" x14ac:dyDescent="0.4">
      <c r="B229" s="16">
        <v>42717</v>
      </c>
      <c r="C229" s="21">
        <v>18500</v>
      </c>
      <c r="D229" s="23">
        <v>18500</v>
      </c>
      <c r="E229" s="23">
        <v>18500</v>
      </c>
      <c r="F229" s="23">
        <v>18500</v>
      </c>
      <c r="G229" s="12">
        <v>0</v>
      </c>
      <c r="H229" s="14">
        <f t="shared" si="10"/>
        <v>0</v>
      </c>
      <c r="I229" s="14">
        <v>0</v>
      </c>
      <c r="J229" s="14">
        <v>0</v>
      </c>
      <c r="K229" s="14">
        <f t="shared" si="11"/>
        <v>0</v>
      </c>
      <c r="L229" s="14">
        <v>0</v>
      </c>
      <c r="M229" s="14">
        <v>0</v>
      </c>
      <c r="N229" s="14">
        <f t="shared" si="12"/>
        <v>0</v>
      </c>
      <c r="O229" s="14">
        <f t="shared" si="12"/>
        <v>0</v>
      </c>
      <c r="P229" s="4">
        <f t="shared" si="12"/>
        <v>0</v>
      </c>
      <c r="Q229" s="22"/>
    </row>
    <row r="230" spans="2:17" x14ac:dyDescent="0.4">
      <c r="B230" s="16">
        <v>42718</v>
      </c>
      <c r="C230" s="21">
        <v>18550</v>
      </c>
      <c r="D230" s="21">
        <v>18550</v>
      </c>
      <c r="E230" s="21">
        <v>18550</v>
      </c>
      <c r="F230" s="21">
        <v>18550</v>
      </c>
      <c r="G230" s="12">
        <v>0.27</v>
      </c>
      <c r="H230" s="14">
        <f t="shared" si="10"/>
        <v>0</v>
      </c>
      <c r="I230" s="14">
        <v>0</v>
      </c>
      <c r="J230" s="14">
        <v>0</v>
      </c>
      <c r="K230" s="14">
        <f t="shared" si="11"/>
        <v>0</v>
      </c>
      <c r="L230" s="14">
        <v>0</v>
      </c>
      <c r="M230" s="14">
        <v>0</v>
      </c>
      <c r="N230" s="14">
        <f t="shared" si="12"/>
        <v>0</v>
      </c>
      <c r="O230" s="14">
        <f t="shared" si="12"/>
        <v>0</v>
      </c>
      <c r="P230" s="4">
        <f t="shared" si="12"/>
        <v>0</v>
      </c>
      <c r="Q230" s="22"/>
    </row>
    <row r="231" spans="2:17" x14ac:dyDescent="0.4">
      <c r="B231" s="16">
        <v>42719</v>
      </c>
      <c r="C231" s="21">
        <v>18550</v>
      </c>
      <c r="D231" s="21">
        <v>18550</v>
      </c>
      <c r="E231" s="21">
        <v>18550</v>
      </c>
      <c r="F231" s="21">
        <v>18550</v>
      </c>
      <c r="G231" s="12">
        <v>0</v>
      </c>
      <c r="H231" s="14">
        <f t="shared" si="10"/>
        <v>0</v>
      </c>
      <c r="I231" s="14">
        <v>0</v>
      </c>
      <c r="J231" s="14">
        <v>0</v>
      </c>
      <c r="K231" s="14">
        <f t="shared" si="11"/>
        <v>0</v>
      </c>
      <c r="L231" s="14">
        <v>0</v>
      </c>
      <c r="M231" s="14">
        <v>0</v>
      </c>
      <c r="N231" s="14">
        <f t="shared" si="12"/>
        <v>0</v>
      </c>
      <c r="O231" s="14">
        <f t="shared" si="12"/>
        <v>0</v>
      </c>
      <c r="P231" s="4">
        <f t="shared" si="12"/>
        <v>0</v>
      </c>
      <c r="Q231" s="22"/>
    </row>
    <row r="232" spans="2:17" x14ac:dyDescent="0.4">
      <c r="B232" s="16">
        <v>42720</v>
      </c>
      <c r="C232" s="21">
        <v>18550</v>
      </c>
      <c r="D232" s="21">
        <v>18550</v>
      </c>
      <c r="E232" s="21">
        <v>18550</v>
      </c>
      <c r="F232" s="21">
        <v>18550</v>
      </c>
      <c r="G232" s="12">
        <v>0</v>
      </c>
      <c r="H232" s="14">
        <f t="shared" si="10"/>
        <v>0</v>
      </c>
      <c r="I232" s="14">
        <v>0</v>
      </c>
      <c r="J232" s="14">
        <v>0</v>
      </c>
      <c r="K232" s="14">
        <f t="shared" si="11"/>
        <v>0</v>
      </c>
      <c r="L232" s="14">
        <v>0</v>
      </c>
      <c r="M232" s="14">
        <v>0</v>
      </c>
      <c r="N232" s="14">
        <f t="shared" si="12"/>
        <v>0</v>
      </c>
      <c r="O232" s="14">
        <f t="shared" si="12"/>
        <v>0</v>
      </c>
      <c r="P232" s="4">
        <f t="shared" si="12"/>
        <v>0</v>
      </c>
      <c r="Q232" s="4" t="str">
        <f>IFERROR(SUM(M228:M232)/SUM(J228:J232),"")</f>
        <v/>
      </c>
    </row>
    <row r="233" spans="2:17" x14ac:dyDescent="0.4">
      <c r="B233" s="16">
        <v>42723</v>
      </c>
      <c r="C233" s="21">
        <v>18550</v>
      </c>
      <c r="D233" s="21">
        <v>18550</v>
      </c>
      <c r="E233" s="21">
        <v>18550</v>
      </c>
      <c r="F233" s="21">
        <v>18550</v>
      </c>
      <c r="G233" s="12">
        <v>0</v>
      </c>
      <c r="H233" s="14">
        <f t="shared" si="10"/>
        <v>0</v>
      </c>
      <c r="I233" s="14">
        <v>0</v>
      </c>
      <c r="J233" s="14">
        <v>0</v>
      </c>
      <c r="K233" s="14">
        <f t="shared" si="11"/>
        <v>0</v>
      </c>
      <c r="L233" s="14">
        <v>0</v>
      </c>
      <c r="M233" s="14">
        <v>0</v>
      </c>
      <c r="N233" s="14">
        <f t="shared" si="12"/>
        <v>0</v>
      </c>
      <c r="O233" s="14">
        <f t="shared" si="12"/>
        <v>0</v>
      </c>
      <c r="P233" s="4">
        <f t="shared" si="12"/>
        <v>0</v>
      </c>
      <c r="Q233" s="22"/>
    </row>
    <row r="234" spans="2:17" x14ac:dyDescent="0.4">
      <c r="B234" s="16">
        <v>42724</v>
      </c>
      <c r="C234" s="21">
        <v>18550</v>
      </c>
      <c r="D234" s="21">
        <v>18550</v>
      </c>
      <c r="E234" s="21">
        <v>18550</v>
      </c>
      <c r="F234" s="21">
        <v>18550</v>
      </c>
      <c r="G234" s="12">
        <v>0</v>
      </c>
      <c r="H234" s="14">
        <f t="shared" si="10"/>
        <v>0</v>
      </c>
      <c r="I234" s="14">
        <v>0</v>
      </c>
      <c r="J234" s="14">
        <v>0</v>
      </c>
      <c r="K234" s="14">
        <f t="shared" si="11"/>
        <v>0</v>
      </c>
      <c r="L234" s="14">
        <v>0</v>
      </c>
      <c r="M234" s="14">
        <v>0</v>
      </c>
      <c r="N234" s="14">
        <f t="shared" si="12"/>
        <v>0</v>
      </c>
      <c r="O234" s="14">
        <f t="shared" si="12"/>
        <v>0</v>
      </c>
      <c r="P234" s="4">
        <f t="shared" si="12"/>
        <v>0</v>
      </c>
      <c r="Q234" s="22"/>
    </row>
    <row r="235" spans="2:17" x14ac:dyDescent="0.4">
      <c r="B235" s="16">
        <v>42725</v>
      </c>
      <c r="C235" s="21">
        <v>18550</v>
      </c>
      <c r="D235" s="21">
        <v>18550</v>
      </c>
      <c r="E235" s="21">
        <v>18550</v>
      </c>
      <c r="F235" s="21">
        <v>18550</v>
      </c>
      <c r="G235" s="12">
        <v>0</v>
      </c>
      <c r="H235" s="14">
        <f t="shared" si="10"/>
        <v>0</v>
      </c>
      <c r="I235" s="14">
        <v>0</v>
      </c>
      <c r="J235" s="14">
        <v>0</v>
      </c>
      <c r="K235" s="14">
        <f t="shared" si="11"/>
        <v>0</v>
      </c>
      <c r="L235" s="14">
        <v>0</v>
      </c>
      <c r="M235" s="14">
        <v>0</v>
      </c>
      <c r="N235" s="14">
        <f t="shared" si="12"/>
        <v>0</v>
      </c>
      <c r="O235" s="14">
        <f t="shared" si="12"/>
        <v>0</v>
      </c>
      <c r="P235" s="4">
        <f t="shared" si="12"/>
        <v>0</v>
      </c>
      <c r="Q235" s="22"/>
    </row>
    <row r="236" spans="2:17" x14ac:dyDescent="0.4">
      <c r="B236" s="16">
        <v>42726</v>
      </c>
      <c r="C236" s="21">
        <v>18550</v>
      </c>
      <c r="D236" s="21">
        <v>18550</v>
      </c>
      <c r="E236" s="21">
        <v>18550</v>
      </c>
      <c r="F236" s="21">
        <v>18550</v>
      </c>
      <c r="G236" s="12">
        <v>0</v>
      </c>
      <c r="H236" s="14">
        <f t="shared" si="10"/>
        <v>0</v>
      </c>
      <c r="I236" s="14">
        <v>0</v>
      </c>
      <c r="J236" s="14">
        <v>0</v>
      </c>
      <c r="K236" s="14">
        <f t="shared" si="11"/>
        <v>0</v>
      </c>
      <c r="L236" s="14">
        <v>0</v>
      </c>
      <c r="M236" s="14">
        <v>0</v>
      </c>
      <c r="N236" s="14">
        <f t="shared" si="12"/>
        <v>0</v>
      </c>
      <c r="O236" s="14">
        <f t="shared" si="12"/>
        <v>0</v>
      </c>
      <c r="P236" s="4">
        <f t="shared" si="12"/>
        <v>0</v>
      </c>
      <c r="Q236" s="22"/>
    </row>
    <row r="237" spans="2:17" x14ac:dyDescent="0.4">
      <c r="B237" s="16">
        <v>42727</v>
      </c>
      <c r="C237" s="21">
        <v>18550</v>
      </c>
      <c r="D237" s="21">
        <v>18550</v>
      </c>
      <c r="E237" s="21">
        <v>18550</v>
      </c>
      <c r="F237" s="21">
        <v>18550</v>
      </c>
      <c r="G237" s="12">
        <v>0</v>
      </c>
      <c r="H237" s="14">
        <f t="shared" si="10"/>
        <v>0</v>
      </c>
      <c r="I237" s="14">
        <v>0</v>
      </c>
      <c r="J237" s="14">
        <v>0</v>
      </c>
      <c r="K237" s="14">
        <f t="shared" si="11"/>
        <v>0</v>
      </c>
      <c r="L237" s="14">
        <v>0</v>
      </c>
      <c r="M237" s="14">
        <v>0</v>
      </c>
      <c r="N237" s="14">
        <f t="shared" si="12"/>
        <v>0</v>
      </c>
      <c r="O237" s="14">
        <f t="shared" si="12"/>
        <v>0</v>
      </c>
      <c r="P237" s="4">
        <f t="shared" si="12"/>
        <v>0</v>
      </c>
      <c r="Q237" s="4" t="str">
        <f>IFERROR(SUM(M233:M237)/SUM(J233:J237),"")</f>
        <v/>
      </c>
    </row>
    <row r="238" spans="2:17" x14ac:dyDescent="0.4">
      <c r="B238" s="16">
        <v>42730</v>
      </c>
      <c r="C238" s="21">
        <v>18550</v>
      </c>
      <c r="D238" s="21">
        <v>18550</v>
      </c>
      <c r="E238" s="21">
        <v>18550</v>
      </c>
      <c r="F238" s="21">
        <v>18550</v>
      </c>
      <c r="G238" s="12">
        <v>0</v>
      </c>
      <c r="H238" s="14">
        <f t="shared" si="10"/>
        <v>0</v>
      </c>
      <c r="I238" s="14">
        <v>0</v>
      </c>
      <c r="J238" s="14">
        <v>0</v>
      </c>
      <c r="K238" s="14">
        <f t="shared" si="11"/>
        <v>0</v>
      </c>
      <c r="L238" s="14">
        <v>0</v>
      </c>
      <c r="M238" s="14">
        <v>0</v>
      </c>
      <c r="N238" s="14">
        <f t="shared" si="12"/>
        <v>0</v>
      </c>
      <c r="O238" s="14">
        <f t="shared" si="12"/>
        <v>0</v>
      </c>
      <c r="P238" s="4">
        <f t="shared" si="12"/>
        <v>0</v>
      </c>
      <c r="Q238" s="22"/>
    </row>
    <row r="239" spans="2:17" x14ac:dyDescent="0.4">
      <c r="B239" s="16">
        <v>42731</v>
      </c>
      <c r="C239" s="21">
        <v>18550</v>
      </c>
      <c r="D239" s="21">
        <v>18550</v>
      </c>
      <c r="E239" s="21">
        <v>18550</v>
      </c>
      <c r="F239" s="21">
        <v>18550</v>
      </c>
      <c r="G239" s="12">
        <v>0</v>
      </c>
      <c r="H239" s="14">
        <f t="shared" si="10"/>
        <v>0</v>
      </c>
      <c r="I239" s="14">
        <v>0</v>
      </c>
      <c r="J239" s="14">
        <v>0</v>
      </c>
      <c r="K239" s="14">
        <f t="shared" si="11"/>
        <v>0</v>
      </c>
      <c r="L239" s="14">
        <v>0</v>
      </c>
      <c r="M239" s="14">
        <v>0</v>
      </c>
      <c r="N239" s="14">
        <f t="shared" si="12"/>
        <v>0</v>
      </c>
      <c r="O239" s="14">
        <f t="shared" si="12"/>
        <v>0</v>
      </c>
      <c r="P239" s="4">
        <f t="shared" si="12"/>
        <v>0</v>
      </c>
      <c r="Q239" s="22"/>
    </row>
    <row r="240" spans="2:17" x14ac:dyDescent="0.4">
      <c r="B240" s="16">
        <v>42732</v>
      </c>
      <c r="C240" s="21">
        <v>18550</v>
      </c>
      <c r="D240" s="21">
        <v>18550</v>
      </c>
      <c r="E240" s="21">
        <v>18550</v>
      </c>
      <c r="F240" s="21">
        <v>18550</v>
      </c>
      <c r="G240" s="12">
        <v>0</v>
      </c>
      <c r="H240" s="14">
        <f t="shared" si="10"/>
        <v>0</v>
      </c>
      <c r="I240" s="14">
        <v>0</v>
      </c>
      <c r="J240" s="14">
        <v>0</v>
      </c>
      <c r="K240" s="14">
        <f t="shared" si="11"/>
        <v>0</v>
      </c>
      <c r="L240" s="14">
        <v>0</v>
      </c>
      <c r="M240" s="14">
        <v>0</v>
      </c>
      <c r="N240" s="14">
        <f t="shared" si="12"/>
        <v>0</v>
      </c>
      <c r="O240" s="14">
        <f t="shared" si="12"/>
        <v>0</v>
      </c>
      <c r="P240" s="4">
        <f t="shared" si="12"/>
        <v>0</v>
      </c>
      <c r="Q240" s="22"/>
    </row>
    <row r="241" spans="2:17" x14ac:dyDescent="0.4">
      <c r="B241" s="16">
        <v>42733</v>
      </c>
      <c r="C241" s="21">
        <v>18550</v>
      </c>
      <c r="D241" s="21">
        <v>18550</v>
      </c>
      <c r="E241" s="21">
        <v>18550</v>
      </c>
      <c r="F241" s="21">
        <v>18550</v>
      </c>
      <c r="G241" s="12">
        <v>0</v>
      </c>
      <c r="H241" s="14">
        <f t="shared" si="10"/>
        <v>0</v>
      </c>
      <c r="I241" s="14">
        <v>0</v>
      </c>
      <c r="J241" s="14">
        <v>0</v>
      </c>
      <c r="K241" s="14">
        <f t="shared" si="11"/>
        <v>0</v>
      </c>
      <c r="L241" s="14">
        <v>0</v>
      </c>
      <c r="M241" s="14">
        <v>0</v>
      </c>
      <c r="N241" s="14">
        <f t="shared" si="12"/>
        <v>0</v>
      </c>
      <c r="O241" s="14">
        <f t="shared" si="12"/>
        <v>0</v>
      </c>
      <c r="P241" s="4">
        <f t="shared" si="12"/>
        <v>0</v>
      </c>
      <c r="Q241" s="4" t="str">
        <f>IFERROR(SUM(M238:M241)/SUM(J238:J241),"")</f>
        <v/>
      </c>
    </row>
    <row r="242" spans="2:17" x14ac:dyDescent="0.4">
      <c r="B242" s="16">
        <v>42737</v>
      </c>
      <c r="C242" s="21">
        <v>18550</v>
      </c>
      <c r="D242" s="21">
        <v>18550</v>
      </c>
      <c r="E242" s="21">
        <v>18550</v>
      </c>
      <c r="F242" s="21">
        <v>18550</v>
      </c>
      <c r="G242" s="12">
        <v>0</v>
      </c>
      <c r="H242" s="14">
        <f t="shared" si="10"/>
        <v>0</v>
      </c>
      <c r="I242" s="14">
        <v>0</v>
      </c>
      <c r="J242" s="14">
        <v>0</v>
      </c>
      <c r="K242" s="14">
        <f t="shared" si="11"/>
        <v>0</v>
      </c>
      <c r="L242" s="14">
        <v>0</v>
      </c>
      <c r="M242" s="14">
        <v>0</v>
      </c>
      <c r="N242" s="14">
        <f t="shared" si="12"/>
        <v>0</v>
      </c>
      <c r="O242" s="14">
        <f t="shared" si="12"/>
        <v>0</v>
      </c>
      <c r="P242" s="4">
        <f t="shared" si="12"/>
        <v>0</v>
      </c>
      <c r="Q242" s="22"/>
    </row>
    <row r="243" spans="2:17" x14ac:dyDescent="0.4">
      <c r="B243" s="16">
        <v>42738</v>
      </c>
      <c r="C243" s="21">
        <v>18550</v>
      </c>
      <c r="D243" s="21">
        <v>18550</v>
      </c>
      <c r="E243" s="21">
        <v>18550</v>
      </c>
      <c r="F243" s="21">
        <v>18550</v>
      </c>
      <c r="G243" s="12">
        <v>0</v>
      </c>
      <c r="H243" s="88">
        <f t="shared" si="10"/>
        <v>0</v>
      </c>
      <c r="I243" s="14">
        <v>0</v>
      </c>
      <c r="J243" s="14">
        <v>0</v>
      </c>
      <c r="K243" s="14">
        <f t="shared" si="11"/>
        <v>0</v>
      </c>
      <c r="L243" s="14">
        <v>0</v>
      </c>
      <c r="M243" s="14">
        <v>0</v>
      </c>
      <c r="N243" s="14">
        <f t="shared" si="12"/>
        <v>0</v>
      </c>
      <c r="O243" s="14">
        <f t="shared" si="12"/>
        <v>0</v>
      </c>
      <c r="P243" s="4">
        <f t="shared" si="12"/>
        <v>0</v>
      </c>
      <c r="Q243" s="22"/>
    </row>
    <row r="244" spans="2:17" x14ac:dyDescent="0.4">
      <c r="B244" s="16">
        <v>42739</v>
      </c>
      <c r="C244" s="21">
        <v>18550</v>
      </c>
      <c r="D244" s="21">
        <v>18550</v>
      </c>
      <c r="E244" s="21">
        <v>18550</v>
      </c>
      <c r="F244" s="21">
        <v>18550</v>
      </c>
      <c r="G244" s="12">
        <v>0</v>
      </c>
      <c r="H244" s="14">
        <f t="shared" si="10"/>
        <v>0</v>
      </c>
      <c r="I244" s="14">
        <v>0</v>
      </c>
      <c r="J244" s="14">
        <v>0</v>
      </c>
      <c r="K244" s="14">
        <f t="shared" si="11"/>
        <v>0</v>
      </c>
      <c r="L244" s="14">
        <v>0</v>
      </c>
      <c r="M244" s="14">
        <v>0</v>
      </c>
      <c r="N244" s="14">
        <f t="shared" si="12"/>
        <v>0</v>
      </c>
      <c r="O244" s="14">
        <f t="shared" si="12"/>
        <v>0</v>
      </c>
      <c r="P244" s="4">
        <f t="shared" si="12"/>
        <v>0</v>
      </c>
      <c r="Q244" s="22"/>
    </row>
    <row r="245" spans="2:17" x14ac:dyDescent="0.4">
      <c r="B245" s="16">
        <v>42740</v>
      </c>
      <c r="C245" s="21">
        <v>18550</v>
      </c>
      <c r="D245" s="21">
        <v>18550</v>
      </c>
      <c r="E245" s="21">
        <v>18550</v>
      </c>
      <c r="F245" s="21">
        <v>18550</v>
      </c>
      <c r="G245" s="12">
        <v>0</v>
      </c>
      <c r="H245" s="14">
        <f t="shared" si="10"/>
        <v>0</v>
      </c>
      <c r="I245" s="14">
        <v>0</v>
      </c>
      <c r="J245" s="14">
        <v>0</v>
      </c>
      <c r="K245" s="14">
        <f t="shared" si="11"/>
        <v>0</v>
      </c>
      <c r="L245" s="14">
        <v>0</v>
      </c>
      <c r="M245" s="14">
        <v>0</v>
      </c>
      <c r="N245" s="14">
        <f t="shared" si="12"/>
        <v>0</v>
      </c>
      <c r="O245" s="14">
        <f t="shared" si="12"/>
        <v>0</v>
      </c>
      <c r="P245" s="4">
        <f t="shared" si="12"/>
        <v>0</v>
      </c>
      <c r="Q245" s="22"/>
    </row>
    <row r="246" spans="2:17" x14ac:dyDescent="0.4">
      <c r="B246" s="16">
        <v>42741</v>
      </c>
      <c r="C246" s="21">
        <v>18550</v>
      </c>
      <c r="D246" s="21">
        <v>18550</v>
      </c>
      <c r="E246" s="21">
        <v>18550</v>
      </c>
      <c r="F246" s="21">
        <v>18550</v>
      </c>
      <c r="G246" s="12">
        <v>0</v>
      </c>
      <c r="H246" s="14">
        <f t="shared" ref="H246:H414" si="13">J246-I246</f>
        <v>0</v>
      </c>
      <c r="I246" s="14">
        <v>0</v>
      </c>
      <c r="J246" s="14">
        <v>0</v>
      </c>
      <c r="K246" s="14">
        <f t="shared" ref="K246:K414" si="14">M246-L246</f>
        <v>0</v>
      </c>
      <c r="L246" s="14">
        <v>0</v>
      </c>
      <c r="M246" s="14">
        <v>0</v>
      </c>
      <c r="N246" s="14">
        <f t="shared" si="12"/>
        <v>0</v>
      </c>
      <c r="O246" s="14">
        <f t="shared" si="12"/>
        <v>0</v>
      </c>
      <c r="P246" s="4">
        <f t="shared" si="12"/>
        <v>0</v>
      </c>
      <c r="Q246" s="4" t="str">
        <f>IFERROR(SUM(M243:M246)/SUM(J243:J246),"")</f>
        <v/>
      </c>
    </row>
    <row r="247" spans="2:17" x14ac:dyDescent="0.4">
      <c r="B247" s="16">
        <v>42744</v>
      </c>
      <c r="C247" s="21">
        <v>18550</v>
      </c>
      <c r="D247" s="21">
        <v>18550</v>
      </c>
      <c r="E247" s="21">
        <v>18550</v>
      </c>
      <c r="F247" s="21">
        <v>18550</v>
      </c>
      <c r="G247" s="12">
        <v>0</v>
      </c>
      <c r="H247" s="14">
        <f t="shared" si="13"/>
        <v>0</v>
      </c>
      <c r="I247" s="14">
        <v>0</v>
      </c>
      <c r="J247" s="14">
        <v>0</v>
      </c>
      <c r="K247" s="14">
        <f t="shared" si="14"/>
        <v>0</v>
      </c>
      <c r="L247" s="14">
        <v>0</v>
      </c>
      <c r="M247" s="14">
        <v>0</v>
      </c>
      <c r="N247" s="14">
        <f t="shared" si="12"/>
        <v>0</v>
      </c>
      <c r="O247" s="14">
        <f t="shared" si="12"/>
        <v>0</v>
      </c>
      <c r="P247" s="4">
        <f t="shared" si="12"/>
        <v>0</v>
      </c>
      <c r="Q247" s="22"/>
    </row>
    <row r="248" spans="2:17" x14ac:dyDescent="0.4">
      <c r="B248" s="16">
        <v>42745</v>
      </c>
      <c r="C248" s="21">
        <v>18550</v>
      </c>
      <c r="D248" s="21">
        <v>18550</v>
      </c>
      <c r="E248" s="21">
        <v>18550</v>
      </c>
      <c r="F248" s="21">
        <v>18550</v>
      </c>
      <c r="G248" s="12">
        <v>0</v>
      </c>
      <c r="H248" s="14">
        <f t="shared" si="13"/>
        <v>0</v>
      </c>
      <c r="I248" s="14">
        <v>0</v>
      </c>
      <c r="J248" s="14">
        <v>0</v>
      </c>
      <c r="K248" s="14">
        <f t="shared" si="14"/>
        <v>0</v>
      </c>
      <c r="L248" s="14">
        <v>0</v>
      </c>
      <c r="M248" s="14">
        <v>0</v>
      </c>
      <c r="N248" s="14">
        <f t="shared" si="12"/>
        <v>0</v>
      </c>
      <c r="O248" s="14">
        <f t="shared" si="12"/>
        <v>0</v>
      </c>
      <c r="P248" s="4">
        <f t="shared" si="12"/>
        <v>0</v>
      </c>
      <c r="Q248" s="22"/>
    </row>
    <row r="249" spans="2:17" x14ac:dyDescent="0.4">
      <c r="B249" s="16">
        <v>42746</v>
      </c>
      <c r="C249" s="21">
        <v>18550</v>
      </c>
      <c r="D249" s="21">
        <v>18550</v>
      </c>
      <c r="E249" s="21">
        <v>18550</v>
      </c>
      <c r="F249" s="21">
        <v>18550</v>
      </c>
      <c r="G249" s="12">
        <v>0</v>
      </c>
      <c r="H249" s="14">
        <f t="shared" si="13"/>
        <v>0</v>
      </c>
      <c r="I249" s="14">
        <v>0</v>
      </c>
      <c r="J249" s="14">
        <v>0</v>
      </c>
      <c r="K249" s="14">
        <f t="shared" si="14"/>
        <v>0</v>
      </c>
      <c r="L249" s="14">
        <v>0</v>
      </c>
      <c r="M249" s="14">
        <v>0</v>
      </c>
      <c r="N249" s="14">
        <f t="shared" si="12"/>
        <v>0</v>
      </c>
      <c r="O249" s="14">
        <f t="shared" si="12"/>
        <v>0</v>
      </c>
      <c r="P249" s="4">
        <f t="shared" si="12"/>
        <v>0</v>
      </c>
      <c r="Q249" s="22"/>
    </row>
    <row r="250" spans="2:17" x14ac:dyDescent="0.4">
      <c r="B250" s="16">
        <v>42747</v>
      </c>
      <c r="C250" s="21">
        <v>18550</v>
      </c>
      <c r="D250" s="21">
        <v>18550</v>
      </c>
      <c r="E250" s="21">
        <v>18550</v>
      </c>
      <c r="F250" s="21">
        <v>18550</v>
      </c>
      <c r="G250" s="12">
        <v>0</v>
      </c>
      <c r="H250" s="14">
        <f t="shared" si="13"/>
        <v>0</v>
      </c>
      <c r="I250" s="14">
        <v>0</v>
      </c>
      <c r="J250" s="14">
        <v>0</v>
      </c>
      <c r="K250" s="14">
        <f t="shared" si="14"/>
        <v>0</v>
      </c>
      <c r="L250" s="14">
        <v>0</v>
      </c>
      <c r="M250" s="14">
        <v>0</v>
      </c>
      <c r="N250" s="14">
        <f t="shared" si="12"/>
        <v>0</v>
      </c>
      <c r="O250" s="14">
        <f t="shared" si="12"/>
        <v>0</v>
      </c>
      <c r="P250" s="4">
        <f t="shared" si="12"/>
        <v>0</v>
      </c>
      <c r="Q250" s="22"/>
    </row>
    <row r="251" spans="2:17" x14ac:dyDescent="0.4">
      <c r="B251" s="16">
        <v>42748</v>
      </c>
      <c r="C251" s="21">
        <v>18600</v>
      </c>
      <c r="D251" s="21">
        <v>18600</v>
      </c>
      <c r="E251" s="21">
        <v>18600</v>
      </c>
      <c r="F251" s="21">
        <v>18600</v>
      </c>
      <c r="G251" s="12">
        <v>0.27</v>
      </c>
      <c r="H251" s="14">
        <f t="shared" si="13"/>
        <v>0</v>
      </c>
      <c r="I251" s="14">
        <v>0</v>
      </c>
      <c r="J251" s="14">
        <v>0</v>
      </c>
      <c r="K251" s="14">
        <f t="shared" si="14"/>
        <v>0</v>
      </c>
      <c r="L251" s="14">
        <v>0</v>
      </c>
      <c r="M251" s="14">
        <v>0</v>
      </c>
      <c r="N251" s="14">
        <f t="shared" si="12"/>
        <v>0</v>
      </c>
      <c r="O251" s="14">
        <f t="shared" si="12"/>
        <v>0</v>
      </c>
      <c r="P251" s="4">
        <f t="shared" si="12"/>
        <v>0</v>
      </c>
      <c r="Q251" s="4" t="str">
        <f>IFERROR(SUM(M248:M251)/SUM(J248:J251),"")</f>
        <v/>
      </c>
    </row>
    <row r="252" spans="2:17" x14ac:dyDescent="0.4">
      <c r="B252" s="16">
        <v>42751</v>
      </c>
      <c r="C252" s="21">
        <v>18600</v>
      </c>
      <c r="D252" s="21">
        <v>18600</v>
      </c>
      <c r="E252" s="21">
        <v>18600</v>
      </c>
      <c r="F252" s="21">
        <v>18600</v>
      </c>
      <c r="G252" s="12">
        <v>0</v>
      </c>
      <c r="H252" s="14">
        <f t="shared" si="13"/>
        <v>0</v>
      </c>
      <c r="I252" s="14">
        <v>0</v>
      </c>
      <c r="J252" s="14">
        <v>0</v>
      </c>
      <c r="K252" s="14">
        <f t="shared" si="14"/>
        <v>0</v>
      </c>
      <c r="L252" s="14">
        <v>0</v>
      </c>
      <c r="M252" s="14">
        <v>0</v>
      </c>
      <c r="N252" s="14">
        <f t="shared" si="12"/>
        <v>0</v>
      </c>
      <c r="O252" s="14">
        <f t="shared" si="12"/>
        <v>0</v>
      </c>
      <c r="P252" s="4">
        <f t="shared" si="12"/>
        <v>0</v>
      </c>
      <c r="Q252" s="22"/>
    </row>
    <row r="253" spans="2:17" x14ac:dyDescent="0.4">
      <c r="B253" s="16">
        <v>42752</v>
      </c>
      <c r="C253" s="21">
        <v>18600</v>
      </c>
      <c r="D253" s="21">
        <v>18600</v>
      </c>
      <c r="E253" s="21">
        <v>18600</v>
      </c>
      <c r="F253" s="21">
        <v>18600</v>
      </c>
      <c r="G253" s="12">
        <v>0</v>
      </c>
      <c r="H253" s="14">
        <f t="shared" si="13"/>
        <v>0</v>
      </c>
      <c r="I253" s="14">
        <v>0</v>
      </c>
      <c r="J253" s="14">
        <v>0</v>
      </c>
      <c r="K253" s="14">
        <f t="shared" si="14"/>
        <v>0</v>
      </c>
      <c r="L253" s="14">
        <v>0</v>
      </c>
      <c r="M253" s="14">
        <v>0</v>
      </c>
      <c r="N253" s="14">
        <f t="shared" si="12"/>
        <v>0</v>
      </c>
      <c r="O253" s="14">
        <f t="shared" si="12"/>
        <v>0</v>
      </c>
      <c r="P253" s="4">
        <f t="shared" si="12"/>
        <v>0</v>
      </c>
      <c r="Q253" s="22"/>
    </row>
    <row r="254" spans="2:17" x14ac:dyDescent="0.4">
      <c r="B254" s="16">
        <v>42753</v>
      </c>
      <c r="C254" s="21">
        <v>18600</v>
      </c>
      <c r="D254" s="21">
        <v>18600</v>
      </c>
      <c r="E254" s="21">
        <v>18600</v>
      </c>
      <c r="F254" s="21">
        <v>18600</v>
      </c>
      <c r="G254" s="12">
        <v>0</v>
      </c>
      <c r="H254" s="14">
        <f t="shared" si="13"/>
        <v>0</v>
      </c>
      <c r="I254" s="14">
        <v>0</v>
      </c>
      <c r="J254" s="14">
        <v>0</v>
      </c>
      <c r="K254" s="14">
        <f t="shared" si="14"/>
        <v>0</v>
      </c>
      <c r="L254" s="14">
        <v>0</v>
      </c>
      <c r="M254" s="14">
        <v>0</v>
      </c>
      <c r="N254" s="14">
        <f t="shared" si="12"/>
        <v>0</v>
      </c>
      <c r="O254" s="14">
        <f t="shared" si="12"/>
        <v>0</v>
      </c>
      <c r="P254" s="4">
        <f t="shared" si="12"/>
        <v>0</v>
      </c>
      <c r="Q254" s="22"/>
    </row>
    <row r="255" spans="2:17" x14ac:dyDescent="0.4">
      <c r="B255" s="16">
        <v>42754</v>
      </c>
      <c r="C255" s="21">
        <v>18600</v>
      </c>
      <c r="D255" s="21">
        <v>18600</v>
      </c>
      <c r="E255" s="21">
        <v>18600</v>
      </c>
      <c r="F255" s="21">
        <v>18600</v>
      </c>
      <c r="G255" s="12">
        <v>0</v>
      </c>
      <c r="H255" s="14">
        <f t="shared" si="13"/>
        <v>0</v>
      </c>
      <c r="I255" s="14">
        <v>0</v>
      </c>
      <c r="J255" s="14">
        <v>0</v>
      </c>
      <c r="K255" s="14">
        <f t="shared" si="14"/>
        <v>0</v>
      </c>
      <c r="L255" s="14">
        <v>0</v>
      </c>
      <c r="M255" s="14">
        <v>0</v>
      </c>
      <c r="N255" s="14">
        <f t="shared" si="12"/>
        <v>0</v>
      </c>
      <c r="O255" s="14">
        <f t="shared" si="12"/>
        <v>0</v>
      </c>
      <c r="P255" s="4">
        <f t="shared" si="12"/>
        <v>0</v>
      </c>
      <c r="Q255" s="22"/>
    </row>
    <row r="256" spans="2:17" x14ac:dyDescent="0.4">
      <c r="B256" s="16">
        <v>42755</v>
      </c>
      <c r="C256" s="21">
        <v>18600</v>
      </c>
      <c r="D256" s="21">
        <v>18600</v>
      </c>
      <c r="E256" s="21">
        <v>18600</v>
      </c>
      <c r="F256" s="21">
        <v>18600</v>
      </c>
      <c r="G256" s="12">
        <v>0</v>
      </c>
      <c r="H256" s="14">
        <f t="shared" si="13"/>
        <v>0</v>
      </c>
      <c r="I256" s="14">
        <v>0</v>
      </c>
      <c r="J256" s="14">
        <v>0</v>
      </c>
      <c r="K256" s="14">
        <f t="shared" si="14"/>
        <v>0</v>
      </c>
      <c r="L256" s="14">
        <v>0</v>
      </c>
      <c r="M256" s="14">
        <v>0</v>
      </c>
      <c r="N256" s="14">
        <f t="shared" si="12"/>
        <v>0</v>
      </c>
      <c r="O256" s="14">
        <f t="shared" si="12"/>
        <v>0</v>
      </c>
      <c r="P256" s="4">
        <f t="shared" si="12"/>
        <v>0</v>
      </c>
      <c r="Q256" s="4" t="str">
        <f>IFERROR(SUM(M253:M256)/SUM(J253:J256),"")</f>
        <v/>
      </c>
    </row>
    <row r="257" spans="2:17" x14ac:dyDescent="0.4">
      <c r="B257" s="16">
        <v>42758</v>
      </c>
      <c r="C257" s="21">
        <v>18600</v>
      </c>
      <c r="D257" s="21">
        <v>18600</v>
      </c>
      <c r="E257" s="21">
        <v>18600</v>
      </c>
      <c r="F257" s="21">
        <v>18600</v>
      </c>
      <c r="G257" s="12">
        <v>0</v>
      </c>
      <c r="H257" s="14">
        <f t="shared" si="13"/>
        <v>0</v>
      </c>
      <c r="I257" s="14">
        <v>0</v>
      </c>
      <c r="J257" s="14">
        <v>0</v>
      </c>
      <c r="K257" s="14">
        <f t="shared" si="14"/>
        <v>0</v>
      </c>
      <c r="L257" s="14">
        <v>0</v>
      </c>
      <c r="M257" s="14">
        <v>0</v>
      </c>
      <c r="N257" s="14">
        <f t="shared" si="12"/>
        <v>0</v>
      </c>
      <c r="O257" s="14">
        <f t="shared" si="12"/>
        <v>0</v>
      </c>
      <c r="P257" s="4">
        <f t="shared" si="12"/>
        <v>0</v>
      </c>
      <c r="Q257" s="22"/>
    </row>
    <row r="258" spans="2:17" x14ac:dyDescent="0.4">
      <c r="B258" s="16">
        <v>42759</v>
      </c>
      <c r="C258" s="21">
        <v>18600</v>
      </c>
      <c r="D258" s="21">
        <v>18600</v>
      </c>
      <c r="E258" s="21">
        <v>18600</v>
      </c>
      <c r="F258" s="21">
        <v>18600</v>
      </c>
      <c r="G258" s="12">
        <v>0</v>
      </c>
      <c r="H258" s="14">
        <f t="shared" si="13"/>
        <v>0</v>
      </c>
      <c r="I258" s="14">
        <v>0</v>
      </c>
      <c r="J258" s="14">
        <v>0</v>
      </c>
      <c r="K258" s="14">
        <f t="shared" si="14"/>
        <v>0</v>
      </c>
      <c r="L258" s="14">
        <v>0</v>
      </c>
      <c r="M258" s="14">
        <v>0</v>
      </c>
      <c r="N258" s="14">
        <f t="shared" si="12"/>
        <v>0</v>
      </c>
      <c r="O258" s="14">
        <f t="shared" si="12"/>
        <v>0</v>
      </c>
      <c r="P258" s="4">
        <f t="shared" si="12"/>
        <v>0</v>
      </c>
      <c r="Q258" s="22"/>
    </row>
    <row r="259" spans="2:17" x14ac:dyDescent="0.4">
      <c r="B259" s="16">
        <v>42760</v>
      </c>
      <c r="C259" s="21">
        <v>18600</v>
      </c>
      <c r="D259" s="21">
        <v>18600</v>
      </c>
      <c r="E259" s="21">
        <v>18600</v>
      </c>
      <c r="F259" s="21">
        <v>18600</v>
      </c>
      <c r="G259" s="12">
        <v>0</v>
      </c>
      <c r="H259" s="14">
        <f t="shared" si="13"/>
        <v>0</v>
      </c>
      <c r="I259" s="14">
        <v>0</v>
      </c>
      <c r="J259" s="14">
        <v>0</v>
      </c>
      <c r="K259" s="14">
        <f t="shared" si="14"/>
        <v>0</v>
      </c>
      <c r="L259" s="14">
        <v>0</v>
      </c>
      <c r="M259" s="14">
        <v>0</v>
      </c>
      <c r="N259" s="14">
        <f t="shared" si="12"/>
        <v>0</v>
      </c>
      <c r="O259" s="14">
        <f t="shared" si="12"/>
        <v>0</v>
      </c>
      <c r="P259" s="4">
        <f t="shared" si="12"/>
        <v>0</v>
      </c>
      <c r="Q259" s="22"/>
    </row>
    <row r="260" spans="2:17" x14ac:dyDescent="0.4">
      <c r="B260" s="16">
        <v>42761</v>
      </c>
      <c r="C260" s="21">
        <v>18600</v>
      </c>
      <c r="D260" s="21">
        <v>18600</v>
      </c>
      <c r="E260" s="21">
        <v>18600</v>
      </c>
      <c r="F260" s="21">
        <v>18600</v>
      </c>
      <c r="G260" s="12">
        <v>0</v>
      </c>
      <c r="H260" s="14">
        <f t="shared" si="13"/>
        <v>0</v>
      </c>
      <c r="I260" s="14">
        <v>0</v>
      </c>
      <c r="J260" s="14">
        <v>0</v>
      </c>
      <c r="K260" s="14">
        <f t="shared" si="14"/>
        <v>0</v>
      </c>
      <c r="L260" s="14">
        <v>0</v>
      </c>
      <c r="M260" s="14">
        <v>0</v>
      </c>
      <c r="N260" s="14">
        <f t="shared" si="12"/>
        <v>0</v>
      </c>
      <c r="O260" s="14">
        <f t="shared" si="12"/>
        <v>0</v>
      </c>
      <c r="P260" s="4">
        <f t="shared" si="12"/>
        <v>0</v>
      </c>
      <c r="Q260" s="4" t="str">
        <f>IFERROR(SUM(M257:M260)/SUM(J257:J260),"")</f>
        <v/>
      </c>
    </row>
    <row r="261" spans="2:17" x14ac:dyDescent="0.4">
      <c r="B261" s="16">
        <v>42766</v>
      </c>
      <c r="C261" s="21">
        <v>18700</v>
      </c>
      <c r="D261" s="21">
        <v>18700</v>
      </c>
      <c r="E261" s="21">
        <v>18700</v>
      </c>
      <c r="F261" s="21">
        <v>18700</v>
      </c>
      <c r="G261" s="12">
        <v>0.54</v>
      </c>
      <c r="H261" s="14">
        <f t="shared" si="13"/>
        <v>0</v>
      </c>
      <c r="I261" s="14">
        <v>0</v>
      </c>
      <c r="J261" s="14">
        <v>0</v>
      </c>
      <c r="K261" s="14">
        <f t="shared" si="14"/>
        <v>0</v>
      </c>
      <c r="L261" s="14">
        <v>0</v>
      </c>
      <c r="M261" s="14">
        <v>0</v>
      </c>
      <c r="N261" s="14">
        <f t="shared" si="12"/>
        <v>0</v>
      </c>
      <c r="O261" s="14">
        <f t="shared" si="12"/>
        <v>0</v>
      </c>
      <c r="P261" s="4">
        <f t="shared" si="12"/>
        <v>0</v>
      </c>
      <c r="Q261" s="22"/>
    </row>
    <row r="262" spans="2:17" x14ac:dyDescent="0.4">
      <c r="B262" s="16">
        <v>42767</v>
      </c>
      <c r="C262" s="21">
        <v>19100</v>
      </c>
      <c r="D262" s="21">
        <v>19100</v>
      </c>
      <c r="E262" s="21">
        <v>19100</v>
      </c>
      <c r="F262" s="21">
        <v>19100</v>
      </c>
      <c r="G262" s="12">
        <v>2.14</v>
      </c>
      <c r="H262" s="14">
        <f t="shared" si="13"/>
        <v>0</v>
      </c>
      <c r="I262" s="14">
        <v>0</v>
      </c>
      <c r="J262" s="14">
        <v>0</v>
      </c>
      <c r="K262" s="14">
        <f t="shared" si="14"/>
        <v>0</v>
      </c>
      <c r="L262" s="14">
        <v>0</v>
      </c>
      <c r="M262" s="14">
        <v>0</v>
      </c>
      <c r="N262" s="14">
        <f t="shared" si="12"/>
        <v>0</v>
      </c>
      <c r="O262" s="14">
        <f t="shared" si="12"/>
        <v>0</v>
      </c>
      <c r="P262" s="4">
        <f t="shared" si="12"/>
        <v>0</v>
      </c>
      <c r="Q262" s="22"/>
    </row>
    <row r="263" spans="2:17" x14ac:dyDescent="0.4">
      <c r="B263" s="16">
        <v>42768</v>
      </c>
      <c r="C263" s="21">
        <v>19100</v>
      </c>
      <c r="D263" s="21">
        <v>19100</v>
      </c>
      <c r="E263" s="21">
        <v>19100</v>
      </c>
      <c r="F263" s="21">
        <v>19100</v>
      </c>
      <c r="G263" s="12">
        <v>0</v>
      </c>
      <c r="H263" s="14">
        <f t="shared" si="13"/>
        <v>0</v>
      </c>
      <c r="I263" s="14">
        <v>0</v>
      </c>
      <c r="J263" s="14">
        <v>0</v>
      </c>
      <c r="K263" s="14">
        <f t="shared" si="14"/>
        <v>0</v>
      </c>
      <c r="L263" s="14">
        <v>0</v>
      </c>
      <c r="M263" s="14">
        <v>0</v>
      </c>
      <c r="N263" s="14">
        <f t="shared" si="12"/>
        <v>0</v>
      </c>
      <c r="O263" s="14">
        <f t="shared" si="12"/>
        <v>0</v>
      </c>
      <c r="P263" s="4">
        <f t="shared" si="12"/>
        <v>0</v>
      </c>
      <c r="Q263" s="22"/>
    </row>
    <row r="264" spans="2:17" x14ac:dyDescent="0.4">
      <c r="B264" s="16">
        <v>42769</v>
      </c>
      <c r="C264" s="21">
        <v>19100</v>
      </c>
      <c r="D264" s="21">
        <v>19100</v>
      </c>
      <c r="E264" s="21">
        <v>19100</v>
      </c>
      <c r="F264" s="21">
        <v>19100</v>
      </c>
      <c r="G264" s="12">
        <v>0</v>
      </c>
      <c r="H264" s="14">
        <f t="shared" si="13"/>
        <v>0</v>
      </c>
      <c r="I264" s="14">
        <v>0</v>
      </c>
      <c r="J264" s="14">
        <v>0</v>
      </c>
      <c r="K264" s="14">
        <f t="shared" si="14"/>
        <v>0</v>
      </c>
      <c r="L264" s="14">
        <v>0</v>
      </c>
      <c r="M264" s="14">
        <v>0</v>
      </c>
      <c r="N264" s="14">
        <f t="shared" si="12"/>
        <v>0</v>
      </c>
      <c r="O264" s="14">
        <f t="shared" si="12"/>
        <v>0</v>
      </c>
      <c r="P264" s="4">
        <f t="shared" si="12"/>
        <v>0</v>
      </c>
      <c r="Q264" s="4" t="str">
        <f>IFERROR(SUM(M261:M264)/SUM(J261:J264),"")</f>
        <v/>
      </c>
    </row>
    <row r="265" spans="2:17" x14ac:dyDescent="0.4">
      <c r="B265" s="16">
        <v>42772</v>
      </c>
      <c r="C265" s="21">
        <v>19200</v>
      </c>
      <c r="D265" s="21">
        <v>19200</v>
      </c>
      <c r="E265" s="21">
        <v>19200</v>
      </c>
      <c r="F265" s="21">
        <v>19200</v>
      </c>
      <c r="G265" s="12">
        <v>0.52</v>
      </c>
      <c r="H265" s="14">
        <f t="shared" si="13"/>
        <v>0</v>
      </c>
      <c r="I265" s="14">
        <v>0</v>
      </c>
      <c r="J265" s="14">
        <v>0</v>
      </c>
      <c r="K265" s="14">
        <f t="shared" si="14"/>
        <v>0</v>
      </c>
      <c r="L265" s="14">
        <v>0</v>
      </c>
      <c r="M265" s="14">
        <v>0</v>
      </c>
      <c r="N265" s="14">
        <f t="shared" si="12"/>
        <v>0</v>
      </c>
      <c r="O265" s="14">
        <f t="shared" si="12"/>
        <v>0</v>
      </c>
      <c r="P265" s="4">
        <f t="shared" si="12"/>
        <v>0</v>
      </c>
      <c r="Q265" s="22"/>
    </row>
    <row r="266" spans="2:17" x14ac:dyDescent="0.4">
      <c r="B266" s="16">
        <v>42773</v>
      </c>
      <c r="C266" s="21">
        <v>19200</v>
      </c>
      <c r="D266" s="21">
        <v>19200</v>
      </c>
      <c r="E266" s="21">
        <v>19200</v>
      </c>
      <c r="F266" s="21">
        <v>19200</v>
      </c>
      <c r="G266" s="12">
        <v>0</v>
      </c>
      <c r="H266" s="14">
        <f t="shared" si="13"/>
        <v>0</v>
      </c>
      <c r="I266" s="14">
        <v>0</v>
      </c>
      <c r="J266" s="14">
        <v>0</v>
      </c>
      <c r="K266" s="14">
        <f t="shared" si="14"/>
        <v>0</v>
      </c>
      <c r="L266" s="14">
        <v>0</v>
      </c>
      <c r="M266" s="14">
        <v>0</v>
      </c>
      <c r="N266" s="14">
        <f t="shared" si="12"/>
        <v>0</v>
      </c>
      <c r="O266" s="14">
        <f t="shared" si="12"/>
        <v>0</v>
      </c>
      <c r="P266" s="4">
        <f t="shared" si="12"/>
        <v>0</v>
      </c>
      <c r="Q266" s="22"/>
    </row>
    <row r="267" spans="2:17" x14ac:dyDescent="0.4">
      <c r="B267" s="16">
        <v>42774</v>
      </c>
      <c r="C267" s="21">
        <v>19300</v>
      </c>
      <c r="D267" s="21">
        <v>19300</v>
      </c>
      <c r="E267" s="21">
        <v>19300</v>
      </c>
      <c r="F267" s="21">
        <v>19300</v>
      </c>
      <c r="G267" s="12">
        <v>0.52</v>
      </c>
      <c r="H267" s="14">
        <f t="shared" si="13"/>
        <v>0</v>
      </c>
      <c r="I267" s="14">
        <v>0</v>
      </c>
      <c r="J267" s="14">
        <v>0</v>
      </c>
      <c r="K267" s="14">
        <f t="shared" si="14"/>
        <v>0</v>
      </c>
      <c r="L267" s="14">
        <v>0</v>
      </c>
      <c r="M267" s="14">
        <v>0</v>
      </c>
      <c r="N267" s="14">
        <f t="shared" si="12"/>
        <v>0</v>
      </c>
      <c r="O267" s="14">
        <f t="shared" si="12"/>
        <v>0</v>
      </c>
      <c r="P267" s="4">
        <f t="shared" si="12"/>
        <v>0</v>
      </c>
      <c r="Q267" s="22"/>
    </row>
    <row r="268" spans="2:17" x14ac:dyDescent="0.4">
      <c r="B268" s="16">
        <v>42775</v>
      </c>
      <c r="C268" s="21">
        <v>19300</v>
      </c>
      <c r="D268" s="21">
        <v>19300</v>
      </c>
      <c r="E268" s="21">
        <v>19300</v>
      </c>
      <c r="F268" s="21">
        <v>19300</v>
      </c>
      <c r="G268" s="12">
        <v>0</v>
      </c>
      <c r="H268" s="14">
        <f t="shared" si="13"/>
        <v>0</v>
      </c>
      <c r="I268" s="14">
        <v>0</v>
      </c>
      <c r="J268" s="14">
        <v>0</v>
      </c>
      <c r="K268" s="14">
        <f t="shared" si="14"/>
        <v>0</v>
      </c>
      <c r="L268" s="14">
        <v>0</v>
      </c>
      <c r="M268" s="14">
        <v>0</v>
      </c>
      <c r="N268" s="14">
        <f t="shared" si="12"/>
        <v>0</v>
      </c>
      <c r="O268" s="14">
        <f t="shared" si="12"/>
        <v>0</v>
      </c>
      <c r="P268" s="4">
        <f t="shared" si="12"/>
        <v>0</v>
      </c>
      <c r="Q268" s="22"/>
    </row>
    <row r="269" spans="2:17" x14ac:dyDescent="0.4">
      <c r="B269" s="16">
        <v>42776</v>
      </c>
      <c r="C269" s="21">
        <v>19300</v>
      </c>
      <c r="D269" s="21">
        <v>19300</v>
      </c>
      <c r="E269" s="21">
        <v>19300</v>
      </c>
      <c r="F269" s="21">
        <v>19300</v>
      </c>
      <c r="G269" s="12">
        <v>0</v>
      </c>
      <c r="H269" s="14">
        <f t="shared" si="13"/>
        <v>0</v>
      </c>
      <c r="I269" s="14">
        <v>0</v>
      </c>
      <c r="J269" s="14">
        <v>0</v>
      </c>
      <c r="K269" s="14">
        <f t="shared" si="14"/>
        <v>0</v>
      </c>
      <c r="L269" s="14">
        <v>0</v>
      </c>
      <c r="M269" s="14">
        <v>0</v>
      </c>
      <c r="N269" s="14">
        <f t="shared" si="12"/>
        <v>0</v>
      </c>
      <c r="O269" s="14">
        <f t="shared" si="12"/>
        <v>0</v>
      </c>
      <c r="P269" s="4">
        <f t="shared" si="12"/>
        <v>0</v>
      </c>
      <c r="Q269" s="4" t="str">
        <f>IFERROR(SUM(M265:M269)/SUM(J265:J269),"")</f>
        <v/>
      </c>
    </row>
    <row r="270" spans="2:17" x14ac:dyDescent="0.4">
      <c r="B270" s="16">
        <v>42779</v>
      </c>
      <c r="C270" s="21">
        <v>19300</v>
      </c>
      <c r="D270" s="21">
        <v>19300</v>
      </c>
      <c r="E270" s="21">
        <v>19300</v>
      </c>
      <c r="F270" s="21">
        <v>19300</v>
      </c>
      <c r="G270" s="12">
        <v>0</v>
      </c>
      <c r="H270" s="14">
        <f t="shared" si="13"/>
        <v>0</v>
      </c>
      <c r="I270" s="14">
        <v>0</v>
      </c>
      <c r="J270" s="14">
        <v>0</v>
      </c>
      <c r="K270" s="14">
        <f t="shared" si="14"/>
        <v>0</v>
      </c>
      <c r="L270" s="14">
        <v>0</v>
      </c>
      <c r="M270" s="14">
        <v>0</v>
      </c>
      <c r="N270" s="14">
        <f t="shared" si="12"/>
        <v>0</v>
      </c>
      <c r="O270" s="14">
        <f t="shared" si="12"/>
        <v>0</v>
      </c>
      <c r="P270" s="4">
        <f t="shared" si="12"/>
        <v>0</v>
      </c>
      <c r="Q270" s="22"/>
    </row>
    <row r="271" spans="2:17" x14ac:dyDescent="0.4">
      <c r="B271" s="16">
        <v>42780</v>
      </c>
      <c r="C271" s="21">
        <v>19300</v>
      </c>
      <c r="D271" s="21">
        <v>19300</v>
      </c>
      <c r="E271" s="21">
        <v>19300</v>
      </c>
      <c r="F271" s="21">
        <v>19300</v>
      </c>
      <c r="G271" s="12">
        <v>0</v>
      </c>
      <c r="H271" s="14">
        <f t="shared" si="13"/>
        <v>0</v>
      </c>
      <c r="I271" s="14">
        <v>0</v>
      </c>
      <c r="J271" s="14">
        <v>0</v>
      </c>
      <c r="K271" s="14">
        <f t="shared" si="14"/>
        <v>0</v>
      </c>
      <c r="L271" s="14">
        <v>0</v>
      </c>
      <c r="M271" s="14">
        <v>0</v>
      </c>
      <c r="N271" s="14">
        <f t="shared" si="12"/>
        <v>0</v>
      </c>
      <c r="O271" s="14">
        <f t="shared" si="12"/>
        <v>0</v>
      </c>
      <c r="P271" s="4">
        <f t="shared" si="12"/>
        <v>0</v>
      </c>
      <c r="Q271" s="22"/>
    </row>
    <row r="272" spans="2:17" x14ac:dyDescent="0.4">
      <c r="B272" s="16">
        <v>42781</v>
      </c>
      <c r="C272" s="21">
        <v>19300</v>
      </c>
      <c r="D272" s="21">
        <v>19300</v>
      </c>
      <c r="E272" s="21">
        <v>19300</v>
      </c>
      <c r="F272" s="21">
        <v>19300</v>
      </c>
      <c r="G272" s="12">
        <v>0</v>
      </c>
      <c r="H272" s="14">
        <f t="shared" si="13"/>
        <v>0</v>
      </c>
      <c r="I272" s="14">
        <v>0</v>
      </c>
      <c r="J272" s="14">
        <v>0</v>
      </c>
      <c r="K272" s="14">
        <f t="shared" si="14"/>
        <v>0</v>
      </c>
      <c r="L272" s="14">
        <v>0</v>
      </c>
      <c r="M272" s="14">
        <v>0</v>
      </c>
      <c r="N272" s="14">
        <f t="shared" si="12"/>
        <v>0</v>
      </c>
      <c r="O272" s="14">
        <f t="shared" si="12"/>
        <v>0</v>
      </c>
      <c r="P272" s="4">
        <f t="shared" si="12"/>
        <v>0</v>
      </c>
      <c r="Q272" s="22"/>
    </row>
    <row r="273" spans="2:17" x14ac:dyDescent="0.4">
      <c r="B273" s="16">
        <v>42782</v>
      </c>
      <c r="C273" s="21">
        <v>19300</v>
      </c>
      <c r="D273" s="21">
        <v>19300</v>
      </c>
      <c r="E273" s="21">
        <v>19300</v>
      </c>
      <c r="F273" s="21">
        <v>19300</v>
      </c>
      <c r="G273" s="12">
        <v>0</v>
      </c>
      <c r="H273" s="14">
        <f t="shared" si="13"/>
        <v>0</v>
      </c>
      <c r="I273" s="14">
        <v>0</v>
      </c>
      <c r="J273" s="14">
        <v>0</v>
      </c>
      <c r="K273" s="14">
        <f t="shared" si="14"/>
        <v>0</v>
      </c>
      <c r="L273" s="14">
        <v>0</v>
      </c>
      <c r="M273" s="14">
        <v>0</v>
      </c>
      <c r="N273" s="14">
        <f t="shared" si="12"/>
        <v>0</v>
      </c>
      <c r="O273" s="14">
        <f t="shared" si="12"/>
        <v>0</v>
      </c>
      <c r="P273" s="4">
        <f t="shared" si="12"/>
        <v>0</v>
      </c>
      <c r="Q273" s="22"/>
    </row>
    <row r="274" spans="2:17" x14ac:dyDescent="0.4">
      <c r="B274" s="16">
        <v>42783</v>
      </c>
      <c r="C274" s="21">
        <v>19400</v>
      </c>
      <c r="D274" s="21">
        <v>19400</v>
      </c>
      <c r="E274" s="21">
        <v>19400</v>
      </c>
      <c r="F274" s="21">
        <v>19400</v>
      </c>
      <c r="G274" s="12">
        <v>0.52</v>
      </c>
      <c r="H274" s="14">
        <f t="shared" si="13"/>
        <v>0</v>
      </c>
      <c r="I274" s="14">
        <v>0</v>
      </c>
      <c r="J274" s="14">
        <v>0</v>
      </c>
      <c r="K274" s="14">
        <f t="shared" si="14"/>
        <v>0</v>
      </c>
      <c r="L274" s="14">
        <v>0</v>
      </c>
      <c r="M274" s="14">
        <v>0</v>
      </c>
      <c r="N274" s="14">
        <f t="shared" si="12"/>
        <v>0</v>
      </c>
      <c r="O274" s="14">
        <f t="shared" si="12"/>
        <v>0</v>
      </c>
      <c r="P274" s="4">
        <f t="shared" si="12"/>
        <v>0</v>
      </c>
      <c r="Q274" s="4" t="str">
        <f>IFERROR(SUM(M270:M274)/SUM(J270:J274),"")</f>
        <v/>
      </c>
    </row>
    <row r="275" spans="2:17" x14ac:dyDescent="0.4">
      <c r="B275" s="16">
        <v>42786</v>
      </c>
      <c r="C275" s="21">
        <v>19400</v>
      </c>
      <c r="D275" s="21">
        <v>19400</v>
      </c>
      <c r="E275" s="21">
        <v>19400</v>
      </c>
      <c r="F275" s="21">
        <v>19400</v>
      </c>
      <c r="G275" s="12">
        <v>0</v>
      </c>
      <c r="H275" s="14">
        <f t="shared" si="13"/>
        <v>0</v>
      </c>
      <c r="I275" s="14">
        <v>0</v>
      </c>
      <c r="J275" s="14">
        <v>0</v>
      </c>
      <c r="K275" s="14">
        <f t="shared" si="14"/>
        <v>0</v>
      </c>
      <c r="L275" s="14">
        <v>0</v>
      </c>
      <c r="M275" s="14">
        <v>0</v>
      </c>
      <c r="N275" s="14">
        <f t="shared" si="12"/>
        <v>0</v>
      </c>
      <c r="O275" s="14">
        <f t="shared" si="12"/>
        <v>0</v>
      </c>
      <c r="P275" s="4">
        <f t="shared" si="12"/>
        <v>0</v>
      </c>
      <c r="Q275" s="22"/>
    </row>
    <row r="276" spans="2:17" x14ac:dyDescent="0.4">
      <c r="B276" s="16">
        <v>42787</v>
      </c>
      <c r="C276" s="21">
        <v>19500</v>
      </c>
      <c r="D276" s="21">
        <v>19500</v>
      </c>
      <c r="E276" s="21">
        <v>19500</v>
      </c>
      <c r="F276" s="21">
        <v>19500</v>
      </c>
      <c r="G276" s="12">
        <v>0.52</v>
      </c>
      <c r="H276" s="14">
        <f t="shared" si="13"/>
        <v>0</v>
      </c>
      <c r="I276" s="14">
        <v>0</v>
      </c>
      <c r="J276" s="14">
        <v>0</v>
      </c>
      <c r="K276" s="14">
        <f t="shared" si="14"/>
        <v>0</v>
      </c>
      <c r="L276" s="14">
        <v>0</v>
      </c>
      <c r="M276" s="14">
        <v>0</v>
      </c>
      <c r="N276" s="14">
        <f t="shared" si="12"/>
        <v>0</v>
      </c>
      <c r="O276" s="14">
        <f t="shared" si="12"/>
        <v>0</v>
      </c>
      <c r="P276" s="4">
        <f t="shared" si="12"/>
        <v>0</v>
      </c>
      <c r="Q276" s="22"/>
    </row>
    <row r="277" spans="2:17" x14ac:dyDescent="0.4">
      <c r="B277" s="16">
        <v>42788</v>
      </c>
      <c r="C277" s="21">
        <v>19550</v>
      </c>
      <c r="D277" s="21">
        <v>19550</v>
      </c>
      <c r="E277" s="21">
        <v>19550</v>
      </c>
      <c r="F277" s="21">
        <v>19550</v>
      </c>
      <c r="G277" s="12">
        <v>0.26</v>
      </c>
      <c r="H277" s="14">
        <f t="shared" si="13"/>
        <v>0</v>
      </c>
      <c r="I277" s="14">
        <v>0</v>
      </c>
      <c r="J277" s="14">
        <v>0</v>
      </c>
      <c r="K277" s="14">
        <f t="shared" si="14"/>
        <v>0</v>
      </c>
      <c r="L277" s="14">
        <v>0</v>
      </c>
      <c r="M277" s="14">
        <v>0</v>
      </c>
      <c r="N277" s="14">
        <f t="shared" si="12"/>
        <v>0</v>
      </c>
      <c r="O277" s="14">
        <f t="shared" si="12"/>
        <v>0</v>
      </c>
      <c r="P277" s="4">
        <f t="shared" si="12"/>
        <v>0</v>
      </c>
      <c r="Q277" s="22"/>
    </row>
    <row r="278" spans="2:17" x14ac:dyDescent="0.4">
      <c r="B278" s="16">
        <v>42789</v>
      </c>
      <c r="C278" s="21">
        <v>19550</v>
      </c>
      <c r="D278" s="21">
        <v>19550</v>
      </c>
      <c r="E278" s="21">
        <v>19550</v>
      </c>
      <c r="F278" s="21">
        <v>19550</v>
      </c>
      <c r="G278" s="12">
        <v>0</v>
      </c>
      <c r="H278" s="14">
        <f t="shared" si="13"/>
        <v>0</v>
      </c>
      <c r="I278" s="14">
        <v>0</v>
      </c>
      <c r="J278" s="14">
        <v>0</v>
      </c>
      <c r="K278" s="14">
        <f t="shared" si="14"/>
        <v>0</v>
      </c>
      <c r="L278" s="14">
        <v>0</v>
      </c>
      <c r="M278" s="14">
        <v>0</v>
      </c>
      <c r="N278" s="14">
        <f t="shared" si="12"/>
        <v>0</v>
      </c>
      <c r="O278" s="14">
        <f t="shared" si="12"/>
        <v>0</v>
      </c>
      <c r="P278" s="4">
        <f t="shared" si="12"/>
        <v>0</v>
      </c>
      <c r="Q278" s="22"/>
    </row>
    <row r="279" spans="2:17" x14ac:dyDescent="0.4">
      <c r="B279" s="16">
        <v>42790</v>
      </c>
      <c r="C279" s="21">
        <v>19550</v>
      </c>
      <c r="D279" s="21">
        <v>19550</v>
      </c>
      <c r="E279" s="21">
        <v>19550</v>
      </c>
      <c r="F279" s="21">
        <v>19550</v>
      </c>
      <c r="G279" s="12">
        <v>0</v>
      </c>
      <c r="H279" s="14">
        <f t="shared" si="13"/>
        <v>0</v>
      </c>
      <c r="I279" s="14">
        <v>0</v>
      </c>
      <c r="J279" s="14">
        <v>0</v>
      </c>
      <c r="K279" s="14">
        <f t="shared" si="14"/>
        <v>0</v>
      </c>
      <c r="L279" s="14">
        <v>0</v>
      </c>
      <c r="M279" s="14">
        <v>0</v>
      </c>
      <c r="N279" s="14">
        <f t="shared" si="12"/>
        <v>0</v>
      </c>
      <c r="O279" s="14">
        <f t="shared" si="12"/>
        <v>0</v>
      </c>
      <c r="P279" s="4">
        <f t="shared" si="12"/>
        <v>0</v>
      </c>
      <c r="Q279" s="4" t="str">
        <f>IFERROR(SUM(M275:M279)/SUM(J275:J279),"")</f>
        <v/>
      </c>
    </row>
    <row r="280" spans="2:17" x14ac:dyDescent="0.4">
      <c r="B280" s="16">
        <v>42793</v>
      </c>
      <c r="C280" s="21">
        <v>19550</v>
      </c>
      <c r="D280" s="21">
        <v>19550</v>
      </c>
      <c r="E280" s="21">
        <v>19550</v>
      </c>
      <c r="F280" s="21">
        <v>19550</v>
      </c>
      <c r="G280" s="12">
        <v>0</v>
      </c>
      <c r="H280" s="14">
        <f t="shared" si="13"/>
        <v>0</v>
      </c>
      <c r="I280" s="14">
        <v>0</v>
      </c>
      <c r="J280" s="14">
        <v>0</v>
      </c>
      <c r="K280" s="14">
        <f t="shared" si="14"/>
        <v>0</v>
      </c>
      <c r="L280" s="14">
        <v>0</v>
      </c>
      <c r="M280" s="14">
        <v>0</v>
      </c>
      <c r="N280" s="14">
        <f t="shared" si="12"/>
        <v>0</v>
      </c>
      <c r="O280" s="14">
        <f t="shared" si="12"/>
        <v>0</v>
      </c>
      <c r="P280" s="4">
        <f t="shared" si="12"/>
        <v>0</v>
      </c>
      <c r="Q280" s="22"/>
    </row>
    <row r="281" spans="2:17" x14ac:dyDescent="0.4">
      <c r="B281" s="16">
        <v>42794</v>
      </c>
      <c r="C281" s="21">
        <v>19600</v>
      </c>
      <c r="D281" s="21">
        <v>19600</v>
      </c>
      <c r="E281" s="21">
        <v>19600</v>
      </c>
      <c r="F281" s="21">
        <v>19600</v>
      </c>
      <c r="G281" s="12">
        <v>0.26</v>
      </c>
      <c r="H281" s="14">
        <f t="shared" si="13"/>
        <v>0</v>
      </c>
      <c r="I281" s="14">
        <v>0</v>
      </c>
      <c r="J281" s="14">
        <v>0</v>
      </c>
      <c r="K281" s="14">
        <f t="shared" si="14"/>
        <v>0</v>
      </c>
      <c r="L281" s="14">
        <v>0</v>
      </c>
      <c r="M281" s="14">
        <v>0</v>
      </c>
      <c r="N281" s="14">
        <f t="shared" ref="N281:P449" si="15">IFERROR(K281/H281,0)</f>
        <v>0</v>
      </c>
      <c r="O281" s="14">
        <f t="shared" si="15"/>
        <v>0</v>
      </c>
      <c r="P281" s="4">
        <f t="shared" si="15"/>
        <v>0</v>
      </c>
      <c r="Q281" s="22"/>
    </row>
    <row r="282" spans="2:17" x14ac:dyDescent="0.4">
      <c r="B282" s="16">
        <v>42796</v>
      </c>
      <c r="C282" s="21">
        <v>19600</v>
      </c>
      <c r="D282" s="21">
        <v>19600</v>
      </c>
      <c r="E282" s="21">
        <v>19600</v>
      </c>
      <c r="F282" s="21">
        <v>19600</v>
      </c>
      <c r="G282" s="12">
        <v>0</v>
      </c>
      <c r="H282" s="14">
        <f t="shared" si="13"/>
        <v>0</v>
      </c>
      <c r="I282" s="14">
        <v>0</v>
      </c>
      <c r="J282" s="14">
        <v>0</v>
      </c>
      <c r="K282" s="14">
        <f t="shared" si="14"/>
        <v>0</v>
      </c>
      <c r="L282" s="14">
        <v>0</v>
      </c>
      <c r="M282" s="14">
        <v>0</v>
      </c>
      <c r="N282" s="14">
        <f t="shared" si="15"/>
        <v>0</v>
      </c>
      <c r="O282" s="14">
        <f t="shared" si="15"/>
        <v>0</v>
      </c>
      <c r="P282" s="4">
        <f t="shared" si="15"/>
        <v>0</v>
      </c>
      <c r="Q282" s="22"/>
    </row>
    <row r="283" spans="2:17" x14ac:dyDescent="0.4">
      <c r="B283" s="16">
        <v>42797</v>
      </c>
      <c r="C283" s="21">
        <v>19600</v>
      </c>
      <c r="D283" s="21">
        <v>19600</v>
      </c>
      <c r="E283" s="21">
        <v>19600</v>
      </c>
      <c r="F283" s="21">
        <v>19600</v>
      </c>
      <c r="G283" s="12">
        <v>0</v>
      </c>
      <c r="H283" s="14">
        <f t="shared" si="13"/>
        <v>0</v>
      </c>
      <c r="I283" s="14">
        <v>0</v>
      </c>
      <c r="J283" s="14">
        <v>0</v>
      </c>
      <c r="K283" s="14">
        <f t="shared" si="14"/>
        <v>0</v>
      </c>
      <c r="L283" s="14">
        <v>0</v>
      </c>
      <c r="M283" s="14">
        <v>0</v>
      </c>
      <c r="N283" s="14">
        <f t="shared" si="15"/>
        <v>0</v>
      </c>
      <c r="O283" s="14">
        <f t="shared" si="15"/>
        <v>0</v>
      </c>
      <c r="P283" s="4">
        <f t="shared" si="15"/>
        <v>0</v>
      </c>
      <c r="Q283" s="4" t="str">
        <f>IFERROR(SUM(M280:M283)/SUM(J280:J283),"")</f>
        <v/>
      </c>
    </row>
    <row r="284" spans="2:17" x14ac:dyDescent="0.4">
      <c r="B284" s="16">
        <v>42800</v>
      </c>
      <c r="C284" s="21">
        <v>19600</v>
      </c>
      <c r="D284" s="21">
        <v>19600</v>
      </c>
      <c r="E284" s="21">
        <v>19600</v>
      </c>
      <c r="F284" s="21">
        <v>19600</v>
      </c>
      <c r="G284" s="12">
        <v>0</v>
      </c>
      <c r="H284" s="14">
        <f t="shared" si="13"/>
        <v>0</v>
      </c>
      <c r="I284" s="14">
        <v>0</v>
      </c>
      <c r="J284" s="14">
        <v>0</v>
      </c>
      <c r="K284" s="14">
        <f t="shared" si="14"/>
        <v>0</v>
      </c>
      <c r="L284" s="14">
        <v>0</v>
      </c>
      <c r="M284" s="14">
        <v>0</v>
      </c>
      <c r="N284" s="14">
        <f t="shared" si="15"/>
        <v>0</v>
      </c>
      <c r="O284" s="14">
        <f t="shared" si="15"/>
        <v>0</v>
      </c>
      <c r="P284" s="4">
        <f t="shared" si="15"/>
        <v>0</v>
      </c>
      <c r="Q284" s="22"/>
    </row>
    <row r="285" spans="2:17" x14ac:dyDescent="0.4">
      <c r="B285" s="16">
        <v>42801</v>
      </c>
      <c r="C285" s="21">
        <v>19600</v>
      </c>
      <c r="D285" s="21">
        <v>19600</v>
      </c>
      <c r="E285" s="21">
        <v>19600</v>
      </c>
      <c r="F285" s="21">
        <v>19600</v>
      </c>
      <c r="G285" s="12">
        <v>0</v>
      </c>
      <c r="H285" s="14">
        <f t="shared" si="13"/>
        <v>0</v>
      </c>
      <c r="I285" s="14">
        <v>0</v>
      </c>
      <c r="J285" s="14">
        <v>0</v>
      </c>
      <c r="K285" s="14">
        <f t="shared" si="14"/>
        <v>0</v>
      </c>
      <c r="L285" s="14">
        <v>0</v>
      </c>
      <c r="M285" s="14">
        <v>0</v>
      </c>
      <c r="N285" s="14">
        <f t="shared" si="15"/>
        <v>0</v>
      </c>
      <c r="O285" s="14">
        <f t="shared" si="15"/>
        <v>0</v>
      </c>
      <c r="P285" s="4">
        <f t="shared" si="15"/>
        <v>0</v>
      </c>
      <c r="Q285" s="22"/>
    </row>
    <row r="286" spans="2:17" x14ac:dyDescent="0.4">
      <c r="B286" s="16">
        <v>42802</v>
      </c>
      <c r="C286" s="21">
        <v>19600</v>
      </c>
      <c r="D286" s="21">
        <v>19600</v>
      </c>
      <c r="E286" s="21">
        <v>19600</v>
      </c>
      <c r="F286" s="21">
        <v>19600</v>
      </c>
      <c r="G286" s="12">
        <v>0</v>
      </c>
      <c r="H286" s="14">
        <f t="shared" si="13"/>
        <v>0</v>
      </c>
      <c r="I286" s="14">
        <v>0</v>
      </c>
      <c r="J286" s="14">
        <v>0</v>
      </c>
      <c r="K286" s="14">
        <f t="shared" si="14"/>
        <v>0</v>
      </c>
      <c r="L286" s="14">
        <v>0</v>
      </c>
      <c r="M286" s="14">
        <v>0</v>
      </c>
      <c r="N286" s="14">
        <f t="shared" si="15"/>
        <v>0</v>
      </c>
      <c r="O286" s="14">
        <f t="shared" si="15"/>
        <v>0</v>
      </c>
      <c r="P286" s="4">
        <f t="shared" si="15"/>
        <v>0</v>
      </c>
      <c r="Q286" s="22"/>
    </row>
    <row r="287" spans="2:17" x14ac:dyDescent="0.4">
      <c r="B287" s="16">
        <v>42803</v>
      </c>
      <c r="C287" s="21">
        <v>19600</v>
      </c>
      <c r="D287" s="21">
        <v>19600</v>
      </c>
      <c r="E287" s="21">
        <v>19600</v>
      </c>
      <c r="F287" s="21">
        <v>19600</v>
      </c>
      <c r="G287" s="12">
        <v>0</v>
      </c>
      <c r="H287" s="14">
        <f t="shared" si="13"/>
        <v>0</v>
      </c>
      <c r="I287" s="14">
        <v>0</v>
      </c>
      <c r="J287" s="14">
        <v>0</v>
      </c>
      <c r="K287" s="14">
        <f t="shared" si="14"/>
        <v>0</v>
      </c>
      <c r="L287" s="14">
        <v>0</v>
      </c>
      <c r="M287" s="14">
        <v>0</v>
      </c>
      <c r="N287" s="14">
        <f t="shared" si="15"/>
        <v>0</v>
      </c>
      <c r="O287" s="14">
        <f t="shared" si="15"/>
        <v>0</v>
      </c>
      <c r="P287" s="4">
        <f t="shared" si="15"/>
        <v>0</v>
      </c>
      <c r="Q287" s="22"/>
    </row>
    <row r="288" spans="2:17" x14ac:dyDescent="0.4">
      <c r="B288" s="16">
        <v>42804</v>
      </c>
      <c r="C288" s="21">
        <v>19600</v>
      </c>
      <c r="D288" s="21">
        <v>19600</v>
      </c>
      <c r="E288" s="21">
        <v>19600</v>
      </c>
      <c r="F288" s="21">
        <v>19600</v>
      </c>
      <c r="G288" s="12">
        <v>0</v>
      </c>
      <c r="H288" s="14">
        <f t="shared" si="13"/>
        <v>0</v>
      </c>
      <c r="I288" s="14">
        <v>0</v>
      </c>
      <c r="J288" s="14">
        <v>0</v>
      </c>
      <c r="K288" s="14">
        <f t="shared" si="14"/>
        <v>0</v>
      </c>
      <c r="L288" s="14">
        <v>0</v>
      </c>
      <c r="M288" s="14">
        <v>0</v>
      </c>
      <c r="N288" s="14">
        <f t="shared" si="15"/>
        <v>0</v>
      </c>
      <c r="O288" s="14">
        <f t="shared" si="15"/>
        <v>0</v>
      </c>
      <c r="P288" s="4">
        <f t="shared" si="15"/>
        <v>0</v>
      </c>
      <c r="Q288" s="4" t="str">
        <f>IFERROR(SUM(M284:M288)/SUM(J284:J288),"")</f>
        <v/>
      </c>
    </row>
    <row r="289" spans="2:17" x14ac:dyDescent="0.4">
      <c r="B289" s="16">
        <v>42807</v>
      </c>
      <c r="C289" s="21">
        <v>19600</v>
      </c>
      <c r="D289" s="21">
        <v>19600</v>
      </c>
      <c r="E289" s="21">
        <v>19600</v>
      </c>
      <c r="F289" s="21">
        <v>19600</v>
      </c>
      <c r="G289" s="12">
        <v>0</v>
      </c>
      <c r="H289" s="14">
        <f t="shared" si="13"/>
        <v>0</v>
      </c>
      <c r="I289" s="14">
        <v>0</v>
      </c>
      <c r="J289" s="14">
        <v>0</v>
      </c>
      <c r="K289" s="14">
        <f t="shared" si="14"/>
        <v>0</v>
      </c>
      <c r="L289" s="14">
        <v>0</v>
      </c>
      <c r="M289" s="14">
        <v>0</v>
      </c>
      <c r="N289" s="14">
        <f t="shared" si="15"/>
        <v>0</v>
      </c>
      <c r="O289" s="14">
        <f t="shared" si="15"/>
        <v>0</v>
      </c>
      <c r="P289" s="4">
        <f t="shared" si="15"/>
        <v>0</v>
      </c>
      <c r="Q289" s="22"/>
    </row>
    <row r="290" spans="2:17" x14ac:dyDescent="0.4">
      <c r="B290" s="16">
        <v>42808</v>
      </c>
      <c r="C290" s="21">
        <v>19600</v>
      </c>
      <c r="D290" s="21">
        <v>19600</v>
      </c>
      <c r="E290" s="21">
        <v>19600</v>
      </c>
      <c r="F290" s="21">
        <v>19600</v>
      </c>
      <c r="G290" s="12">
        <v>0</v>
      </c>
      <c r="H290" s="14">
        <f t="shared" si="13"/>
        <v>0</v>
      </c>
      <c r="I290" s="14">
        <v>0</v>
      </c>
      <c r="J290" s="14">
        <v>0</v>
      </c>
      <c r="K290" s="14">
        <f t="shared" si="14"/>
        <v>0</v>
      </c>
      <c r="L290" s="14">
        <v>0</v>
      </c>
      <c r="M290" s="14">
        <v>0</v>
      </c>
      <c r="N290" s="14">
        <f t="shared" si="15"/>
        <v>0</v>
      </c>
      <c r="O290" s="14">
        <f t="shared" si="15"/>
        <v>0</v>
      </c>
      <c r="P290" s="4">
        <f t="shared" si="15"/>
        <v>0</v>
      </c>
      <c r="Q290" s="22"/>
    </row>
    <row r="291" spans="2:17" x14ac:dyDescent="0.4">
      <c r="B291" s="16">
        <v>42809</v>
      </c>
      <c r="C291" s="21">
        <v>19600</v>
      </c>
      <c r="D291" s="21">
        <v>19600</v>
      </c>
      <c r="E291" s="21">
        <v>19600</v>
      </c>
      <c r="F291" s="21">
        <v>19600</v>
      </c>
      <c r="G291" s="12">
        <v>0</v>
      </c>
      <c r="H291" s="14">
        <f t="shared" si="13"/>
        <v>0</v>
      </c>
      <c r="I291" s="14">
        <v>0</v>
      </c>
      <c r="J291" s="14">
        <v>0</v>
      </c>
      <c r="K291" s="14">
        <f t="shared" si="14"/>
        <v>0</v>
      </c>
      <c r="L291" s="14">
        <v>0</v>
      </c>
      <c r="M291" s="14">
        <v>0</v>
      </c>
      <c r="N291" s="14">
        <f t="shared" si="15"/>
        <v>0</v>
      </c>
      <c r="O291" s="14">
        <f t="shared" si="15"/>
        <v>0</v>
      </c>
      <c r="P291" s="4">
        <f t="shared" si="15"/>
        <v>0</v>
      </c>
      <c r="Q291" s="22"/>
    </row>
    <row r="292" spans="2:17" x14ac:dyDescent="0.4">
      <c r="B292" s="16">
        <v>42810</v>
      </c>
      <c r="C292" s="21">
        <v>19600</v>
      </c>
      <c r="D292" s="21">
        <v>19600</v>
      </c>
      <c r="E292" s="21">
        <v>19600</v>
      </c>
      <c r="F292" s="21">
        <v>19600</v>
      </c>
      <c r="G292" s="12">
        <v>0</v>
      </c>
      <c r="H292" s="14">
        <f t="shared" si="13"/>
        <v>0</v>
      </c>
      <c r="I292" s="14">
        <v>0</v>
      </c>
      <c r="J292" s="14">
        <v>0</v>
      </c>
      <c r="K292" s="14">
        <f t="shared" si="14"/>
        <v>0</v>
      </c>
      <c r="L292" s="14">
        <v>0</v>
      </c>
      <c r="M292" s="14">
        <v>0</v>
      </c>
      <c r="N292" s="14">
        <f t="shared" si="15"/>
        <v>0</v>
      </c>
      <c r="O292" s="14">
        <f t="shared" si="15"/>
        <v>0</v>
      </c>
      <c r="P292" s="4">
        <f t="shared" si="15"/>
        <v>0</v>
      </c>
      <c r="Q292" s="22"/>
    </row>
    <row r="293" spans="2:17" x14ac:dyDescent="0.4">
      <c r="B293" s="16">
        <v>42811</v>
      </c>
      <c r="C293" s="21">
        <v>19600</v>
      </c>
      <c r="D293" s="21">
        <v>19600</v>
      </c>
      <c r="E293" s="21">
        <v>19600</v>
      </c>
      <c r="F293" s="21">
        <v>19600</v>
      </c>
      <c r="G293" s="12">
        <v>0</v>
      </c>
      <c r="H293" s="14">
        <f t="shared" si="13"/>
        <v>0</v>
      </c>
      <c r="I293" s="14">
        <v>0</v>
      </c>
      <c r="J293" s="14">
        <v>0</v>
      </c>
      <c r="K293" s="14">
        <f t="shared" si="14"/>
        <v>0</v>
      </c>
      <c r="L293" s="14">
        <v>0</v>
      </c>
      <c r="M293" s="14">
        <v>0</v>
      </c>
      <c r="N293" s="14">
        <f t="shared" si="15"/>
        <v>0</v>
      </c>
      <c r="O293" s="14">
        <f t="shared" si="15"/>
        <v>0</v>
      </c>
      <c r="P293" s="4">
        <f t="shared" si="15"/>
        <v>0</v>
      </c>
      <c r="Q293" s="4" t="str">
        <f>IFERROR(SUM(M289:M293)/SUM(J289:J293),"")</f>
        <v/>
      </c>
    </row>
    <row r="294" spans="2:17" x14ac:dyDescent="0.4">
      <c r="B294" s="16">
        <v>42814</v>
      </c>
      <c r="C294" s="21">
        <v>19600</v>
      </c>
      <c r="D294" s="21">
        <v>19600</v>
      </c>
      <c r="E294" s="21">
        <v>19600</v>
      </c>
      <c r="F294" s="21">
        <v>19600</v>
      </c>
      <c r="G294" s="12">
        <v>0</v>
      </c>
      <c r="H294" s="14">
        <f t="shared" si="13"/>
        <v>0</v>
      </c>
      <c r="I294" s="14">
        <v>0</v>
      </c>
      <c r="J294" s="14">
        <v>0</v>
      </c>
      <c r="K294" s="14">
        <f t="shared" si="14"/>
        <v>0</v>
      </c>
      <c r="L294" s="14">
        <v>0</v>
      </c>
      <c r="M294" s="14">
        <v>0</v>
      </c>
      <c r="N294" s="14">
        <f t="shared" si="15"/>
        <v>0</v>
      </c>
      <c r="O294" s="14">
        <f t="shared" si="15"/>
        <v>0</v>
      </c>
      <c r="P294" s="4">
        <f t="shared" si="15"/>
        <v>0</v>
      </c>
      <c r="Q294" s="22"/>
    </row>
    <row r="295" spans="2:17" x14ac:dyDescent="0.4">
      <c r="B295" s="16">
        <v>42815</v>
      </c>
      <c r="C295" s="21">
        <v>19600</v>
      </c>
      <c r="D295" s="21">
        <v>19600</v>
      </c>
      <c r="E295" s="21">
        <v>19600</v>
      </c>
      <c r="F295" s="21">
        <v>19600</v>
      </c>
      <c r="G295" s="12">
        <v>0</v>
      </c>
      <c r="H295" s="14">
        <f t="shared" si="13"/>
        <v>0</v>
      </c>
      <c r="I295" s="14">
        <v>0</v>
      </c>
      <c r="J295" s="14">
        <v>0</v>
      </c>
      <c r="K295" s="14">
        <f t="shared" si="14"/>
        <v>0</v>
      </c>
      <c r="L295" s="14">
        <v>0</v>
      </c>
      <c r="M295" s="14">
        <v>0</v>
      </c>
      <c r="N295" s="14">
        <f t="shared" si="15"/>
        <v>0</v>
      </c>
      <c r="O295" s="14">
        <f t="shared" si="15"/>
        <v>0</v>
      </c>
      <c r="P295" s="4">
        <f t="shared" si="15"/>
        <v>0</v>
      </c>
      <c r="Q295" s="22"/>
    </row>
    <row r="296" spans="2:17" x14ac:dyDescent="0.4">
      <c r="B296" s="16">
        <v>42816</v>
      </c>
      <c r="C296" s="21">
        <v>19600</v>
      </c>
      <c r="D296" s="21">
        <v>19600</v>
      </c>
      <c r="E296" s="21">
        <v>19600</v>
      </c>
      <c r="F296" s="21">
        <v>19600</v>
      </c>
      <c r="G296" s="12">
        <v>0</v>
      </c>
      <c r="H296" s="14">
        <f t="shared" si="13"/>
        <v>0</v>
      </c>
      <c r="I296" s="14">
        <v>0</v>
      </c>
      <c r="J296" s="14">
        <v>0</v>
      </c>
      <c r="K296" s="14">
        <f t="shared" si="14"/>
        <v>0</v>
      </c>
      <c r="L296" s="14">
        <v>0</v>
      </c>
      <c r="M296" s="14">
        <v>0</v>
      </c>
      <c r="N296" s="14">
        <f t="shared" si="15"/>
        <v>0</v>
      </c>
      <c r="O296" s="14">
        <f t="shared" si="15"/>
        <v>0</v>
      </c>
      <c r="P296" s="4">
        <f t="shared" si="15"/>
        <v>0</v>
      </c>
      <c r="Q296" s="22"/>
    </row>
    <row r="297" spans="2:17" x14ac:dyDescent="0.4">
      <c r="B297" s="16">
        <v>42817</v>
      </c>
      <c r="C297" s="21">
        <v>19600</v>
      </c>
      <c r="D297" s="21">
        <v>19600</v>
      </c>
      <c r="E297" s="21">
        <v>19600</v>
      </c>
      <c r="F297" s="21">
        <v>19600</v>
      </c>
      <c r="G297" s="12">
        <v>0</v>
      </c>
      <c r="H297" s="14">
        <f t="shared" si="13"/>
        <v>0</v>
      </c>
      <c r="I297" s="14">
        <v>0</v>
      </c>
      <c r="J297" s="14">
        <v>0</v>
      </c>
      <c r="K297" s="14">
        <f t="shared" si="14"/>
        <v>0</v>
      </c>
      <c r="L297" s="14">
        <v>0</v>
      </c>
      <c r="M297" s="14">
        <v>0</v>
      </c>
      <c r="N297" s="14">
        <f t="shared" si="15"/>
        <v>0</v>
      </c>
      <c r="O297" s="14">
        <f t="shared" si="15"/>
        <v>0</v>
      </c>
      <c r="P297" s="4">
        <f t="shared" si="15"/>
        <v>0</v>
      </c>
      <c r="Q297" s="22"/>
    </row>
    <row r="298" spans="2:17" x14ac:dyDescent="0.4">
      <c r="B298" s="16">
        <v>42818</v>
      </c>
      <c r="C298" s="21">
        <v>19600</v>
      </c>
      <c r="D298" s="21">
        <v>19600</v>
      </c>
      <c r="E298" s="21">
        <v>19600</v>
      </c>
      <c r="F298" s="21">
        <v>19600</v>
      </c>
      <c r="G298" s="12">
        <v>0</v>
      </c>
      <c r="H298" s="14">
        <f t="shared" si="13"/>
        <v>0</v>
      </c>
      <c r="I298" s="14">
        <v>0</v>
      </c>
      <c r="J298" s="14">
        <v>0</v>
      </c>
      <c r="K298" s="14">
        <f t="shared" si="14"/>
        <v>0</v>
      </c>
      <c r="L298" s="14">
        <v>0</v>
      </c>
      <c r="M298" s="14">
        <v>0</v>
      </c>
      <c r="N298" s="14">
        <f t="shared" si="15"/>
        <v>0</v>
      </c>
      <c r="O298" s="14">
        <f t="shared" si="15"/>
        <v>0</v>
      </c>
      <c r="P298" s="4">
        <f t="shared" si="15"/>
        <v>0</v>
      </c>
      <c r="Q298" s="4" t="str">
        <f>IFERROR(SUM(M294:M298)/SUM(J294:J298),"")</f>
        <v/>
      </c>
    </row>
    <row r="299" spans="2:17" x14ac:dyDescent="0.4">
      <c r="B299" s="16">
        <v>42821</v>
      </c>
      <c r="C299" s="21">
        <v>19600</v>
      </c>
      <c r="D299" s="21">
        <v>19600</v>
      </c>
      <c r="E299" s="21">
        <v>19600</v>
      </c>
      <c r="F299" s="21">
        <v>19600</v>
      </c>
      <c r="G299" s="12">
        <v>0</v>
      </c>
      <c r="H299" s="14">
        <f t="shared" si="13"/>
        <v>0</v>
      </c>
      <c r="I299" s="14">
        <v>0</v>
      </c>
      <c r="J299" s="14">
        <v>0</v>
      </c>
      <c r="K299" s="14">
        <f t="shared" si="14"/>
        <v>0</v>
      </c>
      <c r="L299" s="14">
        <v>0</v>
      </c>
      <c r="M299" s="14">
        <v>0</v>
      </c>
      <c r="N299" s="14">
        <f t="shared" si="15"/>
        <v>0</v>
      </c>
      <c r="O299" s="14">
        <f t="shared" si="15"/>
        <v>0</v>
      </c>
      <c r="P299" s="4">
        <f t="shared" si="15"/>
        <v>0</v>
      </c>
      <c r="Q299" s="22"/>
    </row>
    <row r="300" spans="2:17" x14ac:dyDescent="0.4">
      <c r="B300" s="16">
        <v>42822</v>
      </c>
      <c r="C300" s="21">
        <v>19600</v>
      </c>
      <c r="D300" s="21">
        <v>19600</v>
      </c>
      <c r="E300" s="21">
        <v>19600</v>
      </c>
      <c r="F300" s="21">
        <v>19600</v>
      </c>
      <c r="G300" s="12">
        <v>0</v>
      </c>
      <c r="H300" s="14">
        <f t="shared" si="13"/>
        <v>0</v>
      </c>
      <c r="I300" s="14">
        <v>0</v>
      </c>
      <c r="J300" s="14">
        <v>0</v>
      </c>
      <c r="K300" s="14">
        <f t="shared" si="14"/>
        <v>0</v>
      </c>
      <c r="L300" s="14">
        <v>0</v>
      </c>
      <c r="M300" s="14">
        <v>0</v>
      </c>
      <c r="N300" s="14">
        <f t="shared" si="15"/>
        <v>0</v>
      </c>
      <c r="O300" s="14">
        <f t="shared" si="15"/>
        <v>0</v>
      </c>
      <c r="P300" s="4">
        <f t="shared" si="15"/>
        <v>0</v>
      </c>
      <c r="Q300" s="22"/>
    </row>
    <row r="301" spans="2:17" x14ac:dyDescent="0.4">
      <c r="B301" s="16">
        <v>42823</v>
      </c>
      <c r="C301" s="21">
        <v>19600</v>
      </c>
      <c r="D301" s="21">
        <v>19600</v>
      </c>
      <c r="E301" s="21">
        <v>19600</v>
      </c>
      <c r="F301" s="21">
        <v>19600</v>
      </c>
      <c r="G301" s="12">
        <v>0</v>
      </c>
      <c r="H301" s="14">
        <f t="shared" si="13"/>
        <v>0</v>
      </c>
      <c r="I301" s="14">
        <v>0</v>
      </c>
      <c r="J301" s="14">
        <v>0</v>
      </c>
      <c r="K301" s="14">
        <f t="shared" si="14"/>
        <v>0</v>
      </c>
      <c r="L301" s="14">
        <v>0</v>
      </c>
      <c r="M301" s="14">
        <v>0</v>
      </c>
      <c r="N301" s="14">
        <f t="shared" si="15"/>
        <v>0</v>
      </c>
      <c r="O301" s="14">
        <f t="shared" si="15"/>
        <v>0</v>
      </c>
      <c r="P301" s="4">
        <f t="shared" si="15"/>
        <v>0</v>
      </c>
      <c r="Q301" s="22"/>
    </row>
    <row r="302" spans="2:17" x14ac:dyDescent="0.4">
      <c r="B302" s="16">
        <v>42824</v>
      </c>
      <c r="C302" s="21">
        <v>19600</v>
      </c>
      <c r="D302" s="21">
        <v>19600</v>
      </c>
      <c r="E302" s="21">
        <v>19600</v>
      </c>
      <c r="F302" s="21">
        <v>19600</v>
      </c>
      <c r="G302" s="12">
        <v>0</v>
      </c>
      <c r="H302" s="14">
        <f t="shared" si="13"/>
        <v>0</v>
      </c>
      <c r="I302" s="14">
        <v>0</v>
      </c>
      <c r="J302" s="14">
        <v>0</v>
      </c>
      <c r="K302" s="14">
        <f t="shared" si="14"/>
        <v>0</v>
      </c>
      <c r="L302" s="14">
        <v>0</v>
      </c>
      <c r="M302" s="14">
        <v>0</v>
      </c>
      <c r="N302" s="14">
        <f t="shared" si="15"/>
        <v>0</v>
      </c>
      <c r="O302" s="14">
        <f t="shared" si="15"/>
        <v>0</v>
      </c>
      <c r="P302" s="4">
        <f t="shared" si="15"/>
        <v>0</v>
      </c>
      <c r="Q302" s="22"/>
    </row>
    <row r="303" spans="2:17" x14ac:dyDescent="0.4">
      <c r="B303" s="16">
        <v>42825</v>
      </c>
      <c r="C303" s="21">
        <v>19600</v>
      </c>
      <c r="D303" s="21">
        <v>19600</v>
      </c>
      <c r="E303" s="21">
        <v>19600</v>
      </c>
      <c r="F303" s="21">
        <v>19600</v>
      </c>
      <c r="G303" s="12">
        <v>0</v>
      </c>
      <c r="H303" s="14">
        <f t="shared" si="13"/>
        <v>0</v>
      </c>
      <c r="I303" s="14">
        <v>0</v>
      </c>
      <c r="J303" s="14">
        <v>0</v>
      </c>
      <c r="K303" s="14">
        <f t="shared" si="14"/>
        <v>0</v>
      </c>
      <c r="L303" s="14">
        <v>0</v>
      </c>
      <c r="M303" s="14">
        <v>0</v>
      </c>
      <c r="N303" s="14">
        <f t="shared" si="15"/>
        <v>0</v>
      </c>
      <c r="O303" s="14">
        <f t="shared" si="15"/>
        <v>0</v>
      </c>
      <c r="P303" s="4">
        <f t="shared" si="15"/>
        <v>0</v>
      </c>
      <c r="Q303" s="4" t="str">
        <f>IFERROR(SUM(M299:M303)/SUM(J299:J303),"")</f>
        <v/>
      </c>
    </row>
    <row r="304" spans="2:17" x14ac:dyDescent="0.4">
      <c r="B304" s="16">
        <v>42828</v>
      </c>
      <c r="C304" s="21">
        <v>19600</v>
      </c>
      <c r="D304" s="21">
        <v>19600</v>
      </c>
      <c r="E304" s="21">
        <v>19600</v>
      </c>
      <c r="F304" s="21">
        <v>19600</v>
      </c>
      <c r="G304" s="12">
        <v>0</v>
      </c>
      <c r="H304" s="14">
        <f t="shared" si="13"/>
        <v>0</v>
      </c>
      <c r="I304" s="14">
        <v>0</v>
      </c>
      <c r="J304" s="14">
        <v>0</v>
      </c>
      <c r="K304" s="14">
        <f t="shared" si="14"/>
        <v>0</v>
      </c>
      <c r="L304" s="14">
        <v>0</v>
      </c>
      <c r="M304" s="14">
        <v>0</v>
      </c>
      <c r="N304" s="14">
        <f t="shared" si="15"/>
        <v>0</v>
      </c>
      <c r="O304" s="14">
        <f t="shared" si="15"/>
        <v>0</v>
      </c>
      <c r="P304" s="4">
        <f t="shared" si="15"/>
        <v>0</v>
      </c>
      <c r="Q304" s="22"/>
    </row>
    <row r="305" spans="2:17" x14ac:dyDescent="0.4">
      <c r="B305" s="16">
        <v>42829</v>
      </c>
      <c r="C305" s="21">
        <v>19600</v>
      </c>
      <c r="D305" s="21">
        <v>19600</v>
      </c>
      <c r="E305" s="21">
        <v>19600</v>
      </c>
      <c r="F305" s="21">
        <v>19600</v>
      </c>
      <c r="G305" s="12">
        <v>0</v>
      </c>
      <c r="H305" s="14">
        <f t="shared" si="13"/>
        <v>0</v>
      </c>
      <c r="I305" s="14">
        <v>0</v>
      </c>
      <c r="J305" s="14">
        <v>0</v>
      </c>
      <c r="K305" s="14">
        <f t="shared" si="14"/>
        <v>0</v>
      </c>
      <c r="L305" s="14">
        <v>0</v>
      </c>
      <c r="M305" s="14">
        <v>0</v>
      </c>
      <c r="N305" s="14">
        <f t="shared" si="15"/>
        <v>0</v>
      </c>
      <c r="O305" s="14">
        <f t="shared" si="15"/>
        <v>0</v>
      </c>
      <c r="P305" s="4">
        <f t="shared" si="15"/>
        <v>0</v>
      </c>
      <c r="Q305" s="22"/>
    </row>
    <row r="306" spans="2:17" x14ac:dyDescent="0.4">
      <c r="B306" s="16">
        <v>42830</v>
      </c>
      <c r="C306" s="21">
        <v>19600</v>
      </c>
      <c r="D306" s="21">
        <v>19600</v>
      </c>
      <c r="E306" s="21">
        <v>19600</v>
      </c>
      <c r="F306" s="21">
        <v>19600</v>
      </c>
      <c r="G306" s="12">
        <v>0</v>
      </c>
      <c r="H306" s="14">
        <f t="shared" si="13"/>
        <v>0</v>
      </c>
      <c r="I306" s="14">
        <v>0</v>
      </c>
      <c r="J306" s="14">
        <v>0</v>
      </c>
      <c r="K306" s="14">
        <f t="shared" si="14"/>
        <v>0</v>
      </c>
      <c r="L306" s="14">
        <v>0</v>
      </c>
      <c r="M306" s="14">
        <v>0</v>
      </c>
      <c r="N306" s="14">
        <f t="shared" si="15"/>
        <v>0</v>
      </c>
      <c r="O306" s="14">
        <f t="shared" si="15"/>
        <v>0</v>
      </c>
      <c r="P306" s="4">
        <f t="shared" si="15"/>
        <v>0</v>
      </c>
      <c r="Q306" s="22"/>
    </row>
    <row r="307" spans="2:17" x14ac:dyDescent="0.4">
      <c r="B307" s="16">
        <v>42831</v>
      </c>
      <c r="C307" s="21">
        <v>19600</v>
      </c>
      <c r="D307" s="21">
        <v>19600</v>
      </c>
      <c r="E307" s="21">
        <v>19600</v>
      </c>
      <c r="F307" s="21">
        <v>19600</v>
      </c>
      <c r="G307" s="12">
        <v>0</v>
      </c>
      <c r="H307" s="14">
        <f t="shared" si="13"/>
        <v>0</v>
      </c>
      <c r="I307" s="14">
        <v>0</v>
      </c>
      <c r="J307" s="14">
        <v>0</v>
      </c>
      <c r="K307" s="14">
        <f t="shared" si="14"/>
        <v>0</v>
      </c>
      <c r="L307" s="14">
        <v>0</v>
      </c>
      <c r="M307" s="14">
        <v>0</v>
      </c>
      <c r="N307" s="14">
        <f t="shared" si="15"/>
        <v>0</v>
      </c>
      <c r="O307" s="14">
        <f t="shared" si="15"/>
        <v>0</v>
      </c>
      <c r="P307" s="4">
        <f t="shared" si="15"/>
        <v>0</v>
      </c>
      <c r="Q307" s="22"/>
    </row>
    <row r="308" spans="2:17" x14ac:dyDescent="0.4">
      <c r="B308" s="16">
        <v>42832</v>
      </c>
      <c r="C308" s="21">
        <v>19600</v>
      </c>
      <c r="D308" s="21">
        <v>19600</v>
      </c>
      <c r="E308" s="21">
        <v>19600</v>
      </c>
      <c r="F308" s="21">
        <v>19600</v>
      </c>
      <c r="G308" s="12">
        <v>0</v>
      </c>
      <c r="H308" s="14">
        <f t="shared" si="13"/>
        <v>0</v>
      </c>
      <c r="I308" s="14">
        <v>0</v>
      </c>
      <c r="J308" s="14">
        <v>0</v>
      </c>
      <c r="K308" s="14">
        <f t="shared" si="14"/>
        <v>0</v>
      </c>
      <c r="L308" s="14">
        <v>0</v>
      </c>
      <c r="M308" s="14">
        <v>0</v>
      </c>
      <c r="N308" s="14">
        <f t="shared" si="15"/>
        <v>0</v>
      </c>
      <c r="O308" s="14">
        <f t="shared" si="15"/>
        <v>0</v>
      </c>
      <c r="P308" s="4">
        <f t="shared" si="15"/>
        <v>0</v>
      </c>
      <c r="Q308" s="4" t="str">
        <f>IFERROR(SUM(M304:M308)/SUM(J304:J308),"")</f>
        <v/>
      </c>
    </row>
    <row r="309" spans="2:17" x14ac:dyDescent="0.4">
      <c r="B309" s="16">
        <v>42835</v>
      </c>
      <c r="C309" s="21">
        <v>19600</v>
      </c>
      <c r="D309" s="21">
        <v>19600</v>
      </c>
      <c r="E309" s="21">
        <v>19600</v>
      </c>
      <c r="F309" s="21">
        <v>19600</v>
      </c>
      <c r="G309" s="12">
        <v>0</v>
      </c>
      <c r="H309" s="14">
        <f t="shared" si="13"/>
        <v>0</v>
      </c>
      <c r="I309" s="14">
        <v>0</v>
      </c>
      <c r="J309" s="14">
        <v>0</v>
      </c>
      <c r="K309" s="14">
        <f t="shared" si="14"/>
        <v>0</v>
      </c>
      <c r="L309" s="14">
        <v>0</v>
      </c>
      <c r="M309" s="14">
        <v>0</v>
      </c>
      <c r="N309" s="14">
        <f t="shared" si="15"/>
        <v>0</v>
      </c>
      <c r="O309" s="14">
        <f t="shared" si="15"/>
        <v>0</v>
      </c>
      <c r="P309" s="4">
        <f t="shared" si="15"/>
        <v>0</v>
      </c>
      <c r="Q309" s="22"/>
    </row>
    <row r="310" spans="2:17" x14ac:dyDescent="0.4">
      <c r="B310" s="16">
        <v>42836</v>
      </c>
      <c r="C310" s="21">
        <v>19600</v>
      </c>
      <c r="D310" s="21">
        <v>19600</v>
      </c>
      <c r="E310" s="21">
        <v>19600</v>
      </c>
      <c r="F310" s="21">
        <v>19600</v>
      </c>
      <c r="G310" s="12">
        <v>0</v>
      </c>
      <c r="H310" s="14">
        <f t="shared" si="13"/>
        <v>0</v>
      </c>
      <c r="I310" s="14">
        <v>0</v>
      </c>
      <c r="J310" s="14">
        <v>0</v>
      </c>
      <c r="K310" s="14">
        <f t="shared" si="14"/>
        <v>0</v>
      </c>
      <c r="L310" s="14">
        <v>0</v>
      </c>
      <c r="M310" s="14">
        <v>0</v>
      </c>
      <c r="N310" s="14">
        <f t="shared" si="15"/>
        <v>0</v>
      </c>
      <c r="O310" s="14">
        <f t="shared" si="15"/>
        <v>0</v>
      </c>
      <c r="P310" s="4">
        <f t="shared" si="15"/>
        <v>0</v>
      </c>
      <c r="Q310" s="22"/>
    </row>
    <row r="311" spans="2:17" x14ac:dyDescent="0.4">
      <c r="B311" s="16">
        <v>42837</v>
      </c>
      <c r="C311" s="21">
        <v>19600</v>
      </c>
      <c r="D311" s="21">
        <v>19600</v>
      </c>
      <c r="E311" s="21">
        <v>19600</v>
      </c>
      <c r="F311" s="21">
        <v>19600</v>
      </c>
      <c r="G311" s="12">
        <v>0</v>
      </c>
      <c r="H311" s="14">
        <f t="shared" si="13"/>
        <v>0</v>
      </c>
      <c r="I311" s="14">
        <v>0</v>
      </c>
      <c r="J311" s="14">
        <v>0</v>
      </c>
      <c r="K311" s="14">
        <f t="shared" si="14"/>
        <v>0</v>
      </c>
      <c r="L311" s="14">
        <v>0</v>
      </c>
      <c r="M311" s="14">
        <v>0</v>
      </c>
      <c r="N311" s="14">
        <f t="shared" si="15"/>
        <v>0</v>
      </c>
      <c r="O311" s="14">
        <f t="shared" si="15"/>
        <v>0</v>
      </c>
      <c r="P311" s="4">
        <f t="shared" si="15"/>
        <v>0</v>
      </c>
      <c r="Q311" s="22"/>
    </row>
    <row r="312" spans="2:17" x14ac:dyDescent="0.4">
      <c r="B312" s="16">
        <v>42838</v>
      </c>
      <c r="C312" s="21">
        <v>19600</v>
      </c>
      <c r="D312" s="21">
        <v>19600</v>
      </c>
      <c r="E312" s="21">
        <v>19600</v>
      </c>
      <c r="F312" s="21">
        <v>19600</v>
      </c>
      <c r="G312" s="12">
        <v>0</v>
      </c>
      <c r="H312" s="14">
        <f t="shared" si="13"/>
        <v>0</v>
      </c>
      <c r="I312" s="14">
        <v>0</v>
      </c>
      <c r="J312" s="14">
        <v>0</v>
      </c>
      <c r="K312" s="14">
        <f t="shared" si="14"/>
        <v>0</v>
      </c>
      <c r="L312" s="14">
        <v>0</v>
      </c>
      <c r="M312" s="14">
        <v>0</v>
      </c>
      <c r="N312" s="14">
        <f t="shared" si="15"/>
        <v>0</v>
      </c>
      <c r="O312" s="14">
        <f t="shared" si="15"/>
        <v>0</v>
      </c>
      <c r="P312" s="4">
        <f t="shared" si="15"/>
        <v>0</v>
      </c>
      <c r="Q312" s="22"/>
    </row>
    <row r="313" spans="2:17" x14ac:dyDescent="0.4">
      <c r="B313" s="16">
        <v>42839</v>
      </c>
      <c r="C313" s="21">
        <v>19600</v>
      </c>
      <c r="D313" s="21">
        <v>19600</v>
      </c>
      <c r="E313" s="21">
        <v>19600</v>
      </c>
      <c r="F313" s="21">
        <v>19600</v>
      </c>
      <c r="G313" s="12">
        <v>0</v>
      </c>
      <c r="H313" s="14">
        <f t="shared" si="13"/>
        <v>0</v>
      </c>
      <c r="I313" s="14">
        <v>0</v>
      </c>
      <c r="J313" s="14">
        <v>0</v>
      </c>
      <c r="K313" s="14">
        <f t="shared" si="14"/>
        <v>0</v>
      </c>
      <c r="L313" s="14">
        <v>0</v>
      </c>
      <c r="M313" s="14">
        <v>0</v>
      </c>
      <c r="N313" s="14">
        <f t="shared" si="15"/>
        <v>0</v>
      </c>
      <c r="O313" s="14">
        <f t="shared" si="15"/>
        <v>0</v>
      </c>
      <c r="P313" s="4">
        <f t="shared" si="15"/>
        <v>0</v>
      </c>
      <c r="Q313" s="4" t="str">
        <f>IFERROR(SUM(M309:M313)/SUM(J309:J313),"")</f>
        <v/>
      </c>
    </row>
    <row r="314" spans="2:17" x14ac:dyDescent="0.4">
      <c r="B314" s="16">
        <v>42842</v>
      </c>
      <c r="C314" s="21">
        <v>19600</v>
      </c>
      <c r="D314" s="21">
        <v>19600</v>
      </c>
      <c r="E314" s="21">
        <v>19600</v>
      </c>
      <c r="F314" s="21">
        <v>19600</v>
      </c>
      <c r="G314" s="12">
        <v>0</v>
      </c>
      <c r="H314" s="14">
        <f t="shared" si="13"/>
        <v>0</v>
      </c>
      <c r="I314" s="14">
        <v>0</v>
      </c>
      <c r="J314" s="14">
        <v>0</v>
      </c>
      <c r="K314" s="14">
        <f t="shared" si="14"/>
        <v>0</v>
      </c>
      <c r="L314" s="14">
        <v>0</v>
      </c>
      <c r="M314" s="14">
        <v>0</v>
      </c>
      <c r="N314" s="14">
        <f t="shared" si="15"/>
        <v>0</v>
      </c>
      <c r="O314" s="14">
        <f t="shared" si="15"/>
        <v>0</v>
      </c>
      <c r="P314" s="4">
        <f t="shared" si="15"/>
        <v>0</v>
      </c>
      <c r="Q314" s="22"/>
    </row>
    <row r="315" spans="2:17" x14ac:dyDescent="0.4">
      <c r="B315" s="16">
        <v>42843</v>
      </c>
      <c r="C315" s="21">
        <v>19600</v>
      </c>
      <c r="D315" s="21">
        <v>19600</v>
      </c>
      <c r="E315" s="21">
        <v>19600</v>
      </c>
      <c r="F315" s="21">
        <v>19600</v>
      </c>
      <c r="G315" s="12">
        <v>0</v>
      </c>
      <c r="H315" s="14">
        <f t="shared" si="13"/>
        <v>0</v>
      </c>
      <c r="I315" s="14">
        <v>0</v>
      </c>
      <c r="J315" s="14">
        <v>0</v>
      </c>
      <c r="K315" s="14">
        <f t="shared" si="14"/>
        <v>0</v>
      </c>
      <c r="L315" s="14">
        <v>0</v>
      </c>
      <c r="M315" s="14">
        <v>0</v>
      </c>
      <c r="N315" s="14">
        <f t="shared" si="15"/>
        <v>0</v>
      </c>
      <c r="O315" s="14">
        <f t="shared" si="15"/>
        <v>0</v>
      </c>
      <c r="P315" s="4">
        <f t="shared" si="15"/>
        <v>0</v>
      </c>
      <c r="Q315" s="22"/>
    </row>
    <row r="316" spans="2:17" x14ac:dyDescent="0.4">
      <c r="B316" s="16">
        <v>42844</v>
      </c>
      <c r="C316" s="21">
        <v>19600</v>
      </c>
      <c r="D316" s="21">
        <v>19600</v>
      </c>
      <c r="E316" s="21">
        <v>19600</v>
      </c>
      <c r="F316" s="21">
        <v>19600</v>
      </c>
      <c r="G316" s="12">
        <v>0</v>
      </c>
      <c r="H316" s="14">
        <f t="shared" si="13"/>
        <v>0</v>
      </c>
      <c r="I316" s="14">
        <v>0</v>
      </c>
      <c r="J316" s="14">
        <v>0</v>
      </c>
      <c r="K316" s="14">
        <f t="shared" si="14"/>
        <v>0</v>
      </c>
      <c r="L316" s="14">
        <v>0</v>
      </c>
      <c r="M316" s="14">
        <v>0</v>
      </c>
      <c r="N316" s="14">
        <f t="shared" si="15"/>
        <v>0</v>
      </c>
      <c r="O316" s="14">
        <f t="shared" si="15"/>
        <v>0</v>
      </c>
      <c r="P316" s="4">
        <f t="shared" si="15"/>
        <v>0</v>
      </c>
      <c r="Q316" s="22"/>
    </row>
    <row r="317" spans="2:17" x14ac:dyDescent="0.4">
      <c r="B317" s="16">
        <v>42845</v>
      </c>
      <c r="C317" s="21">
        <v>19600</v>
      </c>
      <c r="D317" s="21">
        <v>19600</v>
      </c>
      <c r="E317" s="21">
        <v>19600</v>
      </c>
      <c r="F317" s="21">
        <v>19600</v>
      </c>
      <c r="G317" s="12">
        <v>0</v>
      </c>
      <c r="H317" s="14">
        <f t="shared" si="13"/>
        <v>0</v>
      </c>
      <c r="I317" s="14">
        <v>0</v>
      </c>
      <c r="J317" s="14">
        <v>0</v>
      </c>
      <c r="K317" s="14">
        <f t="shared" si="14"/>
        <v>0</v>
      </c>
      <c r="L317" s="14">
        <v>0</v>
      </c>
      <c r="M317" s="14">
        <v>0</v>
      </c>
      <c r="N317" s="14">
        <f t="shared" si="15"/>
        <v>0</v>
      </c>
      <c r="O317" s="14">
        <f t="shared" si="15"/>
        <v>0</v>
      </c>
      <c r="P317" s="4">
        <f t="shared" si="15"/>
        <v>0</v>
      </c>
      <c r="Q317" s="22"/>
    </row>
    <row r="318" spans="2:17" x14ac:dyDescent="0.4">
      <c r="B318" s="16">
        <v>42846</v>
      </c>
      <c r="C318" s="21">
        <v>19600</v>
      </c>
      <c r="D318" s="21">
        <v>19600</v>
      </c>
      <c r="E318" s="21">
        <v>19600</v>
      </c>
      <c r="F318" s="21">
        <v>19600</v>
      </c>
      <c r="G318" s="12">
        <v>0</v>
      </c>
      <c r="H318" s="14">
        <f t="shared" si="13"/>
        <v>0</v>
      </c>
      <c r="I318" s="14">
        <v>0</v>
      </c>
      <c r="J318" s="14">
        <v>0</v>
      </c>
      <c r="K318" s="14">
        <f t="shared" si="14"/>
        <v>0</v>
      </c>
      <c r="L318" s="14">
        <v>0</v>
      </c>
      <c r="M318" s="14">
        <v>0</v>
      </c>
      <c r="N318" s="14">
        <f t="shared" si="15"/>
        <v>0</v>
      </c>
      <c r="O318" s="14">
        <f t="shared" si="15"/>
        <v>0</v>
      </c>
      <c r="P318" s="4">
        <f t="shared" si="15"/>
        <v>0</v>
      </c>
      <c r="Q318" s="4" t="str">
        <f>IFERROR(SUM(M314:M318)/SUM(J314:J318),"")</f>
        <v/>
      </c>
    </row>
    <row r="319" spans="2:17" x14ac:dyDescent="0.4">
      <c r="B319" s="16">
        <v>42849</v>
      </c>
      <c r="C319" s="21">
        <v>19600</v>
      </c>
      <c r="D319" s="21">
        <v>19600</v>
      </c>
      <c r="E319" s="21">
        <v>19600</v>
      </c>
      <c r="F319" s="21">
        <v>19600</v>
      </c>
      <c r="G319" s="12">
        <v>0</v>
      </c>
      <c r="H319" s="14">
        <f t="shared" si="13"/>
        <v>0</v>
      </c>
      <c r="I319" s="14">
        <v>0</v>
      </c>
      <c r="J319" s="14">
        <v>0</v>
      </c>
      <c r="K319" s="14">
        <f t="shared" si="14"/>
        <v>0</v>
      </c>
      <c r="L319" s="14">
        <v>0</v>
      </c>
      <c r="M319" s="14">
        <v>0</v>
      </c>
      <c r="N319" s="14">
        <f t="shared" si="15"/>
        <v>0</v>
      </c>
      <c r="O319" s="14">
        <f t="shared" si="15"/>
        <v>0</v>
      </c>
      <c r="P319" s="4">
        <f t="shared" si="15"/>
        <v>0</v>
      </c>
      <c r="Q319" s="22"/>
    </row>
    <row r="320" spans="2:17" x14ac:dyDescent="0.4">
      <c r="B320" s="16">
        <v>42850</v>
      </c>
      <c r="C320" s="21">
        <v>19600</v>
      </c>
      <c r="D320" s="21">
        <v>19600</v>
      </c>
      <c r="E320" s="21">
        <v>19600</v>
      </c>
      <c r="F320" s="21">
        <v>19600</v>
      </c>
      <c r="G320" s="12">
        <v>0</v>
      </c>
      <c r="H320" s="14">
        <f t="shared" si="13"/>
        <v>0</v>
      </c>
      <c r="I320" s="14">
        <v>0</v>
      </c>
      <c r="J320" s="14">
        <v>0</v>
      </c>
      <c r="K320" s="14">
        <f t="shared" si="14"/>
        <v>0</v>
      </c>
      <c r="L320" s="14">
        <v>0</v>
      </c>
      <c r="M320" s="14">
        <v>0</v>
      </c>
      <c r="N320" s="14">
        <f t="shared" si="15"/>
        <v>0</v>
      </c>
      <c r="O320" s="14">
        <f t="shared" si="15"/>
        <v>0</v>
      </c>
      <c r="P320" s="4">
        <f t="shared" si="15"/>
        <v>0</v>
      </c>
      <c r="Q320" s="22"/>
    </row>
    <row r="321" spans="2:17" x14ac:dyDescent="0.4">
      <c r="B321" s="16">
        <v>42851</v>
      </c>
      <c r="C321" s="21">
        <v>19600</v>
      </c>
      <c r="D321" s="21">
        <v>19600</v>
      </c>
      <c r="E321" s="21">
        <v>19600</v>
      </c>
      <c r="F321" s="21">
        <v>19600</v>
      </c>
      <c r="G321" s="12">
        <v>0</v>
      </c>
      <c r="H321" s="14">
        <f t="shared" si="13"/>
        <v>0</v>
      </c>
      <c r="I321" s="14">
        <v>0</v>
      </c>
      <c r="J321" s="14">
        <v>0</v>
      </c>
      <c r="K321" s="14">
        <f t="shared" si="14"/>
        <v>0</v>
      </c>
      <c r="L321" s="14">
        <v>0</v>
      </c>
      <c r="M321" s="14">
        <v>0</v>
      </c>
      <c r="N321" s="14">
        <f t="shared" si="15"/>
        <v>0</v>
      </c>
      <c r="O321" s="14">
        <f t="shared" si="15"/>
        <v>0</v>
      </c>
      <c r="P321" s="4">
        <f t="shared" si="15"/>
        <v>0</v>
      </c>
      <c r="Q321" s="22"/>
    </row>
    <row r="322" spans="2:17" x14ac:dyDescent="0.4">
      <c r="B322" s="16">
        <v>42852</v>
      </c>
      <c r="C322" s="21">
        <v>19600</v>
      </c>
      <c r="D322" s="21">
        <v>19600</v>
      </c>
      <c r="E322" s="21">
        <v>19600</v>
      </c>
      <c r="F322" s="21">
        <v>19600</v>
      </c>
      <c r="G322" s="12">
        <v>0</v>
      </c>
      <c r="H322" s="14">
        <f t="shared" si="13"/>
        <v>0</v>
      </c>
      <c r="I322" s="14">
        <v>0</v>
      </c>
      <c r="J322" s="14">
        <v>0</v>
      </c>
      <c r="K322" s="14">
        <f t="shared" si="14"/>
        <v>0</v>
      </c>
      <c r="L322" s="14">
        <v>0</v>
      </c>
      <c r="M322" s="14">
        <v>0</v>
      </c>
      <c r="N322" s="14">
        <f t="shared" si="15"/>
        <v>0</v>
      </c>
      <c r="O322" s="14">
        <f t="shared" si="15"/>
        <v>0</v>
      </c>
      <c r="P322" s="4">
        <f t="shared" si="15"/>
        <v>0</v>
      </c>
      <c r="Q322" s="22"/>
    </row>
    <row r="323" spans="2:17" x14ac:dyDescent="0.4">
      <c r="B323" s="16">
        <v>42853</v>
      </c>
      <c r="C323" s="21">
        <v>19600</v>
      </c>
      <c r="D323" s="21">
        <v>19600</v>
      </c>
      <c r="E323" s="21">
        <v>19600</v>
      </c>
      <c r="F323" s="21">
        <v>19600</v>
      </c>
      <c r="G323" s="12">
        <v>0</v>
      </c>
      <c r="H323" s="14">
        <f t="shared" si="13"/>
        <v>0</v>
      </c>
      <c r="I323" s="14">
        <v>0</v>
      </c>
      <c r="J323" s="14">
        <v>0</v>
      </c>
      <c r="K323" s="14">
        <f t="shared" si="14"/>
        <v>0</v>
      </c>
      <c r="L323" s="14">
        <v>0</v>
      </c>
      <c r="M323" s="14">
        <v>0</v>
      </c>
      <c r="N323" s="14">
        <f t="shared" si="15"/>
        <v>0</v>
      </c>
      <c r="O323" s="14">
        <f t="shared" si="15"/>
        <v>0</v>
      </c>
      <c r="P323" s="4">
        <f t="shared" si="15"/>
        <v>0</v>
      </c>
      <c r="Q323" s="4" t="str">
        <f>IFERROR(SUM(M319:M323)/SUM(J319:J323),"")</f>
        <v/>
      </c>
    </row>
    <row r="324" spans="2:17" x14ac:dyDescent="0.4">
      <c r="B324" s="16">
        <v>42857</v>
      </c>
      <c r="C324" s="21">
        <v>19600</v>
      </c>
      <c r="D324" s="21">
        <v>19600</v>
      </c>
      <c r="E324" s="21">
        <v>19600</v>
      </c>
      <c r="F324" s="21">
        <v>19600</v>
      </c>
      <c r="G324" s="12">
        <v>0</v>
      </c>
      <c r="H324" s="14">
        <f t="shared" si="13"/>
        <v>0</v>
      </c>
      <c r="I324" s="14">
        <v>0</v>
      </c>
      <c r="J324" s="14">
        <v>0</v>
      </c>
      <c r="K324" s="14">
        <f t="shared" si="14"/>
        <v>0</v>
      </c>
      <c r="L324" s="14">
        <v>0</v>
      </c>
      <c r="M324" s="14">
        <v>0</v>
      </c>
      <c r="N324" s="14">
        <f t="shared" si="15"/>
        <v>0</v>
      </c>
      <c r="O324" s="14">
        <f t="shared" si="15"/>
        <v>0</v>
      </c>
      <c r="P324" s="4">
        <f t="shared" si="15"/>
        <v>0</v>
      </c>
      <c r="Q324" s="22"/>
    </row>
    <row r="325" spans="2:17" x14ac:dyDescent="0.4">
      <c r="B325" s="16">
        <v>42859</v>
      </c>
      <c r="C325" s="21">
        <v>19600</v>
      </c>
      <c r="D325" s="21">
        <v>19600</v>
      </c>
      <c r="E325" s="21">
        <v>19600</v>
      </c>
      <c r="F325" s="21">
        <v>19600</v>
      </c>
      <c r="G325" s="12">
        <v>0</v>
      </c>
      <c r="H325" s="14">
        <f t="shared" si="13"/>
        <v>0</v>
      </c>
      <c r="I325" s="14">
        <v>0</v>
      </c>
      <c r="J325" s="14">
        <v>0</v>
      </c>
      <c r="K325" s="14">
        <f t="shared" si="14"/>
        <v>0</v>
      </c>
      <c r="L325" s="14">
        <v>0</v>
      </c>
      <c r="M325" s="14">
        <v>0</v>
      </c>
      <c r="N325" s="14">
        <f t="shared" si="15"/>
        <v>0</v>
      </c>
      <c r="O325" s="14">
        <f t="shared" si="15"/>
        <v>0</v>
      </c>
      <c r="P325" s="4">
        <f t="shared" si="15"/>
        <v>0</v>
      </c>
      <c r="Q325" s="22"/>
    </row>
    <row r="326" spans="2:17" x14ac:dyDescent="0.4">
      <c r="B326" s="16">
        <v>42863</v>
      </c>
      <c r="C326" s="21">
        <v>19600</v>
      </c>
      <c r="D326" s="21">
        <v>19600</v>
      </c>
      <c r="E326" s="21">
        <v>19600</v>
      </c>
      <c r="F326" s="21">
        <v>19600</v>
      </c>
      <c r="G326" s="12">
        <v>0</v>
      </c>
      <c r="H326" s="14">
        <f t="shared" si="13"/>
        <v>0</v>
      </c>
      <c r="I326" s="14">
        <v>0</v>
      </c>
      <c r="J326" s="14">
        <v>0</v>
      </c>
      <c r="K326" s="14">
        <f t="shared" si="14"/>
        <v>0</v>
      </c>
      <c r="L326" s="14">
        <v>0</v>
      </c>
      <c r="M326" s="14">
        <v>0</v>
      </c>
      <c r="N326" s="14">
        <f t="shared" si="15"/>
        <v>0</v>
      </c>
      <c r="O326" s="14">
        <f t="shared" si="15"/>
        <v>0</v>
      </c>
      <c r="P326" s="4">
        <f t="shared" si="15"/>
        <v>0</v>
      </c>
      <c r="Q326" s="22"/>
    </row>
    <row r="327" spans="2:17" x14ac:dyDescent="0.4">
      <c r="B327" s="16">
        <v>42865</v>
      </c>
      <c r="C327" s="21">
        <v>19600</v>
      </c>
      <c r="D327" s="21">
        <v>19600</v>
      </c>
      <c r="E327" s="21">
        <v>19600</v>
      </c>
      <c r="F327" s="21">
        <v>19600</v>
      </c>
      <c r="G327" s="12">
        <v>0</v>
      </c>
      <c r="H327" s="14">
        <f t="shared" si="13"/>
        <v>0</v>
      </c>
      <c r="I327" s="14">
        <v>0</v>
      </c>
      <c r="J327" s="14">
        <v>0</v>
      </c>
      <c r="K327" s="14">
        <f t="shared" si="14"/>
        <v>0</v>
      </c>
      <c r="L327" s="14">
        <v>0</v>
      </c>
      <c r="M327" s="14">
        <v>0</v>
      </c>
      <c r="N327" s="14">
        <f t="shared" si="15"/>
        <v>0</v>
      </c>
      <c r="O327" s="14">
        <f t="shared" si="15"/>
        <v>0</v>
      </c>
      <c r="P327" s="4">
        <f t="shared" si="15"/>
        <v>0</v>
      </c>
      <c r="Q327" s="22"/>
    </row>
    <row r="328" spans="2:17" x14ac:dyDescent="0.4">
      <c r="B328" s="16">
        <v>42866</v>
      </c>
      <c r="C328" s="21">
        <v>19600</v>
      </c>
      <c r="D328" s="21">
        <v>19600</v>
      </c>
      <c r="E328" s="21">
        <v>19600</v>
      </c>
      <c r="F328" s="21">
        <v>19600</v>
      </c>
      <c r="G328" s="12">
        <v>0</v>
      </c>
      <c r="H328" s="14">
        <f t="shared" si="13"/>
        <v>0</v>
      </c>
      <c r="I328" s="14">
        <v>0</v>
      </c>
      <c r="J328" s="14">
        <v>0</v>
      </c>
      <c r="K328" s="14">
        <f t="shared" si="14"/>
        <v>0</v>
      </c>
      <c r="L328" s="14">
        <v>0</v>
      </c>
      <c r="M328" s="14">
        <v>0</v>
      </c>
      <c r="N328" s="14">
        <f t="shared" si="15"/>
        <v>0</v>
      </c>
      <c r="O328" s="14">
        <f t="shared" si="15"/>
        <v>0</v>
      </c>
      <c r="P328" s="4">
        <f t="shared" si="15"/>
        <v>0</v>
      </c>
      <c r="Q328" s="22"/>
    </row>
    <row r="329" spans="2:17" x14ac:dyDescent="0.4">
      <c r="B329" s="16">
        <v>42867</v>
      </c>
      <c r="C329" s="21">
        <v>19600</v>
      </c>
      <c r="D329" s="21">
        <v>19600</v>
      </c>
      <c r="E329" s="21">
        <v>19600</v>
      </c>
      <c r="F329" s="21">
        <v>19600</v>
      </c>
      <c r="G329" s="12">
        <v>0</v>
      </c>
      <c r="H329" s="14">
        <f t="shared" si="13"/>
        <v>0</v>
      </c>
      <c r="I329" s="14">
        <v>0</v>
      </c>
      <c r="J329" s="14">
        <v>0</v>
      </c>
      <c r="K329" s="14">
        <f t="shared" si="14"/>
        <v>0</v>
      </c>
      <c r="L329" s="14">
        <v>0</v>
      </c>
      <c r="M329" s="14">
        <v>0</v>
      </c>
      <c r="N329" s="14">
        <f t="shared" si="15"/>
        <v>0</v>
      </c>
      <c r="O329" s="14">
        <f t="shared" si="15"/>
        <v>0</v>
      </c>
      <c r="P329" s="4">
        <f t="shared" si="15"/>
        <v>0</v>
      </c>
      <c r="Q329" s="4" t="str">
        <f>IFERROR(SUM(M325:M329)/SUM(J325:J329),"")</f>
        <v/>
      </c>
    </row>
    <row r="330" spans="2:17" x14ac:dyDescent="0.4">
      <c r="B330" s="16">
        <v>42870</v>
      </c>
      <c r="C330" s="21">
        <v>19600</v>
      </c>
      <c r="D330" s="21">
        <v>19600</v>
      </c>
      <c r="E330" s="21">
        <v>19600</v>
      </c>
      <c r="F330" s="21">
        <v>19600</v>
      </c>
      <c r="G330" s="12">
        <v>0</v>
      </c>
      <c r="H330" s="14">
        <f t="shared" si="13"/>
        <v>0</v>
      </c>
      <c r="I330" s="14">
        <v>0</v>
      </c>
      <c r="J330" s="14">
        <v>0</v>
      </c>
      <c r="K330" s="14">
        <f t="shared" si="14"/>
        <v>0</v>
      </c>
      <c r="L330" s="14">
        <v>0</v>
      </c>
      <c r="M330" s="14">
        <v>0</v>
      </c>
      <c r="N330" s="14">
        <f t="shared" si="15"/>
        <v>0</v>
      </c>
      <c r="O330" s="14">
        <f t="shared" si="15"/>
        <v>0</v>
      </c>
      <c r="P330" s="4">
        <f t="shared" si="15"/>
        <v>0</v>
      </c>
      <c r="Q330" s="22"/>
    </row>
    <row r="331" spans="2:17" x14ac:dyDescent="0.4">
      <c r="B331" s="16">
        <v>42871</v>
      </c>
      <c r="C331" s="21">
        <v>19600</v>
      </c>
      <c r="D331" s="21">
        <v>19600</v>
      </c>
      <c r="E331" s="21">
        <v>19600</v>
      </c>
      <c r="F331" s="21">
        <v>19600</v>
      </c>
      <c r="G331" s="12">
        <v>0</v>
      </c>
      <c r="H331" s="14">
        <f t="shared" si="13"/>
        <v>0</v>
      </c>
      <c r="I331" s="14">
        <v>0</v>
      </c>
      <c r="J331" s="14">
        <v>0</v>
      </c>
      <c r="K331" s="14">
        <f t="shared" si="14"/>
        <v>0</v>
      </c>
      <c r="L331" s="14">
        <v>0</v>
      </c>
      <c r="M331" s="14">
        <v>0</v>
      </c>
      <c r="N331" s="14">
        <f t="shared" si="15"/>
        <v>0</v>
      </c>
      <c r="O331" s="14">
        <f t="shared" si="15"/>
        <v>0</v>
      </c>
      <c r="P331" s="4">
        <f t="shared" si="15"/>
        <v>0</v>
      </c>
      <c r="Q331" s="22"/>
    </row>
    <row r="332" spans="2:17" x14ac:dyDescent="0.4">
      <c r="B332" s="16">
        <v>42872</v>
      </c>
      <c r="C332" s="21">
        <v>19600</v>
      </c>
      <c r="D332" s="21">
        <v>19600</v>
      </c>
      <c r="E332" s="21">
        <v>19600</v>
      </c>
      <c r="F332" s="21">
        <v>19600</v>
      </c>
      <c r="G332" s="12">
        <v>0</v>
      </c>
      <c r="H332" s="14">
        <f t="shared" si="13"/>
        <v>0</v>
      </c>
      <c r="I332" s="14">
        <v>0</v>
      </c>
      <c r="J332" s="14">
        <v>0</v>
      </c>
      <c r="K332" s="14">
        <f t="shared" si="14"/>
        <v>0</v>
      </c>
      <c r="L332" s="14">
        <v>0</v>
      </c>
      <c r="M332" s="14">
        <v>0</v>
      </c>
      <c r="N332" s="14">
        <f t="shared" si="15"/>
        <v>0</v>
      </c>
      <c r="O332" s="14">
        <f t="shared" si="15"/>
        <v>0</v>
      </c>
      <c r="P332" s="4">
        <f t="shared" si="15"/>
        <v>0</v>
      </c>
      <c r="Q332" s="22"/>
    </row>
    <row r="333" spans="2:17" x14ac:dyDescent="0.4">
      <c r="B333" s="16">
        <v>42873</v>
      </c>
      <c r="C333" s="21">
        <v>19700</v>
      </c>
      <c r="D333" s="21">
        <v>19700</v>
      </c>
      <c r="E333" s="21">
        <v>19700</v>
      </c>
      <c r="F333" s="21">
        <v>19700</v>
      </c>
      <c r="G333" s="12">
        <v>0.51</v>
      </c>
      <c r="H333" s="14">
        <f t="shared" si="13"/>
        <v>0</v>
      </c>
      <c r="I333" s="14">
        <v>0</v>
      </c>
      <c r="J333" s="14">
        <v>0</v>
      </c>
      <c r="K333" s="14">
        <f t="shared" si="14"/>
        <v>0</v>
      </c>
      <c r="L333" s="14">
        <v>0</v>
      </c>
      <c r="M333" s="14">
        <v>0</v>
      </c>
      <c r="N333" s="14">
        <f t="shared" si="15"/>
        <v>0</v>
      </c>
      <c r="O333" s="14">
        <f t="shared" si="15"/>
        <v>0</v>
      </c>
      <c r="P333" s="4">
        <f t="shared" si="15"/>
        <v>0</v>
      </c>
      <c r="Q333" s="22"/>
    </row>
    <row r="334" spans="2:17" x14ac:dyDescent="0.4">
      <c r="B334" s="16">
        <v>42874</v>
      </c>
      <c r="C334" s="21">
        <v>19800</v>
      </c>
      <c r="D334" s="21">
        <v>19800</v>
      </c>
      <c r="E334" s="21">
        <v>19800</v>
      </c>
      <c r="F334" s="21">
        <v>19800</v>
      </c>
      <c r="G334" s="12">
        <v>0.51</v>
      </c>
      <c r="H334" s="14">
        <f t="shared" si="13"/>
        <v>0</v>
      </c>
      <c r="I334" s="14">
        <v>0</v>
      </c>
      <c r="J334" s="14">
        <v>0</v>
      </c>
      <c r="K334" s="14">
        <f t="shared" si="14"/>
        <v>0</v>
      </c>
      <c r="L334" s="14">
        <v>0</v>
      </c>
      <c r="M334" s="14">
        <v>0</v>
      </c>
      <c r="N334" s="14">
        <f t="shared" si="15"/>
        <v>0</v>
      </c>
      <c r="O334" s="14">
        <f t="shared" si="15"/>
        <v>0</v>
      </c>
      <c r="P334" s="4">
        <f t="shared" si="15"/>
        <v>0</v>
      </c>
      <c r="Q334" s="4" t="str">
        <f>IFERROR(SUM(M330:M334)/SUM(J330:J334),"")</f>
        <v/>
      </c>
    </row>
    <row r="335" spans="2:17" x14ac:dyDescent="0.4">
      <c r="B335" s="16">
        <v>42877</v>
      </c>
      <c r="C335" s="21">
        <v>20650</v>
      </c>
      <c r="D335" s="21">
        <v>20650</v>
      </c>
      <c r="E335" s="21">
        <v>20650</v>
      </c>
      <c r="F335" s="21">
        <v>20650</v>
      </c>
      <c r="G335" s="12">
        <v>4.29</v>
      </c>
      <c r="H335" s="14">
        <f t="shared" si="13"/>
        <v>70000</v>
      </c>
      <c r="I335" s="14">
        <v>0</v>
      </c>
      <c r="J335" s="14">
        <v>70000</v>
      </c>
      <c r="K335" s="14">
        <f t="shared" si="14"/>
        <v>1445500000</v>
      </c>
      <c r="L335" s="14">
        <v>0</v>
      </c>
      <c r="M335" s="14">
        <v>1445500000</v>
      </c>
      <c r="N335" s="14">
        <f t="shared" si="15"/>
        <v>20650</v>
      </c>
      <c r="O335" s="14">
        <f t="shared" si="15"/>
        <v>0</v>
      </c>
      <c r="P335" s="4">
        <f t="shared" si="15"/>
        <v>20650</v>
      </c>
      <c r="Q335" s="22"/>
    </row>
    <row r="336" spans="2:17" x14ac:dyDescent="0.4">
      <c r="B336" s="16">
        <v>42878</v>
      </c>
      <c r="C336" s="21">
        <v>20650</v>
      </c>
      <c r="D336" s="21">
        <v>20650</v>
      </c>
      <c r="E336" s="21">
        <v>20650</v>
      </c>
      <c r="F336" s="21">
        <v>20650</v>
      </c>
      <c r="G336" s="12">
        <v>0</v>
      </c>
      <c r="H336" s="14">
        <f t="shared" si="13"/>
        <v>30000</v>
      </c>
      <c r="I336" s="14">
        <v>3000</v>
      </c>
      <c r="J336" s="14">
        <v>33000</v>
      </c>
      <c r="K336" s="14">
        <f t="shared" si="14"/>
        <v>619500000</v>
      </c>
      <c r="L336" s="14">
        <v>61950000</v>
      </c>
      <c r="M336" s="14">
        <v>681450000</v>
      </c>
      <c r="N336" s="14">
        <f t="shared" si="15"/>
        <v>20650</v>
      </c>
      <c r="O336" s="14">
        <f t="shared" si="15"/>
        <v>20650</v>
      </c>
      <c r="P336" s="4">
        <f t="shared" si="15"/>
        <v>20650</v>
      </c>
      <c r="Q336" s="22"/>
    </row>
    <row r="337" spans="2:17" x14ac:dyDescent="0.4">
      <c r="B337" s="16">
        <v>42879</v>
      </c>
      <c r="C337" s="21">
        <v>20650</v>
      </c>
      <c r="D337" s="21">
        <v>20650</v>
      </c>
      <c r="E337" s="21">
        <v>20650</v>
      </c>
      <c r="F337" s="21">
        <v>20650</v>
      </c>
      <c r="G337" s="12">
        <v>0</v>
      </c>
      <c r="H337" s="14">
        <f t="shared" si="13"/>
        <v>0</v>
      </c>
      <c r="I337" s="14">
        <v>0</v>
      </c>
      <c r="J337" s="14">
        <v>0</v>
      </c>
      <c r="K337" s="14">
        <f t="shared" si="14"/>
        <v>0</v>
      </c>
      <c r="L337" s="14">
        <v>0</v>
      </c>
      <c r="M337" s="14">
        <v>0</v>
      </c>
      <c r="N337" s="14">
        <f t="shared" si="15"/>
        <v>0</v>
      </c>
      <c r="O337" s="14">
        <f t="shared" si="15"/>
        <v>0</v>
      </c>
      <c r="P337" s="4">
        <f t="shared" si="15"/>
        <v>0</v>
      </c>
      <c r="Q337" s="22"/>
    </row>
    <row r="338" spans="2:17" x14ac:dyDescent="0.4">
      <c r="B338" s="16">
        <v>42880</v>
      </c>
      <c r="C338" s="21">
        <v>20700</v>
      </c>
      <c r="D338" s="21">
        <v>20700</v>
      </c>
      <c r="E338" s="21">
        <v>20700</v>
      </c>
      <c r="F338" s="21">
        <v>20700</v>
      </c>
      <c r="G338" s="12">
        <v>0.24</v>
      </c>
      <c r="H338" s="14">
        <f t="shared" si="13"/>
        <v>20000</v>
      </c>
      <c r="I338" s="14">
        <v>0</v>
      </c>
      <c r="J338" s="14">
        <v>20000</v>
      </c>
      <c r="K338" s="14">
        <f t="shared" si="14"/>
        <v>414000000</v>
      </c>
      <c r="L338" s="14">
        <v>0</v>
      </c>
      <c r="M338" s="14">
        <v>414000000</v>
      </c>
      <c r="N338" s="14">
        <f t="shared" si="15"/>
        <v>20700</v>
      </c>
      <c r="O338" s="14">
        <f t="shared" si="15"/>
        <v>0</v>
      </c>
      <c r="P338" s="4">
        <f t="shared" si="15"/>
        <v>20700</v>
      </c>
      <c r="Q338" s="22"/>
    </row>
    <row r="339" spans="2:17" x14ac:dyDescent="0.4">
      <c r="B339" s="16">
        <v>42881</v>
      </c>
      <c r="C339" s="21">
        <v>20800</v>
      </c>
      <c r="D339" s="21">
        <v>20800</v>
      </c>
      <c r="E339" s="21">
        <v>20800</v>
      </c>
      <c r="F339" s="21">
        <v>20800</v>
      </c>
      <c r="G339" s="12">
        <v>0.48</v>
      </c>
      <c r="H339" s="14">
        <f t="shared" si="13"/>
        <v>20000</v>
      </c>
      <c r="I339" s="14">
        <v>0</v>
      </c>
      <c r="J339" s="14">
        <v>20000</v>
      </c>
      <c r="K339" s="14">
        <f t="shared" si="14"/>
        <v>416000000</v>
      </c>
      <c r="L339" s="14">
        <v>0</v>
      </c>
      <c r="M339" s="14">
        <v>416000000</v>
      </c>
      <c r="N339" s="14">
        <f t="shared" si="15"/>
        <v>20800</v>
      </c>
      <c r="O339" s="14">
        <f t="shared" si="15"/>
        <v>0</v>
      </c>
      <c r="P339" s="4">
        <f t="shared" si="15"/>
        <v>20800</v>
      </c>
      <c r="Q339" s="4">
        <f>IFERROR(SUM(M335:M339)/SUM(J335:J339),"")</f>
        <v>20677.972027972028</v>
      </c>
    </row>
    <row r="340" spans="2:17" x14ac:dyDescent="0.4">
      <c r="B340" s="16">
        <v>42884</v>
      </c>
      <c r="C340" s="21">
        <v>20800</v>
      </c>
      <c r="D340" s="21">
        <v>20800</v>
      </c>
      <c r="E340" s="21">
        <v>20800</v>
      </c>
      <c r="F340" s="21">
        <v>20800</v>
      </c>
      <c r="G340" s="12">
        <v>0</v>
      </c>
      <c r="H340" s="14">
        <f t="shared" si="13"/>
        <v>10000</v>
      </c>
      <c r="I340" s="14">
        <v>18500</v>
      </c>
      <c r="J340" s="14">
        <v>28500</v>
      </c>
      <c r="K340" s="14">
        <f t="shared" si="14"/>
        <v>208000000</v>
      </c>
      <c r="L340" s="14">
        <v>384800000</v>
      </c>
      <c r="M340" s="14">
        <v>592800000</v>
      </c>
      <c r="N340" s="14">
        <f t="shared" si="15"/>
        <v>20800</v>
      </c>
      <c r="O340" s="14">
        <f t="shared" si="15"/>
        <v>20800</v>
      </c>
      <c r="P340" s="4">
        <f t="shared" si="15"/>
        <v>20800</v>
      </c>
      <c r="Q340" s="89"/>
    </row>
    <row r="341" spans="2:17" x14ac:dyDescent="0.4">
      <c r="B341" s="16">
        <v>42885</v>
      </c>
      <c r="C341" s="21">
        <v>20800</v>
      </c>
      <c r="D341" s="21">
        <v>20800</v>
      </c>
      <c r="E341" s="21">
        <v>20800</v>
      </c>
      <c r="F341" s="21">
        <v>20800</v>
      </c>
      <c r="G341" s="12">
        <v>0</v>
      </c>
      <c r="H341" s="14">
        <f t="shared" si="13"/>
        <v>10000</v>
      </c>
      <c r="I341" s="14">
        <v>0</v>
      </c>
      <c r="J341" s="14">
        <v>10000</v>
      </c>
      <c r="K341" s="14">
        <f t="shared" si="14"/>
        <v>208000000</v>
      </c>
      <c r="L341" s="14">
        <v>0</v>
      </c>
      <c r="M341" s="14">
        <v>208000000</v>
      </c>
      <c r="N341" s="14">
        <f t="shared" si="15"/>
        <v>20800</v>
      </c>
      <c r="O341" s="14">
        <f t="shared" si="15"/>
        <v>0</v>
      </c>
      <c r="P341" s="4">
        <f t="shared" si="15"/>
        <v>20800</v>
      </c>
      <c r="Q341" s="22"/>
    </row>
    <row r="342" spans="2:17" x14ac:dyDescent="0.4">
      <c r="B342" s="16">
        <v>42886</v>
      </c>
      <c r="C342" s="21">
        <v>20800</v>
      </c>
      <c r="D342" s="21">
        <v>20800</v>
      </c>
      <c r="E342" s="21">
        <v>20800</v>
      </c>
      <c r="F342" s="21">
        <v>20800</v>
      </c>
      <c r="G342" s="12">
        <v>0</v>
      </c>
      <c r="H342" s="14">
        <f t="shared" si="13"/>
        <v>0</v>
      </c>
      <c r="I342" s="14">
        <v>0</v>
      </c>
      <c r="J342" s="14">
        <v>0</v>
      </c>
      <c r="K342" s="14">
        <f t="shared" si="14"/>
        <v>0</v>
      </c>
      <c r="L342" s="14">
        <v>0</v>
      </c>
      <c r="M342" s="14">
        <v>0</v>
      </c>
      <c r="N342" s="14">
        <f t="shared" si="15"/>
        <v>0</v>
      </c>
      <c r="O342" s="14">
        <f t="shared" si="15"/>
        <v>0</v>
      </c>
      <c r="P342" s="4">
        <f t="shared" si="15"/>
        <v>0</v>
      </c>
      <c r="Q342" s="22"/>
    </row>
    <row r="343" spans="2:17" x14ac:dyDescent="0.4">
      <c r="B343" s="16">
        <v>42887</v>
      </c>
      <c r="C343" s="21">
        <v>20800</v>
      </c>
      <c r="D343" s="21">
        <v>20800</v>
      </c>
      <c r="E343" s="21">
        <v>20800</v>
      </c>
      <c r="F343" s="21">
        <v>20800</v>
      </c>
      <c r="G343" s="12">
        <v>0</v>
      </c>
      <c r="H343" s="14">
        <f t="shared" si="13"/>
        <v>0</v>
      </c>
      <c r="I343" s="14">
        <v>5370</v>
      </c>
      <c r="J343" s="14">
        <v>5370</v>
      </c>
      <c r="K343" s="14">
        <f t="shared" si="14"/>
        <v>0</v>
      </c>
      <c r="L343" s="14">
        <v>112502000</v>
      </c>
      <c r="M343" s="14">
        <v>112502000</v>
      </c>
      <c r="N343" s="14">
        <f t="shared" si="15"/>
        <v>0</v>
      </c>
      <c r="O343" s="14">
        <f t="shared" si="15"/>
        <v>20950.093109869646</v>
      </c>
      <c r="P343" s="4">
        <f t="shared" si="15"/>
        <v>20950.093109869646</v>
      </c>
      <c r="Q343" s="22"/>
    </row>
    <row r="344" spans="2:17" x14ac:dyDescent="0.4">
      <c r="B344" s="16">
        <v>42888</v>
      </c>
      <c r="C344" s="21">
        <v>20800</v>
      </c>
      <c r="D344" s="21">
        <v>20800</v>
      </c>
      <c r="E344" s="21">
        <v>20800</v>
      </c>
      <c r="F344" s="21">
        <v>20800</v>
      </c>
      <c r="G344" s="12">
        <v>0</v>
      </c>
      <c r="H344" s="14">
        <f t="shared" si="13"/>
        <v>0</v>
      </c>
      <c r="I344" s="14">
        <v>0</v>
      </c>
      <c r="J344" s="14">
        <v>0</v>
      </c>
      <c r="K344" s="14">
        <f t="shared" si="14"/>
        <v>0</v>
      </c>
      <c r="L344" s="14">
        <v>0</v>
      </c>
      <c r="M344" s="14">
        <v>0</v>
      </c>
      <c r="N344" s="14">
        <f t="shared" si="15"/>
        <v>0</v>
      </c>
      <c r="O344" s="14">
        <f t="shared" si="15"/>
        <v>0</v>
      </c>
      <c r="P344" s="4">
        <f t="shared" si="15"/>
        <v>0</v>
      </c>
      <c r="Q344" s="4">
        <f>IFERROR(SUM(M340:M344)/SUM(J340:J344),"")</f>
        <v>20818.372464098473</v>
      </c>
    </row>
    <row r="345" spans="2:17" x14ac:dyDescent="0.4">
      <c r="B345" s="16">
        <v>42891</v>
      </c>
      <c r="C345" s="21">
        <v>20500</v>
      </c>
      <c r="D345" s="21">
        <v>20500</v>
      </c>
      <c r="E345" s="21">
        <v>20500</v>
      </c>
      <c r="F345" s="21">
        <v>20500</v>
      </c>
      <c r="G345" s="12">
        <v>-1.44</v>
      </c>
      <c r="H345" s="14">
        <f t="shared" si="13"/>
        <v>60000</v>
      </c>
      <c r="I345" s="14">
        <v>0</v>
      </c>
      <c r="J345" s="14">
        <v>60000</v>
      </c>
      <c r="K345" s="14">
        <f t="shared" si="14"/>
        <v>1230000000</v>
      </c>
      <c r="L345" s="14">
        <v>0</v>
      </c>
      <c r="M345" s="14">
        <v>1230000000</v>
      </c>
      <c r="N345" s="14">
        <f t="shared" si="15"/>
        <v>20500</v>
      </c>
      <c r="O345" s="14">
        <f t="shared" si="15"/>
        <v>0</v>
      </c>
      <c r="P345" s="4">
        <f t="shared" si="15"/>
        <v>20500</v>
      </c>
      <c r="Q345" s="22"/>
    </row>
    <row r="346" spans="2:17" x14ac:dyDescent="0.4">
      <c r="B346" s="16">
        <v>42893</v>
      </c>
      <c r="C346" s="21">
        <v>20500</v>
      </c>
      <c r="D346" s="21">
        <v>20500</v>
      </c>
      <c r="E346" s="21">
        <v>20500</v>
      </c>
      <c r="F346" s="21">
        <v>20500</v>
      </c>
      <c r="G346" s="12">
        <v>0</v>
      </c>
      <c r="H346" s="14">
        <f t="shared" si="13"/>
        <v>0</v>
      </c>
      <c r="I346" s="14">
        <v>0</v>
      </c>
      <c r="J346" s="14">
        <v>0</v>
      </c>
      <c r="K346" s="14">
        <f t="shared" si="14"/>
        <v>0</v>
      </c>
      <c r="L346" s="14">
        <v>0</v>
      </c>
      <c r="M346" s="14">
        <v>0</v>
      </c>
      <c r="N346" s="14">
        <f t="shared" si="15"/>
        <v>0</v>
      </c>
      <c r="O346" s="14">
        <f t="shared" si="15"/>
        <v>0</v>
      </c>
      <c r="P346" s="4">
        <f t="shared" si="15"/>
        <v>0</v>
      </c>
      <c r="Q346" s="22"/>
    </row>
    <row r="347" spans="2:17" x14ac:dyDescent="0.4">
      <c r="B347" s="16">
        <v>42894</v>
      </c>
      <c r="C347" s="21">
        <v>20500</v>
      </c>
      <c r="D347" s="21">
        <v>20500</v>
      </c>
      <c r="E347" s="21">
        <v>20500</v>
      </c>
      <c r="F347" s="21">
        <v>20500</v>
      </c>
      <c r="G347" s="12">
        <v>0</v>
      </c>
      <c r="H347" s="14">
        <f t="shared" si="13"/>
        <v>76406</v>
      </c>
      <c r="I347" s="14">
        <v>0</v>
      </c>
      <c r="J347" s="14">
        <v>76406</v>
      </c>
      <c r="K347" s="14">
        <f t="shared" si="14"/>
        <v>1566323000</v>
      </c>
      <c r="L347" s="14">
        <v>0</v>
      </c>
      <c r="M347" s="14">
        <v>1566323000</v>
      </c>
      <c r="N347" s="14">
        <f t="shared" si="15"/>
        <v>20500</v>
      </c>
      <c r="O347" s="14">
        <f t="shared" si="15"/>
        <v>0</v>
      </c>
      <c r="P347" s="4">
        <f t="shared" si="15"/>
        <v>20500</v>
      </c>
      <c r="Q347" s="22"/>
    </row>
    <row r="348" spans="2:17" x14ac:dyDescent="0.4">
      <c r="B348" s="16">
        <v>42895</v>
      </c>
      <c r="C348" s="21">
        <v>20500</v>
      </c>
      <c r="D348" s="21">
        <v>20500</v>
      </c>
      <c r="E348" s="21">
        <v>20500</v>
      </c>
      <c r="F348" s="21">
        <v>20500</v>
      </c>
      <c r="G348" s="12">
        <v>0</v>
      </c>
      <c r="H348" s="14">
        <f t="shared" si="13"/>
        <v>0</v>
      </c>
      <c r="I348" s="14">
        <v>0</v>
      </c>
      <c r="J348" s="14">
        <v>0</v>
      </c>
      <c r="K348" s="14">
        <f t="shared" si="14"/>
        <v>0</v>
      </c>
      <c r="L348" s="14">
        <v>0</v>
      </c>
      <c r="M348" s="14">
        <v>0</v>
      </c>
      <c r="N348" s="14">
        <f t="shared" si="15"/>
        <v>0</v>
      </c>
      <c r="O348" s="14">
        <f t="shared" si="15"/>
        <v>0</v>
      </c>
      <c r="P348" s="4">
        <f t="shared" si="15"/>
        <v>0</v>
      </c>
      <c r="Q348" s="4">
        <f>IFERROR(SUM(M345:M348)/SUM(J345:J348),"")</f>
        <v>20500</v>
      </c>
    </row>
    <row r="349" spans="2:17" x14ac:dyDescent="0.4">
      <c r="B349" s="16">
        <v>42898</v>
      </c>
      <c r="C349" s="21">
        <v>20500</v>
      </c>
      <c r="D349" s="21">
        <v>20500</v>
      </c>
      <c r="E349" s="21">
        <v>20500</v>
      </c>
      <c r="F349" s="21">
        <v>20500</v>
      </c>
      <c r="G349" s="12">
        <v>0</v>
      </c>
      <c r="H349" s="14">
        <f t="shared" si="13"/>
        <v>0</v>
      </c>
      <c r="I349" s="14">
        <v>0</v>
      </c>
      <c r="J349" s="14">
        <v>0</v>
      </c>
      <c r="K349" s="14">
        <f t="shared" si="14"/>
        <v>0</v>
      </c>
      <c r="L349" s="14">
        <v>0</v>
      </c>
      <c r="M349" s="14">
        <v>0</v>
      </c>
      <c r="N349" s="14">
        <f t="shared" si="15"/>
        <v>0</v>
      </c>
      <c r="O349" s="14">
        <f t="shared" si="15"/>
        <v>0</v>
      </c>
      <c r="P349" s="4">
        <f t="shared" si="15"/>
        <v>0</v>
      </c>
      <c r="Q349" s="22"/>
    </row>
    <row r="350" spans="2:17" x14ac:dyDescent="0.4">
      <c r="B350" s="16">
        <v>42899</v>
      </c>
      <c r="C350" s="21">
        <v>20500</v>
      </c>
      <c r="D350" s="21">
        <v>20500</v>
      </c>
      <c r="E350" s="21">
        <v>20500</v>
      </c>
      <c r="F350" s="21">
        <v>20500</v>
      </c>
      <c r="G350" s="12">
        <v>0</v>
      </c>
      <c r="H350" s="14">
        <f t="shared" si="13"/>
        <v>0</v>
      </c>
      <c r="I350" s="14">
        <v>0</v>
      </c>
      <c r="J350" s="14">
        <v>0</v>
      </c>
      <c r="K350" s="14">
        <f t="shared" si="14"/>
        <v>0</v>
      </c>
      <c r="L350" s="14">
        <v>0</v>
      </c>
      <c r="M350" s="14">
        <v>0</v>
      </c>
      <c r="N350" s="14">
        <f t="shared" si="15"/>
        <v>0</v>
      </c>
      <c r="O350" s="14">
        <f t="shared" si="15"/>
        <v>0</v>
      </c>
      <c r="P350" s="4">
        <f t="shared" si="15"/>
        <v>0</v>
      </c>
      <c r="Q350" s="22"/>
    </row>
    <row r="351" spans="2:17" x14ac:dyDescent="0.4">
      <c r="B351" s="16">
        <v>42900</v>
      </c>
      <c r="C351" s="21">
        <v>20500</v>
      </c>
      <c r="D351" s="21">
        <v>20500</v>
      </c>
      <c r="E351" s="21">
        <v>20500</v>
      </c>
      <c r="F351" s="21">
        <v>20500</v>
      </c>
      <c r="G351" s="12">
        <v>0</v>
      </c>
      <c r="H351" s="14">
        <f t="shared" si="13"/>
        <v>0</v>
      </c>
      <c r="I351" s="14">
        <v>0</v>
      </c>
      <c r="J351" s="14">
        <v>0</v>
      </c>
      <c r="K351" s="14">
        <f t="shared" si="14"/>
        <v>0</v>
      </c>
      <c r="L351" s="14">
        <v>0</v>
      </c>
      <c r="M351" s="14">
        <v>0</v>
      </c>
      <c r="N351" s="14">
        <f t="shared" si="15"/>
        <v>0</v>
      </c>
      <c r="O351" s="14">
        <f t="shared" si="15"/>
        <v>0</v>
      </c>
      <c r="P351" s="4">
        <f t="shared" si="15"/>
        <v>0</v>
      </c>
      <c r="Q351" s="22"/>
    </row>
    <row r="352" spans="2:17" x14ac:dyDescent="0.4">
      <c r="B352" s="16">
        <v>42901</v>
      </c>
      <c r="C352" s="21">
        <v>20500</v>
      </c>
      <c r="D352" s="21">
        <v>20500</v>
      </c>
      <c r="E352" s="21">
        <v>20500</v>
      </c>
      <c r="F352" s="21">
        <v>20500</v>
      </c>
      <c r="G352" s="12">
        <v>0</v>
      </c>
      <c r="H352" s="14">
        <f t="shared" si="13"/>
        <v>0</v>
      </c>
      <c r="I352" s="14">
        <v>0</v>
      </c>
      <c r="J352" s="14">
        <v>0</v>
      </c>
      <c r="K352" s="14">
        <f t="shared" si="14"/>
        <v>0</v>
      </c>
      <c r="L352" s="14">
        <v>0</v>
      </c>
      <c r="M352" s="14">
        <v>0</v>
      </c>
      <c r="N352" s="14">
        <f t="shared" si="15"/>
        <v>0</v>
      </c>
      <c r="O352" s="14">
        <f t="shared" si="15"/>
        <v>0</v>
      </c>
      <c r="P352" s="4">
        <f t="shared" si="15"/>
        <v>0</v>
      </c>
      <c r="Q352" s="22"/>
    </row>
    <row r="353" spans="2:21" x14ac:dyDescent="0.4">
      <c r="B353" s="16">
        <v>42902</v>
      </c>
      <c r="C353" s="21">
        <v>20500</v>
      </c>
      <c r="D353" s="21">
        <v>20500</v>
      </c>
      <c r="E353" s="21">
        <v>20500</v>
      </c>
      <c r="F353" s="21">
        <v>20500</v>
      </c>
      <c r="G353" s="12">
        <v>0</v>
      </c>
      <c r="H353" s="14">
        <f t="shared" si="13"/>
        <v>0</v>
      </c>
      <c r="I353" s="14">
        <v>0</v>
      </c>
      <c r="J353" s="14">
        <v>0</v>
      </c>
      <c r="K353" s="14">
        <f t="shared" si="14"/>
        <v>0</v>
      </c>
      <c r="L353" s="14">
        <v>0</v>
      </c>
      <c r="M353" s="14">
        <v>0</v>
      </c>
      <c r="N353" s="14">
        <f t="shared" si="15"/>
        <v>0</v>
      </c>
      <c r="O353" s="14">
        <f t="shared" si="15"/>
        <v>0</v>
      </c>
      <c r="P353" s="4">
        <f t="shared" si="15"/>
        <v>0</v>
      </c>
      <c r="Q353" s="4" t="str">
        <f>IFERROR(SUM(M349:M353)/SUM(J349:J353),"")</f>
        <v/>
      </c>
    </row>
    <row r="354" spans="2:21" x14ac:dyDescent="0.4">
      <c r="B354" s="16">
        <v>42905</v>
      </c>
      <c r="C354" s="21">
        <v>20500</v>
      </c>
      <c r="D354" s="21">
        <v>20500</v>
      </c>
      <c r="E354" s="21">
        <v>20500</v>
      </c>
      <c r="F354" s="21">
        <v>20500</v>
      </c>
      <c r="G354" s="12">
        <v>0</v>
      </c>
      <c r="H354" s="14">
        <f t="shared" si="13"/>
        <v>0</v>
      </c>
      <c r="I354" s="14">
        <v>0</v>
      </c>
      <c r="J354" s="14">
        <v>0</v>
      </c>
      <c r="K354" s="14">
        <f t="shared" si="14"/>
        <v>0</v>
      </c>
      <c r="L354" s="14">
        <v>0</v>
      </c>
      <c r="M354" s="14">
        <v>0</v>
      </c>
      <c r="N354" s="14">
        <f t="shared" si="15"/>
        <v>0</v>
      </c>
      <c r="O354" s="14">
        <f t="shared" si="15"/>
        <v>0</v>
      </c>
      <c r="P354" s="4">
        <f t="shared" si="15"/>
        <v>0</v>
      </c>
      <c r="Q354" s="22"/>
    </row>
    <row r="355" spans="2:21" x14ac:dyDescent="0.4">
      <c r="B355" s="16">
        <v>42906</v>
      </c>
      <c r="C355" s="21">
        <v>20500</v>
      </c>
      <c r="D355" s="21">
        <v>20500</v>
      </c>
      <c r="E355" s="21">
        <v>20500</v>
      </c>
      <c r="F355" s="21">
        <v>20500</v>
      </c>
      <c r="G355" s="12">
        <v>0</v>
      </c>
      <c r="H355" s="14">
        <f t="shared" si="13"/>
        <v>0</v>
      </c>
      <c r="I355" s="14">
        <v>0</v>
      </c>
      <c r="J355" s="14">
        <v>0</v>
      </c>
      <c r="K355" s="14">
        <f t="shared" si="14"/>
        <v>0</v>
      </c>
      <c r="L355" s="14">
        <v>0</v>
      </c>
      <c r="M355" s="14">
        <v>0</v>
      </c>
      <c r="N355" s="14">
        <f t="shared" si="15"/>
        <v>0</v>
      </c>
      <c r="O355" s="14">
        <f t="shared" si="15"/>
        <v>0</v>
      </c>
      <c r="P355" s="4">
        <f t="shared" si="15"/>
        <v>0</v>
      </c>
      <c r="Q355" s="22"/>
    </row>
    <row r="356" spans="2:21" x14ac:dyDescent="0.4">
      <c r="B356" s="16">
        <v>42907</v>
      </c>
      <c r="C356" s="21">
        <v>20500</v>
      </c>
      <c r="D356" s="21">
        <v>20500</v>
      </c>
      <c r="E356" s="21">
        <v>20500</v>
      </c>
      <c r="F356" s="21">
        <v>20500</v>
      </c>
      <c r="G356" s="12">
        <v>0</v>
      </c>
      <c r="H356" s="14">
        <f t="shared" si="13"/>
        <v>0</v>
      </c>
      <c r="I356" s="14">
        <v>0</v>
      </c>
      <c r="J356" s="14">
        <v>0</v>
      </c>
      <c r="K356" s="14">
        <f t="shared" si="14"/>
        <v>0</v>
      </c>
      <c r="L356" s="14">
        <v>0</v>
      </c>
      <c r="M356" s="14">
        <v>0</v>
      </c>
      <c r="N356" s="14">
        <f t="shared" si="15"/>
        <v>0</v>
      </c>
      <c r="O356" s="14">
        <f t="shared" si="15"/>
        <v>0</v>
      </c>
      <c r="P356" s="4">
        <f t="shared" si="15"/>
        <v>0</v>
      </c>
      <c r="Q356" s="22"/>
    </row>
    <row r="357" spans="2:21" x14ac:dyDescent="0.4">
      <c r="B357" s="16">
        <v>42908</v>
      </c>
      <c r="C357" s="21">
        <v>20500</v>
      </c>
      <c r="D357" s="21">
        <v>20500</v>
      </c>
      <c r="E357" s="21">
        <v>20500</v>
      </c>
      <c r="F357" s="21">
        <v>20500</v>
      </c>
      <c r="G357" s="12">
        <v>0</v>
      </c>
      <c r="H357" s="14">
        <f t="shared" si="13"/>
        <v>0</v>
      </c>
      <c r="I357" s="14">
        <v>0</v>
      </c>
      <c r="J357" s="14">
        <v>0</v>
      </c>
      <c r="K357" s="14">
        <f t="shared" si="14"/>
        <v>0</v>
      </c>
      <c r="L357" s="14">
        <v>0</v>
      </c>
      <c r="M357" s="14">
        <v>0</v>
      </c>
      <c r="N357" s="14">
        <f t="shared" si="15"/>
        <v>0</v>
      </c>
      <c r="O357" s="14">
        <f t="shared" si="15"/>
        <v>0</v>
      </c>
      <c r="P357" s="4">
        <f t="shared" si="15"/>
        <v>0</v>
      </c>
      <c r="Q357" s="22"/>
    </row>
    <row r="358" spans="2:21" x14ac:dyDescent="0.4">
      <c r="B358" s="16">
        <v>42909</v>
      </c>
      <c r="C358" s="21">
        <v>20800</v>
      </c>
      <c r="D358" s="21">
        <v>20800</v>
      </c>
      <c r="E358" s="21">
        <v>20800</v>
      </c>
      <c r="F358" s="21">
        <v>20800</v>
      </c>
      <c r="G358" s="12">
        <v>0</v>
      </c>
      <c r="H358" s="14">
        <f t="shared" si="13"/>
        <v>0</v>
      </c>
      <c r="I358" s="14">
        <v>0</v>
      </c>
      <c r="J358" s="14">
        <v>0</v>
      </c>
      <c r="K358" s="14">
        <f t="shared" si="14"/>
        <v>0</v>
      </c>
      <c r="L358" s="14">
        <v>0</v>
      </c>
      <c r="M358" s="14">
        <v>0</v>
      </c>
      <c r="N358" s="14">
        <f t="shared" si="15"/>
        <v>0</v>
      </c>
      <c r="O358" s="14">
        <f t="shared" si="15"/>
        <v>0</v>
      </c>
      <c r="P358" s="4">
        <f t="shared" si="15"/>
        <v>0</v>
      </c>
      <c r="Q358" s="4" t="str">
        <f>IFERROR(SUM(M354:M358)/SUM(J354:J358),"")</f>
        <v/>
      </c>
    </row>
    <row r="359" spans="2:21" x14ac:dyDescent="0.4">
      <c r="B359" s="16">
        <v>42912</v>
      </c>
      <c r="C359" s="21">
        <v>20800</v>
      </c>
      <c r="D359" s="21">
        <v>20800</v>
      </c>
      <c r="E359" s="21">
        <v>20800</v>
      </c>
      <c r="F359" s="21">
        <v>20800</v>
      </c>
      <c r="G359" s="12">
        <v>0</v>
      </c>
      <c r="H359" s="14">
        <f t="shared" si="13"/>
        <v>0</v>
      </c>
      <c r="I359" s="14">
        <v>0</v>
      </c>
      <c r="J359" s="14">
        <v>0</v>
      </c>
      <c r="K359" s="14">
        <f t="shared" si="14"/>
        <v>0</v>
      </c>
      <c r="L359" s="14">
        <v>0</v>
      </c>
      <c r="M359" s="14">
        <v>0</v>
      </c>
      <c r="N359" s="14">
        <f t="shared" si="15"/>
        <v>0</v>
      </c>
      <c r="O359" s="14">
        <f t="shared" si="15"/>
        <v>0</v>
      </c>
      <c r="P359" s="4">
        <f t="shared" si="15"/>
        <v>0</v>
      </c>
      <c r="Q359" s="22"/>
    </row>
    <row r="360" spans="2:21" x14ac:dyDescent="0.4">
      <c r="B360" s="16">
        <v>42913</v>
      </c>
      <c r="C360" s="21">
        <v>20800</v>
      </c>
      <c r="D360" s="21">
        <v>20800</v>
      </c>
      <c r="E360" s="21">
        <v>20800</v>
      </c>
      <c r="F360" s="21">
        <v>20800</v>
      </c>
      <c r="G360" s="12">
        <v>0</v>
      </c>
      <c r="H360" s="14">
        <f t="shared" si="13"/>
        <v>0</v>
      </c>
      <c r="I360" s="14">
        <v>0</v>
      </c>
      <c r="J360" s="14">
        <v>0</v>
      </c>
      <c r="K360" s="14">
        <f t="shared" si="14"/>
        <v>0</v>
      </c>
      <c r="L360" s="14">
        <v>0</v>
      </c>
      <c r="M360" s="14">
        <v>0</v>
      </c>
      <c r="N360" s="14">
        <f t="shared" si="15"/>
        <v>0</v>
      </c>
      <c r="O360" s="14">
        <f t="shared" si="15"/>
        <v>0</v>
      </c>
      <c r="P360" s="4">
        <f t="shared" si="15"/>
        <v>0</v>
      </c>
      <c r="Q360" s="22"/>
    </row>
    <row r="361" spans="2:21" x14ac:dyDescent="0.4">
      <c r="B361" s="16">
        <v>42914</v>
      </c>
      <c r="C361" s="21">
        <v>20800</v>
      </c>
      <c r="D361" s="21">
        <v>20800</v>
      </c>
      <c r="E361" s="21">
        <v>20800</v>
      </c>
      <c r="F361" s="21">
        <v>20800</v>
      </c>
      <c r="G361" s="12">
        <v>0</v>
      </c>
      <c r="H361" s="14">
        <f t="shared" si="13"/>
        <v>0</v>
      </c>
      <c r="I361" s="14">
        <v>0</v>
      </c>
      <c r="J361" s="14">
        <v>0</v>
      </c>
      <c r="K361" s="14">
        <f t="shared" si="14"/>
        <v>0</v>
      </c>
      <c r="L361" s="14">
        <v>0</v>
      </c>
      <c r="M361" s="14">
        <v>0</v>
      </c>
      <c r="N361" s="14">
        <f t="shared" si="15"/>
        <v>0</v>
      </c>
      <c r="O361" s="14">
        <f t="shared" si="15"/>
        <v>0</v>
      </c>
      <c r="P361" s="4">
        <f t="shared" si="15"/>
        <v>0</v>
      </c>
      <c r="Q361" s="22"/>
    </row>
    <row r="362" spans="2:21" x14ac:dyDescent="0.4">
      <c r="B362" s="16">
        <v>42915</v>
      </c>
      <c r="C362" s="21">
        <v>20800</v>
      </c>
      <c r="D362" s="21">
        <v>20800</v>
      </c>
      <c r="E362" s="21">
        <v>20800</v>
      </c>
      <c r="F362" s="21">
        <v>20800</v>
      </c>
      <c r="G362" s="12">
        <v>0</v>
      </c>
      <c r="H362" s="14">
        <f t="shared" si="13"/>
        <v>0</v>
      </c>
      <c r="I362" s="14">
        <v>0</v>
      </c>
      <c r="J362" s="14">
        <v>0</v>
      </c>
      <c r="K362" s="14">
        <f t="shared" si="14"/>
        <v>0</v>
      </c>
      <c r="L362" s="14">
        <v>0</v>
      </c>
      <c r="M362" s="14">
        <v>0</v>
      </c>
      <c r="N362" s="14">
        <f t="shared" si="15"/>
        <v>0</v>
      </c>
      <c r="O362" s="14">
        <f t="shared" si="15"/>
        <v>0</v>
      </c>
      <c r="P362" s="4">
        <f t="shared" si="15"/>
        <v>0</v>
      </c>
      <c r="Q362" s="22"/>
    </row>
    <row r="363" spans="2:21" x14ac:dyDescent="0.4">
      <c r="B363" s="16">
        <v>42916</v>
      </c>
      <c r="C363" s="21">
        <v>20800</v>
      </c>
      <c r="D363" s="21">
        <v>20800</v>
      </c>
      <c r="E363" s="21">
        <v>20800</v>
      </c>
      <c r="F363" s="21">
        <v>20800</v>
      </c>
      <c r="G363" s="12">
        <v>0</v>
      </c>
      <c r="H363" s="14">
        <f t="shared" si="13"/>
        <v>0</v>
      </c>
      <c r="I363" s="14">
        <v>0</v>
      </c>
      <c r="J363" s="14">
        <v>0</v>
      </c>
      <c r="K363" s="14">
        <f t="shared" si="14"/>
        <v>0</v>
      </c>
      <c r="L363" s="14">
        <v>0</v>
      </c>
      <c r="M363" s="14">
        <v>0</v>
      </c>
      <c r="N363" s="14">
        <f t="shared" si="15"/>
        <v>0</v>
      </c>
      <c r="O363" s="14">
        <f t="shared" si="15"/>
        <v>0</v>
      </c>
      <c r="P363" s="4">
        <f t="shared" si="15"/>
        <v>0</v>
      </c>
      <c r="Q363" s="4" t="str">
        <f>IFERROR(SUM(M359:M363)/SUM(J359:J363),"")</f>
        <v/>
      </c>
    </row>
    <row r="364" spans="2:21" x14ac:dyDescent="0.4">
      <c r="H364" s="90">
        <f t="shared" ref="H364:M364" si="16">SUM(H117:H363)</f>
        <v>455038</v>
      </c>
      <c r="I364" s="90">
        <f t="shared" si="16"/>
        <v>26870</v>
      </c>
      <c r="J364" s="90">
        <f t="shared" si="16"/>
        <v>481908</v>
      </c>
      <c r="K364" s="90">
        <f t="shared" si="16"/>
        <v>8967015000</v>
      </c>
      <c r="L364" s="90">
        <f t="shared" si="16"/>
        <v>559252000</v>
      </c>
      <c r="M364" s="90">
        <f t="shared" si="16"/>
        <v>9526267000</v>
      </c>
    </row>
    <row r="365" spans="2:21" x14ac:dyDescent="0.4">
      <c r="H365" s="90"/>
      <c r="I365" s="90"/>
      <c r="J365" s="91">
        <f>I364/J364</f>
        <v>5.5757530482996753E-2</v>
      </c>
      <c r="K365" s="90">
        <f>K364/H364</f>
        <v>19706.079492262186</v>
      </c>
      <c r="L365" s="90">
        <f>L364/I364</f>
        <v>20813.248976553776</v>
      </c>
      <c r="M365" s="90">
        <f>M364/J364</f>
        <v>19767.812528532417</v>
      </c>
      <c r="S365" s="17"/>
      <c r="U365" s="17"/>
    </row>
    <row r="366" spans="2:21" x14ac:dyDescent="0.4">
      <c r="S366" s="43"/>
      <c r="U366" s="24"/>
    </row>
    <row r="370" spans="19:21" x14ac:dyDescent="0.4">
      <c r="S370" s="17"/>
      <c r="T370" s="17"/>
      <c r="U370" s="17"/>
    </row>
    <row r="371" spans="19:21" x14ac:dyDescent="0.4">
      <c r="U371" s="92"/>
    </row>
  </sheetData>
  <autoFilter ref="C5:Q363" xr:uid="{00000000-0009-0000-0000-00000B000000}"/>
  <mergeCells count="6">
    <mergeCell ref="B2:Q2"/>
    <mergeCell ref="B4:B5"/>
    <mergeCell ref="C4:G4"/>
    <mergeCell ref="H4:J4"/>
    <mergeCell ref="K4:M4"/>
    <mergeCell ref="N4:P4"/>
  </mergeCells>
  <phoneticPr fontId="1" type="noConversion"/>
  <conditionalFormatting sqref="G6:G179 G181 G183 G185 G187:G192">
    <cfRule type="iconSet" priority="120">
      <iconSet iconSet="3Arrows">
        <cfvo type="percent" val="0"/>
        <cfvo type="num" val="0"/>
        <cfvo type="num" val="0" gte="0"/>
      </iconSet>
    </cfRule>
  </conditionalFormatting>
  <conditionalFormatting sqref="G180 G182 G184 G186">
    <cfRule type="iconSet" priority="119">
      <iconSet iconSet="3Arrows">
        <cfvo type="percent" val="0"/>
        <cfvo type="num" val="0"/>
        <cfvo type="num" val="0" gte="0"/>
      </iconSet>
    </cfRule>
  </conditionalFormatting>
  <conditionalFormatting sqref="G193">
    <cfRule type="iconSet" priority="118">
      <iconSet iconSet="3Arrows">
        <cfvo type="percent" val="0"/>
        <cfvo type="num" val="0"/>
        <cfvo type="num" val="0" gte="0"/>
      </iconSet>
    </cfRule>
  </conditionalFormatting>
  <conditionalFormatting sqref="G194">
    <cfRule type="iconSet" priority="117">
      <iconSet iconSet="3Arrows">
        <cfvo type="percent" val="0"/>
        <cfvo type="num" val="0"/>
        <cfvo type="num" val="0" gte="0"/>
      </iconSet>
    </cfRule>
  </conditionalFormatting>
  <conditionalFormatting sqref="G195">
    <cfRule type="iconSet" priority="116">
      <iconSet iconSet="3Arrows">
        <cfvo type="percent" val="0"/>
        <cfvo type="num" val="0"/>
        <cfvo type="num" val="0" gte="0"/>
      </iconSet>
    </cfRule>
  </conditionalFormatting>
  <conditionalFormatting sqref="G196">
    <cfRule type="iconSet" priority="115">
      <iconSet iconSet="3Arrows">
        <cfvo type="percent" val="0"/>
        <cfvo type="num" val="0"/>
        <cfvo type="num" val="0" gte="0"/>
      </iconSet>
    </cfRule>
  </conditionalFormatting>
  <conditionalFormatting sqref="G197">
    <cfRule type="iconSet" priority="114">
      <iconSet iconSet="3Arrows">
        <cfvo type="percent" val="0"/>
        <cfvo type="num" val="0"/>
        <cfvo type="num" val="0" gte="0"/>
      </iconSet>
    </cfRule>
  </conditionalFormatting>
  <conditionalFormatting sqref="G198">
    <cfRule type="iconSet" priority="113">
      <iconSet iconSet="3Arrows">
        <cfvo type="percent" val="0"/>
        <cfvo type="num" val="0"/>
        <cfvo type="num" val="0" gte="0"/>
      </iconSet>
    </cfRule>
  </conditionalFormatting>
  <conditionalFormatting sqref="G199">
    <cfRule type="iconSet" priority="112">
      <iconSet iconSet="3Arrows">
        <cfvo type="percent" val="0"/>
        <cfvo type="num" val="0"/>
        <cfvo type="num" val="0" gte="0"/>
      </iconSet>
    </cfRule>
  </conditionalFormatting>
  <conditionalFormatting sqref="G200">
    <cfRule type="iconSet" priority="111">
      <iconSet iconSet="3Arrows">
        <cfvo type="percent" val="0"/>
        <cfvo type="num" val="0"/>
        <cfvo type="num" val="0" gte="0"/>
      </iconSet>
    </cfRule>
  </conditionalFormatting>
  <conditionalFormatting sqref="G201">
    <cfRule type="iconSet" priority="110">
      <iconSet iconSet="3Arrows">
        <cfvo type="percent" val="0"/>
        <cfvo type="num" val="0"/>
        <cfvo type="num" val="0" gte="0"/>
      </iconSet>
    </cfRule>
  </conditionalFormatting>
  <conditionalFormatting sqref="G202">
    <cfRule type="iconSet" priority="109">
      <iconSet iconSet="3Arrows">
        <cfvo type="percent" val="0"/>
        <cfvo type="num" val="0"/>
        <cfvo type="num" val="0" gte="0"/>
      </iconSet>
    </cfRule>
  </conditionalFormatting>
  <conditionalFormatting sqref="G203">
    <cfRule type="iconSet" priority="108">
      <iconSet iconSet="3Arrows">
        <cfvo type="percent" val="0"/>
        <cfvo type="num" val="0"/>
        <cfvo type="num" val="0" gte="0"/>
      </iconSet>
    </cfRule>
  </conditionalFormatting>
  <conditionalFormatting sqref="G204">
    <cfRule type="iconSet" priority="107">
      <iconSet iconSet="3Arrows">
        <cfvo type="percent" val="0"/>
        <cfvo type="num" val="0"/>
        <cfvo type="num" val="0" gte="0"/>
      </iconSet>
    </cfRule>
  </conditionalFormatting>
  <conditionalFormatting sqref="G205">
    <cfRule type="iconSet" priority="106">
      <iconSet iconSet="3Arrows">
        <cfvo type="percent" val="0"/>
        <cfvo type="num" val="0"/>
        <cfvo type="num" val="0" gte="0"/>
      </iconSet>
    </cfRule>
  </conditionalFormatting>
  <conditionalFormatting sqref="G206">
    <cfRule type="iconSet" priority="105">
      <iconSet iconSet="3Arrows">
        <cfvo type="percent" val="0"/>
        <cfvo type="num" val="0"/>
        <cfvo type="num" val="0" gte="0"/>
      </iconSet>
    </cfRule>
  </conditionalFormatting>
  <conditionalFormatting sqref="G207">
    <cfRule type="iconSet" priority="104">
      <iconSet iconSet="3Arrows">
        <cfvo type="percent" val="0"/>
        <cfvo type="num" val="0"/>
        <cfvo type="num" val="0" gte="0"/>
      </iconSet>
    </cfRule>
  </conditionalFormatting>
  <conditionalFormatting sqref="G208">
    <cfRule type="iconSet" priority="103">
      <iconSet iconSet="3Arrows">
        <cfvo type="percent" val="0"/>
        <cfvo type="num" val="0"/>
        <cfvo type="num" val="0" gte="0"/>
      </iconSet>
    </cfRule>
  </conditionalFormatting>
  <conditionalFormatting sqref="G209">
    <cfRule type="iconSet" priority="102">
      <iconSet iconSet="3Arrows">
        <cfvo type="percent" val="0"/>
        <cfvo type="num" val="0"/>
        <cfvo type="num" val="0" gte="0"/>
      </iconSet>
    </cfRule>
  </conditionalFormatting>
  <conditionalFormatting sqref="G210">
    <cfRule type="iconSet" priority="101">
      <iconSet iconSet="3Arrows">
        <cfvo type="percent" val="0"/>
        <cfvo type="num" val="0"/>
        <cfvo type="num" val="0" gte="0"/>
      </iconSet>
    </cfRule>
  </conditionalFormatting>
  <conditionalFormatting sqref="G211">
    <cfRule type="iconSet" priority="100">
      <iconSet iconSet="3Arrows">
        <cfvo type="percent" val="0"/>
        <cfvo type="num" val="0"/>
        <cfvo type="num" val="0" gte="0"/>
      </iconSet>
    </cfRule>
  </conditionalFormatting>
  <conditionalFormatting sqref="G212">
    <cfRule type="iconSet" priority="99">
      <iconSet iconSet="3Arrows">
        <cfvo type="percent" val="0"/>
        <cfvo type="num" val="0"/>
        <cfvo type="num" val="0" gte="0"/>
      </iconSet>
    </cfRule>
  </conditionalFormatting>
  <conditionalFormatting sqref="G213">
    <cfRule type="iconSet" priority="98">
      <iconSet iconSet="3Arrows">
        <cfvo type="percent" val="0"/>
        <cfvo type="num" val="0"/>
        <cfvo type="num" val="0" gte="0"/>
      </iconSet>
    </cfRule>
  </conditionalFormatting>
  <conditionalFormatting sqref="G214">
    <cfRule type="iconSet" priority="97">
      <iconSet iconSet="3Arrows">
        <cfvo type="percent" val="0"/>
        <cfvo type="num" val="0"/>
        <cfvo type="num" val="0" gte="0"/>
      </iconSet>
    </cfRule>
  </conditionalFormatting>
  <conditionalFormatting sqref="G215">
    <cfRule type="iconSet" priority="96">
      <iconSet iconSet="3Arrows">
        <cfvo type="percent" val="0"/>
        <cfvo type="num" val="0"/>
        <cfvo type="num" val="0" gte="0"/>
      </iconSet>
    </cfRule>
  </conditionalFormatting>
  <conditionalFormatting sqref="G216">
    <cfRule type="iconSet" priority="95">
      <iconSet iconSet="3Arrows">
        <cfvo type="percent" val="0"/>
        <cfvo type="num" val="0"/>
        <cfvo type="num" val="0" gte="0"/>
      </iconSet>
    </cfRule>
  </conditionalFormatting>
  <conditionalFormatting sqref="G217">
    <cfRule type="iconSet" priority="94">
      <iconSet iconSet="3Arrows">
        <cfvo type="percent" val="0"/>
        <cfvo type="num" val="0"/>
        <cfvo type="num" val="0" gte="0"/>
      </iconSet>
    </cfRule>
  </conditionalFormatting>
  <conditionalFormatting sqref="G218">
    <cfRule type="iconSet" priority="93">
      <iconSet iconSet="3Arrows">
        <cfvo type="percent" val="0"/>
        <cfvo type="num" val="0"/>
        <cfvo type="num" val="0" gte="0"/>
      </iconSet>
    </cfRule>
  </conditionalFormatting>
  <conditionalFormatting sqref="G219:G220">
    <cfRule type="iconSet" priority="92">
      <iconSet iconSet="3Arrows">
        <cfvo type="percent" val="0"/>
        <cfvo type="num" val="0"/>
        <cfvo type="num" val="0" gte="0"/>
      </iconSet>
    </cfRule>
  </conditionalFormatting>
  <conditionalFormatting sqref="G221">
    <cfRule type="iconSet" priority="91">
      <iconSet iconSet="3Arrows">
        <cfvo type="percent" val="0"/>
        <cfvo type="num" val="0"/>
        <cfvo type="num" val="0" gte="0"/>
      </iconSet>
    </cfRule>
  </conditionalFormatting>
  <conditionalFormatting sqref="G222">
    <cfRule type="iconSet" priority="90">
      <iconSet iconSet="3Arrows">
        <cfvo type="percent" val="0"/>
        <cfvo type="num" val="0"/>
        <cfvo type="num" val="0" gte="0"/>
      </iconSet>
    </cfRule>
  </conditionalFormatting>
  <conditionalFormatting sqref="G223">
    <cfRule type="iconSet" priority="89">
      <iconSet iconSet="3Arrows">
        <cfvo type="percent" val="0"/>
        <cfvo type="num" val="0"/>
        <cfvo type="num" val="0" gte="0"/>
      </iconSet>
    </cfRule>
  </conditionalFormatting>
  <conditionalFormatting sqref="G224">
    <cfRule type="iconSet" priority="88">
      <iconSet iconSet="3Arrows">
        <cfvo type="percent" val="0"/>
        <cfvo type="num" val="0"/>
        <cfvo type="num" val="0" gte="0"/>
      </iconSet>
    </cfRule>
  </conditionalFormatting>
  <conditionalFormatting sqref="G225">
    <cfRule type="iconSet" priority="87">
      <iconSet iconSet="3Arrows">
        <cfvo type="percent" val="0"/>
        <cfvo type="num" val="0"/>
        <cfvo type="num" val="0" gte="0"/>
      </iconSet>
    </cfRule>
  </conditionalFormatting>
  <conditionalFormatting sqref="G226">
    <cfRule type="iconSet" priority="86">
      <iconSet iconSet="3Arrows">
        <cfvo type="percent" val="0"/>
        <cfvo type="num" val="0"/>
        <cfvo type="num" val="0" gte="0"/>
      </iconSet>
    </cfRule>
  </conditionalFormatting>
  <conditionalFormatting sqref="G227">
    <cfRule type="iconSet" priority="85">
      <iconSet iconSet="3Arrows">
        <cfvo type="percent" val="0"/>
        <cfvo type="num" val="0"/>
        <cfvo type="num" val="0" gte="0"/>
      </iconSet>
    </cfRule>
  </conditionalFormatting>
  <conditionalFormatting sqref="G228">
    <cfRule type="iconSet" priority="84">
      <iconSet iconSet="3Arrows">
        <cfvo type="percent" val="0"/>
        <cfvo type="num" val="0"/>
        <cfvo type="num" val="0" gte="0"/>
      </iconSet>
    </cfRule>
  </conditionalFormatting>
  <conditionalFormatting sqref="G229">
    <cfRule type="iconSet" priority="83">
      <iconSet iconSet="3Arrows">
        <cfvo type="percent" val="0"/>
        <cfvo type="num" val="0"/>
        <cfvo type="num" val="0" gte="0"/>
      </iconSet>
    </cfRule>
  </conditionalFormatting>
  <conditionalFormatting sqref="G230">
    <cfRule type="iconSet" priority="82">
      <iconSet iconSet="3Arrows">
        <cfvo type="percent" val="0"/>
        <cfvo type="num" val="0"/>
        <cfvo type="num" val="0" gte="0"/>
      </iconSet>
    </cfRule>
  </conditionalFormatting>
  <conditionalFormatting sqref="G231">
    <cfRule type="iconSet" priority="81">
      <iconSet iconSet="3Arrows">
        <cfvo type="percent" val="0"/>
        <cfvo type="num" val="0"/>
        <cfvo type="num" val="0" gte="0"/>
      </iconSet>
    </cfRule>
  </conditionalFormatting>
  <conditionalFormatting sqref="G232">
    <cfRule type="iconSet" priority="80">
      <iconSet iconSet="3Arrows">
        <cfvo type="percent" val="0"/>
        <cfvo type="num" val="0"/>
        <cfvo type="num" val="0" gte="0"/>
      </iconSet>
    </cfRule>
  </conditionalFormatting>
  <conditionalFormatting sqref="G233:G234">
    <cfRule type="iconSet" priority="79">
      <iconSet iconSet="3Arrows">
        <cfvo type="percent" val="0"/>
        <cfvo type="num" val="0"/>
        <cfvo type="num" val="0" gte="0"/>
      </iconSet>
    </cfRule>
  </conditionalFormatting>
  <conditionalFormatting sqref="G235">
    <cfRule type="iconSet" priority="78">
      <iconSet iconSet="3Arrows">
        <cfvo type="percent" val="0"/>
        <cfvo type="num" val="0"/>
        <cfvo type="num" val="0" gte="0"/>
      </iconSet>
    </cfRule>
  </conditionalFormatting>
  <conditionalFormatting sqref="G236">
    <cfRule type="iconSet" priority="77">
      <iconSet iconSet="3Arrows">
        <cfvo type="percent" val="0"/>
        <cfvo type="num" val="0"/>
        <cfvo type="num" val="0" gte="0"/>
      </iconSet>
    </cfRule>
  </conditionalFormatting>
  <conditionalFormatting sqref="G237">
    <cfRule type="iconSet" priority="76">
      <iconSet iconSet="3Arrows">
        <cfvo type="percent" val="0"/>
        <cfvo type="num" val="0"/>
        <cfvo type="num" val="0" gte="0"/>
      </iconSet>
    </cfRule>
  </conditionalFormatting>
  <conditionalFormatting sqref="G238:G241">
    <cfRule type="iconSet" priority="75">
      <iconSet iconSet="3Arrows">
        <cfvo type="percent" val="0"/>
        <cfvo type="num" val="0"/>
        <cfvo type="num" val="0" gte="0"/>
      </iconSet>
    </cfRule>
  </conditionalFormatting>
  <conditionalFormatting sqref="G242:G245">
    <cfRule type="iconSet" priority="74">
      <iconSet iconSet="3Arrows">
        <cfvo type="percent" val="0"/>
        <cfvo type="num" val="0"/>
        <cfvo type="num" val="0" gte="0"/>
      </iconSet>
    </cfRule>
  </conditionalFormatting>
  <conditionalFormatting sqref="G246">
    <cfRule type="iconSet" priority="73">
      <iconSet iconSet="3Arrows">
        <cfvo type="percent" val="0"/>
        <cfvo type="num" val="0"/>
        <cfvo type="num" val="0" gte="0"/>
      </iconSet>
    </cfRule>
  </conditionalFormatting>
  <conditionalFormatting sqref="G247">
    <cfRule type="iconSet" priority="72">
      <iconSet iconSet="3Arrows">
        <cfvo type="percent" val="0"/>
        <cfvo type="num" val="0"/>
        <cfvo type="num" val="0" gte="0"/>
      </iconSet>
    </cfRule>
  </conditionalFormatting>
  <conditionalFormatting sqref="G248">
    <cfRule type="iconSet" priority="71">
      <iconSet iconSet="3Arrows">
        <cfvo type="percent" val="0"/>
        <cfvo type="num" val="0"/>
        <cfvo type="num" val="0" gte="0"/>
      </iconSet>
    </cfRule>
  </conditionalFormatting>
  <conditionalFormatting sqref="G249">
    <cfRule type="iconSet" priority="70">
      <iconSet iconSet="3Arrows">
        <cfvo type="percent" val="0"/>
        <cfvo type="num" val="0"/>
        <cfvo type="num" val="0" gte="0"/>
      </iconSet>
    </cfRule>
  </conditionalFormatting>
  <conditionalFormatting sqref="G250">
    <cfRule type="iconSet" priority="69">
      <iconSet iconSet="3Arrows">
        <cfvo type="percent" val="0"/>
        <cfvo type="num" val="0"/>
        <cfvo type="num" val="0" gte="0"/>
      </iconSet>
    </cfRule>
  </conditionalFormatting>
  <conditionalFormatting sqref="G251">
    <cfRule type="iconSet" priority="68">
      <iconSet iconSet="3Arrows">
        <cfvo type="percent" val="0"/>
        <cfvo type="num" val="0"/>
        <cfvo type="num" val="0" gte="0"/>
      </iconSet>
    </cfRule>
  </conditionalFormatting>
  <conditionalFormatting sqref="G252">
    <cfRule type="iconSet" priority="67">
      <iconSet iconSet="3Arrows">
        <cfvo type="percent" val="0"/>
        <cfvo type="num" val="0"/>
        <cfvo type="num" val="0" gte="0"/>
      </iconSet>
    </cfRule>
  </conditionalFormatting>
  <conditionalFormatting sqref="G253">
    <cfRule type="iconSet" priority="66">
      <iconSet iconSet="3Arrows">
        <cfvo type="percent" val="0"/>
        <cfvo type="num" val="0"/>
        <cfvo type="num" val="0" gte="0"/>
      </iconSet>
    </cfRule>
  </conditionalFormatting>
  <conditionalFormatting sqref="G254">
    <cfRule type="iconSet" priority="65">
      <iconSet iconSet="3Arrows">
        <cfvo type="percent" val="0"/>
        <cfvo type="num" val="0"/>
        <cfvo type="num" val="0" gte="0"/>
      </iconSet>
    </cfRule>
  </conditionalFormatting>
  <conditionalFormatting sqref="G255">
    <cfRule type="iconSet" priority="64">
      <iconSet iconSet="3Arrows">
        <cfvo type="percent" val="0"/>
        <cfvo type="num" val="0"/>
        <cfvo type="num" val="0" gte="0"/>
      </iconSet>
    </cfRule>
  </conditionalFormatting>
  <conditionalFormatting sqref="G256">
    <cfRule type="iconSet" priority="63">
      <iconSet iconSet="3Arrows">
        <cfvo type="percent" val="0"/>
        <cfvo type="num" val="0"/>
        <cfvo type="num" val="0" gte="0"/>
      </iconSet>
    </cfRule>
  </conditionalFormatting>
  <conditionalFormatting sqref="G257">
    <cfRule type="iconSet" priority="62">
      <iconSet iconSet="3Arrows">
        <cfvo type="percent" val="0"/>
        <cfvo type="num" val="0"/>
        <cfvo type="num" val="0" gte="0"/>
      </iconSet>
    </cfRule>
  </conditionalFormatting>
  <conditionalFormatting sqref="G258">
    <cfRule type="iconSet" priority="61">
      <iconSet iconSet="3Arrows">
        <cfvo type="percent" val="0"/>
        <cfvo type="num" val="0"/>
        <cfvo type="num" val="0" gte="0"/>
      </iconSet>
    </cfRule>
  </conditionalFormatting>
  <conditionalFormatting sqref="G259:G260">
    <cfRule type="iconSet" priority="60">
      <iconSet iconSet="3Arrows">
        <cfvo type="percent" val="0"/>
        <cfvo type="num" val="0"/>
        <cfvo type="num" val="0" gte="0"/>
      </iconSet>
    </cfRule>
  </conditionalFormatting>
  <conditionalFormatting sqref="G261">
    <cfRule type="iconSet" priority="59">
      <iconSet iconSet="3Arrows">
        <cfvo type="percent" val="0"/>
        <cfvo type="num" val="0"/>
        <cfvo type="num" val="0" gte="0"/>
      </iconSet>
    </cfRule>
  </conditionalFormatting>
  <conditionalFormatting sqref="G262">
    <cfRule type="iconSet" priority="58">
      <iconSet iconSet="3Arrows">
        <cfvo type="percent" val="0"/>
        <cfvo type="num" val="0"/>
        <cfvo type="num" val="0" gte="0"/>
      </iconSet>
    </cfRule>
  </conditionalFormatting>
  <conditionalFormatting sqref="G263:G264">
    <cfRule type="iconSet" priority="57">
      <iconSet iconSet="3Arrows">
        <cfvo type="percent" val="0"/>
        <cfvo type="num" val="0"/>
        <cfvo type="num" val="0" gte="0"/>
      </iconSet>
    </cfRule>
  </conditionalFormatting>
  <conditionalFormatting sqref="G265">
    <cfRule type="iconSet" priority="56">
      <iconSet iconSet="3Arrows">
        <cfvo type="percent" val="0"/>
        <cfvo type="num" val="0"/>
        <cfvo type="num" val="0" gte="0"/>
      </iconSet>
    </cfRule>
  </conditionalFormatting>
  <conditionalFormatting sqref="G266">
    <cfRule type="iconSet" priority="55">
      <iconSet iconSet="3Arrows">
        <cfvo type="percent" val="0"/>
        <cfvo type="num" val="0"/>
        <cfvo type="num" val="0" gte="0"/>
      </iconSet>
    </cfRule>
  </conditionalFormatting>
  <conditionalFormatting sqref="G269">
    <cfRule type="iconSet" priority="54">
      <iconSet iconSet="3Arrows">
        <cfvo type="percent" val="0"/>
        <cfvo type="num" val="0"/>
        <cfvo type="num" val="0" gte="0"/>
      </iconSet>
    </cfRule>
  </conditionalFormatting>
  <conditionalFormatting sqref="G270">
    <cfRule type="iconSet" priority="53">
      <iconSet iconSet="3Arrows">
        <cfvo type="percent" val="0"/>
        <cfvo type="num" val="0"/>
        <cfvo type="num" val="0" gte="0"/>
      </iconSet>
    </cfRule>
  </conditionalFormatting>
  <conditionalFormatting sqref="G271">
    <cfRule type="iconSet" priority="52">
      <iconSet iconSet="3Arrows">
        <cfvo type="percent" val="0"/>
        <cfvo type="num" val="0"/>
        <cfvo type="num" val="0" gte="0"/>
      </iconSet>
    </cfRule>
  </conditionalFormatting>
  <conditionalFormatting sqref="G272">
    <cfRule type="iconSet" priority="51">
      <iconSet iconSet="3Arrows">
        <cfvo type="percent" val="0"/>
        <cfvo type="num" val="0"/>
        <cfvo type="num" val="0" gte="0"/>
      </iconSet>
    </cfRule>
  </conditionalFormatting>
  <conditionalFormatting sqref="G273">
    <cfRule type="iconSet" priority="50">
      <iconSet iconSet="3Arrows">
        <cfvo type="percent" val="0"/>
        <cfvo type="num" val="0"/>
        <cfvo type="num" val="0" gte="0"/>
      </iconSet>
    </cfRule>
  </conditionalFormatting>
  <conditionalFormatting sqref="G279">
    <cfRule type="iconSet" priority="49">
      <iconSet iconSet="3Arrows">
        <cfvo type="percent" val="0"/>
        <cfvo type="num" val="0"/>
        <cfvo type="num" val="0" gte="0"/>
      </iconSet>
    </cfRule>
  </conditionalFormatting>
  <conditionalFormatting sqref="G280">
    <cfRule type="iconSet" priority="48">
      <iconSet iconSet="3Arrows">
        <cfvo type="percent" val="0"/>
        <cfvo type="num" val="0"/>
        <cfvo type="num" val="0" gte="0"/>
      </iconSet>
    </cfRule>
  </conditionalFormatting>
  <conditionalFormatting sqref="G283">
    <cfRule type="iconSet" priority="47">
      <iconSet iconSet="3Arrows">
        <cfvo type="percent" val="0"/>
        <cfvo type="num" val="0"/>
        <cfvo type="num" val="0" gte="0"/>
      </iconSet>
    </cfRule>
  </conditionalFormatting>
  <conditionalFormatting sqref="G284">
    <cfRule type="iconSet" priority="46">
      <iconSet iconSet="3Arrows">
        <cfvo type="percent" val="0"/>
        <cfvo type="num" val="0"/>
        <cfvo type="num" val="0" gte="0"/>
      </iconSet>
    </cfRule>
  </conditionalFormatting>
  <conditionalFormatting sqref="G289">
    <cfRule type="iconSet" priority="45">
      <iconSet iconSet="3Arrows">
        <cfvo type="percent" val="0"/>
        <cfvo type="num" val="0"/>
        <cfvo type="num" val="0" gte="0"/>
      </iconSet>
    </cfRule>
  </conditionalFormatting>
  <conditionalFormatting sqref="G290">
    <cfRule type="iconSet" priority="44">
      <iconSet iconSet="3Arrows">
        <cfvo type="percent" val="0"/>
        <cfvo type="num" val="0"/>
        <cfvo type="num" val="0" gte="0"/>
      </iconSet>
    </cfRule>
  </conditionalFormatting>
  <conditionalFormatting sqref="G291">
    <cfRule type="iconSet" priority="43">
      <iconSet iconSet="3Arrows">
        <cfvo type="percent" val="0"/>
        <cfvo type="num" val="0"/>
        <cfvo type="num" val="0" gte="0"/>
      </iconSet>
    </cfRule>
  </conditionalFormatting>
  <conditionalFormatting sqref="G292">
    <cfRule type="iconSet" priority="42">
      <iconSet iconSet="3Arrows">
        <cfvo type="percent" val="0"/>
        <cfvo type="num" val="0"/>
        <cfvo type="num" val="0" gte="0"/>
      </iconSet>
    </cfRule>
  </conditionalFormatting>
  <conditionalFormatting sqref="G293">
    <cfRule type="iconSet" priority="41">
      <iconSet iconSet="3Arrows">
        <cfvo type="percent" val="0"/>
        <cfvo type="num" val="0"/>
        <cfvo type="num" val="0" gte="0"/>
      </iconSet>
    </cfRule>
  </conditionalFormatting>
  <conditionalFormatting sqref="G294">
    <cfRule type="iconSet" priority="40">
      <iconSet iconSet="3Arrows">
        <cfvo type="percent" val="0"/>
        <cfvo type="num" val="0"/>
        <cfvo type="num" val="0" gte="0"/>
      </iconSet>
    </cfRule>
  </conditionalFormatting>
  <conditionalFormatting sqref="G295">
    <cfRule type="iconSet" priority="39">
      <iconSet iconSet="3Arrows">
        <cfvo type="percent" val="0"/>
        <cfvo type="num" val="0"/>
        <cfvo type="num" val="0" gte="0"/>
      </iconSet>
    </cfRule>
  </conditionalFormatting>
  <conditionalFormatting sqref="G296">
    <cfRule type="iconSet" priority="38">
      <iconSet iconSet="3Arrows">
        <cfvo type="percent" val="0"/>
        <cfvo type="num" val="0"/>
        <cfvo type="num" val="0" gte="0"/>
      </iconSet>
    </cfRule>
  </conditionalFormatting>
  <conditionalFormatting sqref="G299">
    <cfRule type="iconSet" priority="37">
      <iconSet iconSet="3Arrows">
        <cfvo type="percent" val="0"/>
        <cfvo type="num" val="0"/>
        <cfvo type="num" val="0" gte="0"/>
      </iconSet>
    </cfRule>
  </conditionalFormatting>
  <conditionalFormatting sqref="G300">
    <cfRule type="iconSet" priority="36">
      <iconSet iconSet="3Arrows">
        <cfvo type="percent" val="0"/>
        <cfvo type="num" val="0"/>
        <cfvo type="num" val="0" gte="0"/>
      </iconSet>
    </cfRule>
  </conditionalFormatting>
  <conditionalFormatting sqref="G301">
    <cfRule type="iconSet" priority="35">
      <iconSet iconSet="3Arrows">
        <cfvo type="percent" val="0"/>
        <cfvo type="num" val="0"/>
        <cfvo type="num" val="0" gte="0"/>
      </iconSet>
    </cfRule>
  </conditionalFormatting>
  <conditionalFormatting sqref="G303">
    <cfRule type="iconSet" priority="34">
      <iconSet iconSet="3Arrows">
        <cfvo type="percent" val="0"/>
        <cfvo type="num" val="0"/>
        <cfvo type="num" val="0" gte="0"/>
      </iconSet>
    </cfRule>
  </conditionalFormatting>
  <conditionalFormatting sqref="G304">
    <cfRule type="iconSet" priority="33">
      <iconSet iconSet="3Arrows">
        <cfvo type="percent" val="0"/>
        <cfvo type="num" val="0"/>
        <cfvo type="num" val="0" gte="0"/>
      </iconSet>
    </cfRule>
  </conditionalFormatting>
  <conditionalFormatting sqref="G306">
    <cfRule type="iconSet" priority="32">
      <iconSet iconSet="3Arrows">
        <cfvo type="percent" val="0"/>
        <cfvo type="num" val="0"/>
        <cfvo type="num" val="0" gte="0"/>
      </iconSet>
    </cfRule>
  </conditionalFormatting>
  <conditionalFormatting sqref="G307">
    <cfRule type="iconSet" priority="31">
      <iconSet iconSet="3Arrows">
        <cfvo type="percent" val="0"/>
        <cfvo type="num" val="0"/>
        <cfvo type="num" val="0" gte="0"/>
      </iconSet>
    </cfRule>
  </conditionalFormatting>
  <conditionalFormatting sqref="G308">
    <cfRule type="iconSet" priority="30">
      <iconSet iconSet="3Arrows">
        <cfvo type="percent" val="0"/>
        <cfvo type="num" val="0"/>
        <cfvo type="num" val="0" gte="0"/>
      </iconSet>
    </cfRule>
  </conditionalFormatting>
  <conditionalFormatting sqref="G309">
    <cfRule type="iconSet" priority="29">
      <iconSet iconSet="3Arrows">
        <cfvo type="percent" val="0"/>
        <cfvo type="num" val="0"/>
        <cfvo type="num" val="0" gte="0"/>
      </iconSet>
    </cfRule>
  </conditionalFormatting>
  <conditionalFormatting sqref="G310">
    <cfRule type="iconSet" priority="28">
      <iconSet iconSet="3Arrows">
        <cfvo type="percent" val="0"/>
        <cfvo type="num" val="0"/>
        <cfvo type="num" val="0" gte="0"/>
      </iconSet>
    </cfRule>
  </conditionalFormatting>
  <conditionalFormatting sqref="G311">
    <cfRule type="iconSet" priority="27">
      <iconSet iconSet="3Arrows">
        <cfvo type="percent" val="0"/>
        <cfvo type="num" val="0"/>
        <cfvo type="num" val="0" gte="0"/>
      </iconSet>
    </cfRule>
  </conditionalFormatting>
  <conditionalFormatting sqref="G313">
    <cfRule type="iconSet" priority="26">
      <iconSet iconSet="3Arrows">
        <cfvo type="percent" val="0"/>
        <cfvo type="num" val="0"/>
        <cfvo type="num" val="0" gte="0"/>
      </iconSet>
    </cfRule>
  </conditionalFormatting>
  <conditionalFormatting sqref="G314">
    <cfRule type="iconSet" priority="25">
      <iconSet iconSet="3Arrows">
        <cfvo type="percent" val="0"/>
        <cfvo type="num" val="0"/>
        <cfvo type="num" val="0" gte="0"/>
      </iconSet>
    </cfRule>
  </conditionalFormatting>
  <conditionalFormatting sqref="G315">
    <cfRule type="iconSet" priority="24">
      <iconSet iconSet="3Arrows">
        <cfvo type="percent" val="0"/>
        <cfvo type="num" val="0"/>
        <cfvo type="num" val="0" gte="0"/>
      </iconSet>
    </cfRule>
  </conditionalFormatting>
  <conditionalFormatting sqref="G316">
    <cfRule type="iconSet" priority="23">
      <iconSet iconSet="3Arrows">
        <cfvo type="percent" val="0"/>
        <cfvo type="num" val="0"/>
        <cfvo type="num" val="0" gte="0"/>
      </iconSet>
    </cfRule>
  </conditionalFormatting>
  <conditionalFormatting sqref="G317">
    <cfRule type="iconSet" priority="22">
      <iconSet iconSet="3Arrows">
        <cfvo type="percent" val="0"/>
        <cfvo type="num" val="0"/>
        <cfvo type="num" val="0" gte="0"/>
      </iconSet>
    </cfRule>
  </conditionalFormatting>
  <conditionalFormatting sqref="G318">
    <cfRule type="iconSet" priority="21">
      <iconSet iconSet="3Arrows">
        <cfvo type="percent" val="0"/>
        <cfvo type="num" val="0"/>
        <cfvo type="num" val="0" gte="0"/>
      </iconSet>
    </cfRule>
  </conditionalFormatting>
  <conditionalFormatting sqref="G319">
    <cfRule type="iconSet" priority="20">
      <iconSet iconSet="3Arrows">
        <cfvo type="percent" val="0"/>
        <cfvo type="num" val="0"/>
        <cfvo type="num" val="0" gte="0"/>
      </iconSet>
    </cfRule>
  </conditionalFormatting>
  <conditionalFormatting sqref="G320">
    <cfRule type="iconSet" priority="19">
      <iconSet iconSet="3Arrows">
        <cfvo type="percent" val="0"/>
        <cfvo type="num" val="0"/>
        <cfvo type="num" val="0" gte="0"/>
      </iconSet>
    </cfRule>
  </conditionalFormatting>
  <conditionalFormatting sqref="G321">
    <cfRule type="iconSet" priority="18">
      <iconSet iconSet="3Arrows">
        <cfvo type="percent" val="0"/>
        <cfvo type="num" val="0"/>
        <cfvo type="num" val="0" gte="0"/>
      </iconSet>
    </cfRule>
  </conditionalFormatting>
  <conditionalFormatting sqref="G323">
    <cfRule type="iconSet" priority="17">
      <iconSet iconSet="3Arrows">
        <cfvo type="percent" val="0"/>
        <cfvo type="num" val="0"/>
        <cfvo type="num" val="0" gte="0"/>
      </iconSet>
    </cfRule>
  </conditionalFormatting>
  <conditionalFormatting sqref="G324">
    <cfRule type="iconSet" priority="16">
      <iconSet iconSet="3Arrows">
        <cfvo type="percent" val="0"/>
        <cfvo type="num" val="0"/>
        <cfvo type="num" val="0" gte="0"/>
      </iconSet>
    </cfRule>
  </conditionalFormatting>
  <conditionalFormatting sqref="G325">
    <cfRule type="iconSet" priority="15">
      <iconSet iconSet="3Arrows">
        <cfvo type="percent" val="0"/>
        <cfvo type="num" val="0"/>
        <cfvo type="num" val="0" gte="0"/>
      </iconSet>
    </cfRule>
  </conditionalFormatting>
  <conditionalFormatting sqref="G326">
    <cfRule type="iconSet" priority="14">
      <iconSet iconSet="3Arrows">
        <cfvo type="percent" val="0"/>
        <cfvo type="num" val="0"/>
        <cfvo type="num" val="0" gte="0"/>
      </iconSet>
    </cfRule>
  </conditionalFormatting>
  <conditionalFormatting sqref="G327">
    <cfRule type="iconSet" priority="13">
      <iconSet iconSet="3Arrows">
        <cfvo type="percent" val="0"/>
        <cfvo type="num" val="0"/>
        <cfvo type="num" val="0" gte="0"/>
      </iconSet>
    </cfRule>
  </conditionalFormatting>
  <conditionalFormatting sqref="G328">
    <cfRule type="iconSet" priority="12">
      <iconSet iconSet="3Arrows">
        <cfvo type="percent" val="0"/>
        <cfvo type="num" val="0"/>
        <cfvo type="num" val="0" gte="0"/>
      </iconSet>
    </cfRule>
  </conditionalFormatting>
  <conditionalFormatting sqref="G329">
    <cfRule type="iconSet" priority="11">
      <iconSet iconSet="3Arrows">
        <cfvo type="percent" val="0"/>
        <cfvo type="num" val="0"/>
        <cfvo type="num" val="0" gte="0"/>
      </iconSet>
    </cfRule>
  </conditionalFormatting>
  <conditionalFormatting sqref="G330">
    <cfRule type="iconSet" priority="10">
      <iconSet iconSet="3Arrows">
        <cfvo type="percent" val="0"/>
        <cfvo type="num" val="0"/>
        <cfvo type="num" val="0" gte="0"/>
      </iconSet>
    </cfRule>
  </conditionalFormatting>
  <conditionalFormatting sqref="G331:G332">
    <cfRule type="iconSet" priority="9">
      <iconSet iconSet="3Arrows">
        <cfvo type="percent" val="0"/>
        <cfvo type="num" val="0"/>
        <cfvo type="num" val="0" gte="0"/>
      </iconSet>
    </cfRule>
  </conditionalFormatting>
  <conditionalFormatting sqref="G344">
    <cfRule type="iconSet" priority="8">
      <iconSet iconSet="3Arrows">
        <cfvo type="percent" val="0"/>
        <cfvo type="num" val="0"/>
        <cfvo type="num" val="0" gte="0"/>
      </iconSet>
    </cfRule>
  </conditionalFormatting>
  <conditionalFormatting sqref="G349">
    <cfRule type="iconSet" priority="7">
      <iconSet iconSet="3Arrows">
        <cfvo type="percent" val="0"/>
        <cfvo type="num" val="0"/>
        <cfvo type="num" val="0" gte="0"/>
      </iconSet>
    </cfRule>
  </conditionalFormatting>
  <conditionalFormatting sqref="G354">
    <cfRule type="iconSet" priority="6">
      <iconSet iconSet="3Arrows">
        <cfvo type="percent" val="0"/>
        <cfvo type="num" val="0"/>
        <cfvo type="num" val="0" gte="0"/>
      </iconSet>
    </cfRule>
  </conditionalFormatting>
  <conditionalFormatting sqref="G355">
    <cfRule type="iconSet" priority="5">
      <iconSet iconSet="3Arrows">
        <cfvo type="percent" val="0"/>
        <cfvo type="num" val="0"/>
        <cfvo type="num" val="0" gte="0"/>
      </iconSet>
    </cfRule>
  </conditionalFormatting>
  <conditionalFormatting sqref="G356">
    <cfRule type="iconSet" priority="4">
      <iconSet iconSet="3Arrows">
        <cfvo type="percent" val="0"/>
        <cfvo type="num" val="0"/>
        <cfvo type="num" val="0" gte="0"/>
      </iconSet>
    </cfRule>
  </conditionalFormatting>
  <conditionalFormatting sqref="G357">
    <cfRule type="iconSet" priority="3">
      <iconSet iconSet="3Arrows">
        <cfvo type="percent" val="0"/>
        <cfvo type="num" val="0"/>
        <cfvo type="num" val="0" gte="0"/>
      </iconSet>
    </cfRule>
  </conditionalFormatting>
  <conditionalFormatting sqref="G360">
    <cfRule type="iconSet" priority="2">
      <iconSet iconSet="3Arrows">
        <cfvo type="percent" val="0"/>
        <cfvo type="num" val="0"/>
        <cfvo type="num" val="0" gte="0"/>
      </iconSet>
    </cfRule>
  </conditionalFormatting>
  <conditionalFormatting sqref="G361">
    <cfRule type="iconSet" priority="1">
      <iconSet iconSet="3Arrows">
        <cfvo type="percent" val="0"/>
        <cfvo type="num" val="0"/>
        <cfvo type="num" val="0" gte="0"/>
      </iconSet>
    </cfRule>
  </conditionalFormatting>
  <conditionalFormatting sqref="G267:G268 G274:G278 G281:G282 G285:G288 G297:G298 G302 G305 G312 G322 G333:G343 G345:G348 G350:G353 G358:G359 G362:G363">
    <cfRule type="iconSet" priority="121">
      <iconSet iconSet="3Arrows">
        <cfvo type="percent" val="0"/>
        <cfvo type="num" val="0"/>
        <cfvo type="num" val="0" gte="0"/>
      </iconSet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E9B92F-DE53-44A2-811E-D9988EC3B57F}">
  <sheetPr codeName="Sheet9">
    <tabColor rgb="FF002060"/>
  </sheetPr>
  <dimension ref="B2:AC154"/>
  <sheetViews>
    <sheetView showGridLines="0" zoomScaleNormal="100" workbookViewId="0">
      <pane xSplit="2" ySplit="5" topLeftCell="G100" activePane="bottomRight" state="frozen"/>
      <selection activeCell="Q175" sqref="Q175"/>
      <selection pane="topRight" activeCell="Q175" sqref="Q175"/>
      <selection pane="bottomLeft" activeCell="Q175" sqref="Q175"/>
      <selection pane="bottomRight" activeCell="Q175" sqref="Q175"/>
    </sheetView>
  </sheetViews>
  <sheetFormatPr defaultColWidth="8.59765625" defaultRowHeight="17.399999999999999" x14ac:dyDescent="0.4"/>
  <cols>
    <col min="1" max="1" width="3" style="5" customWidth="1"/>
    <col min="2" max="2" width="10.09765625" style="5" customWidth="1"/>
    <col min="3" max="3" width="8.59765625" style="5"/>
    <col min="4" max="4" width="8.59765625" style="5" customWidth="1"/>
    <col min="5" max="10" width="8.59765625" style="5"/>
    <col min="11" max="13" width="10.59765625" style="5" bestFit="1" customWidth="1"/>
    <col min="14" max="16" width="8.69921875" style="5" customWidth="1"/>
    <col min="17" max="17" width="11.5" style="5" customWidth="1"/>
    <col min="18" max="18" width="5.19921875" style="5" customWidth="1"/>
    <col min="19" max="29" width="9" customWidth="1"/>
    <col min="30" max="16384" width="8.59765625" style="5"/>
  </cols>
  <sheetData>
    <row r="2" spans="2:29" ht="24" customHeight="1" x14ac:dyDescent="0.4">
      <c r="B2" s="27" t="s">
        <v>18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</row>
    <row r="3" spans="2:29" ht="9" customHeight="1" x14ac:dyDescent="0.4"/>
    <row r="4" spans="2:29" x14ac:dyDescent="0.4">
      <c r="B4" s="29" t="s">
        <v>19</v>
      </c>
      <c r="C4" s="29" t="s">
        <v>5</v>
      </c>
      <c r="D4" s="29"/>
      <c r="E4" s="29"/>
      <c r="F4" s="29"/>
      <c r="G4" s="29"/>
      <c r="H4" s="29" t="s">
        <v>20</v>
      </c>
      <c r="I4" s="29"/>
      <c r="J4" s="29"/>
      <c r="K4" s="29" t="s">
        <v>21</v>
      </c>
      <c r="L4" s="29"/>
      <c r="M4" s="29"/>
      <c r="N4" s="29" t="s">
        <v>22</v>
      </c>
      <c r="O4" s="29"/>
      <c r="P4" s="29"/>
      <c r="Q4" s="30"/>
    </row>
    <row r="5" spans="2:29" ht="15.6" customHeight="1" x14ac:dyDescent="0.4">
      <c r="B5" s="29"/>
      <c r="C5" s="31" t="s">
        <v>7</v>
      </c>
      <c r="D5" s="32" t="s">
        <v>8</v>
      </c>
      <c r="E5" s="31" t="s">
        <v>9</v>
      </c>
      <c r="F5" s="31" t="s">
        <v>10</v>
      </c>
      <c r="G5" s="31" t="s">
        <v>23</v>
      </c>
      <c r="H5" s="31" t="s">
        <v>12</v>
      </c>
      <c r="I5" s="31" t="s">
        <v>24</v>
      </c>
      <c r="J5" s="31" t="s">
        <v>25</v>
      </c>
      <c r="K5" s="31" t="s">
        <v>12</v>
      </c>
      <c r="L5" s="31" t="s">
        <v>24</v>
      </c>
      <c r="M5" s="31" t="s">
        <v>14</v>
      </c>
      <c r="N5" s="31" t="s">
        <v>26</v>
      </c>
      <c r="O5" s="31" t="s">
        <v>13</v>
      </c>
      <c r="P5" s="31" t="s">
        <v>14</v>
      </c>
      <c r="Q5" s="33" t="s">
        <v>27</v>
      </c>
    </row>
    <row r="6" spans="2:29" x14ac:dyDescent="0.4">
      <c r="B6" s="16">
        <v>42829</v>
      </c>
      <c r="C6" s="21">
        <v>19600</v>
      </c>
      <c r="D6" s="21">
        <v>19600</v>
      </c>
      <c r="E6" s="21">
        <v>19600</v>
      </c>
      <c r="F6" s="21">
        <v>19600</v>
      </c>
      <c r="G6" s="12">
        <v>0</v>
      </c>
      <c r="H6" s="14">
        <f t="shared" ref="H6:H127" si="0">J6-I6</f>
        <v>0</v>
      </c>
      <c r="I6" s="14">
        <v>0</v>
      </c>
      <c r="J6" s="14">
        <v>0</v>
      </c>
      <c r="K6" s="14">
        <f t="shared" ref="K6:K127" si="1">M6-L6</f>
        <v>0</v>
      </c>
      <c r="L6" s="14">
        <v>0</v>
      </c>
      <c r="M6" s="14">
        <v>0</v>
      </c>
      <c r="N6" s="14">
        <f>IFERROR(K6/H6,0)</f>
        <v>0</v>
      </c>
      <c r="O6" s="14">
        <f>IFERROR(L6/I6,0)</f>
        <v>0</v>
      </c>
      <c r="P6" s="22">
        <f>IFERROR(M6/J6,0)</f>
        <v>0</v>
      </c>
      <c r="Q6" s="22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</row>
    <row r="7" spans="2:29" x14ac:dyDescent="0.4">
      <c r="B7" s="16">
        <v>42830</v>
      </c>
      <c r="C7" s="21">
        <v>19600</v>
      </c>
      <c r="D7" s="21">
        <v>19600</v>
      </c>
      <c r="E7" s="21">
        <v>19600</v>
      </c>
      <c r="F7" s="21">
        <v>19600</v>
      </c>
      <c r="G7" s="12">
        <v>0</v>
      </c>
      <c r="H7" s="14">
        <f t="shared" si="0"/>
        <v>0</v>
      </c>
      <c r="I7" s="14">
        <v>0</v>
      </c>
      <c r="J7" s="14">
        <v>0</v>
      </c>
      <c r="K7" s="14">
        <f t="shared" si="1"/>
        <v>0</v>
      </c>
      <c r="L7" s="14">
        <v>0</v>
      </c>
      <c r="M7" s="14">
        <v>0</v>
      </c>
      <c r="N7" s="14">
        <f t="shared" ref="N7:P127" si="2">IFERROR(K7/H7,0)</f>
        <v>0</v>
      </c>
      <c r="O7" s="14">
        <f t="shared" si="2"/>
        <v>0</v>
      </c>
      <c r="P7" s="22">
        <f t="shared" si="2"/>
        <v>0</v>
      </c>
      <c r="Q7" s="22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</row>
    <row r="8" spans="2:29" x14ac:dyDescent="0.4">
      <c r="B8" s="16">
        <v>42831</v>
      </c>
      <c r="C8" s="21">
        <v>19600</v>
      </c>
      <c r="D8" s="21">
        <v>19600</v>
      </c>
      <c r="E8" s="21">
        <v>19600</v>
      </c>
      <c r="F8" s="21">
        <v>19600</v>
      </c>
      <c r="G8" s="12">
        <v>0</v>
      </c>
      <c r="H8" s="14">
        <f t="shared" si="0"/>
        <v>0</v>
      </c>
      <c r="I8" s="14">
        <v>0</v>
      </c>
      <c r="J8" s="14">
        <v>0</v>
      </c>
      <c r="K8" s="14">
        <f t="shared" si="1"/>
        <v>0</v>
      </c>
      <c r="L8" s="14">
        <v>0</v>
      </c>
      <c r="M8" s="14">
        <v>0</v>
      </c>
      <c r="N8" s="14">
        <f t="shared" si="2"/>
        <v>0</v>
      </c>
      <c r="O8" s="14">
        <f t="shared" si="2"/>
        <v>0</v>
      </c>
      <c r="P8" s="22">
        <f t="shared" si="2"/>
        <v>0</v>
      </c>
      <c r="Q8" s="22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</row>
    <row r="9" spans="2:29" x14ac:dyDescent="0.4">
      <c r="B9" s="16">
        <v>42832</v>
      </c>
      <c r="C9" s="21">
        <v>19600</v>
      </c>
      <c r="D9" s="21">
        <v>19600</v>
      </c>
      <c r="E9" s="21">
        <v>19600</v>
      </c>
      <c r="F9" s="21">
        <v>19600</v>
      </c>
      <c r="G9" s="12">
        <v>0</v>
      </c>
      <c r="H9" s="14">
        <f t="shared" si="0"/>
        <v>0</v>
      </c>
      <c r="I9" s="14">
        <v>0</v>
      </c>
      <c r="J9" s="14">
        <v>0</v>
      </c>
      <c r="K9" s="14">
        <f t="shared" si="1"/>
        <v>0</v>
      </c>
      <c r="L9" s="14">
        <v>0</v>
      </c>
      <c r="M9" s="14">
        <v>0</v>
      </c>
      <c r="N9" s="14">
        <f t="shared" si="2"/>
        <v>0</v>
      </c>
      <c r="O9" s="14">
        <f t="shared" si="2"/>
        <v>0</v>
      </c>
      <c r="P9" s="22">
        <f t="shared" si="2"/>
        <v>0</v>
      </c>
      <c r="Q9" s="4" t="str">
        <f>IFERROR(SUM(M5:M9)/SUM(J5:J9),"")</f>
        <v/>
      </c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</row>
    <row r="10" spans="2:29" x14ac:dyDescent="0.4">
      <c r="B10" s="16">
        <v>42835</v>
      </c>
      <c r="C10" s="21">
        <v>19600</v>
      </c>
      <c r="D10" s="21">
        <v>19600</v>
      </c>
      <c r="E10" s="21">
        <v>19600</v>
      </c>
      <c r="F10" s="21">
        <v>19600</v>
      </c>
      <c r="G10" s="12">
        <v>0</v>
      </c>
      <c r="H10" s="14">
        <f t="shared" si="0"/>
        <v>0</v>
      </c>
      <c r="I10" s="14">
        <v>0</v>
      </c>
      <c r="J10" s="14">
        <v>0</v>
      </c>
      <c r="K10" s="14">
        <f t="shared" si="1"/>
        <v>0</v>
      </c>
      <c r="L10" s="14">
        <v>0</v>
      </c>
      <c r="M10" s="14">
        <v>0</v>
      </c>
      <c r="N10" s="14">
        <f t="shared" si="2"/>
        <v>0</v>
      </c>
      <c r="O10" s="14">
        <f t="shared" si="2"/>
        <v>0</v>
      </c>
      <c r="P10" s="22">
        <f t="shared" si="2"/>
        <v>0</v>
      </c>
      <c r="Q10" s="4" t="str">
        <f>IFERROR(SUM(M6:M10)/SUM(J6:J10),"")</f>
        <v/>
      </c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</row>
    <row r="11" spans="2:29" x14ac:dyDescent="0.4">
      <c r="B11" s="16">
        <v>42836</v>
      </c>
      <c r="C11" s="21">
        <v>19600</v>
      </c>
      <c r="D11" s="21">
        <v>19600</v>
      </c>
      <c r="E11" s="21">
        <v>19600</v>
      </c>
      <c r="F11" s="21">
        <v>19600</v>
      </c>
      <c r="G11" s="12">
        <v>0</v>
      </c>
      <c r="H11" s="14">
        <f t="shared" si="0"/>
        <v>0</v>
      </c>
      <c r="I11" s="14">
        <v>0</v>
      </c>
      <c r="J11" s="14">
        <v>0</v>
      </c>
      <c r="K11" s="14">
        <f t="shared" si="1"/>
        <v>0</v>
      </c>
      <c r="L11" s="14">
        <v>0</v>
      </c>
      <c r="M11" s="14">
        <v>0</v>
      </c>
      <c r="N11" s="14">
        <f t="shared" si="2"/>
        <v>0</v>
      </c>
      <c r="O11" s="14">
        <f t="shared" si="2"/>
        <v>0</v>
      </c>
      <c r="P11" s="22">
        <f t="shared" si="2"/>
        <v>0</v>
      </c>
      <c r="Q11" s="22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</row>
    <row r="12" spans="2:29" x14ac:dyDescent="0.4">
      <c r="B12" s="16">
        <v>42837</v>
      </c>
      <c r="C12" s="21">
        <v>19600</v>
      </c>
      <c r="D12" s="21">
        <v>19600</v>
      </c>
      <c r="E12" s="21">
        <v>19600</v>
      </c>
      <c r="F12" s="21">
        <v>19600</v>
      </c>
      <c r="G12" s="12">
        <v>0</v>
      </c>
      <c r="H12" s="14">
        <f t="shared" si="0"/>
        <v>0</v>
      </c>
      <c r="I12" s="14">
        <v>0</v>
      </c>
      <c r="J12" s="14">
        <v>0</v>
      </c>
      <c r="K12" s="14">
        <f t="shared" si="1"/>
        <v>0</v>
      </c>
      <c r="L12" s="14">
        <v>0</v>
      </c>
      <c r="M12" s="14">
        <v>0</v>
      </c>
      <c r="N12" s="14">
        <f t="shared" si="2"/>
        <v>0</v>
      </c>
      <c r="O12" s="14">
        <f t="shared" si="2"/>
        <v>0</v>
      </c>
      <c r="P12" s="22">
        <f t="shared" si="2"/>
        <v>0</v>
      </c>
      <c r="Q12" s="22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</row>
    <row r="13" spans="2:29" x14ac:dyDescent="0.4">
      <c r="B13" s="16">
        <v>42838</v>
      </c>
      <c r="C13" s="21">
        <v>19600</v>
      </c>
      <c r="D13" s="21">
        <v>19600</v>
      </c>
      <c r="E13" s="21">
        <v>19600</v>
      </c>
      <c r="F13" s="21">
        <v>19600</v>
      </c>
      <c r="G13" s="12">
        <v>0</v>
      </c>
      <c r="H13" s="14">
        <f t="shared" si="0"/>
        <v>0</v>
      </c>
      <c r="I13" s="14">
        <v>0</v>
      </c>
      <c r="J13" s="14">
        <v>0</v>
      </c>
      <c r="K13" s="14">
        <f t="shared" si="1"/>
        <v>0</v>
      </c>
      <c r="L13" s="14">
        <v>0</v>
      </c>
      <c r="M13" s="14">
        <v>0</v>
      </c>
      <c r="N13" s="14">
        <f t="shared" si="2"/>
        <v>0</v>
      </c>
      <c r="O13" s="14">
        <f t="shared" si="2"/>
        <v>0</v>
      </c>
      <c r="P13" s="22">
        <f t="shared" si="2"/>
        <v>0</v>
      </c>
      <c r="Q13" s="22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</row>
    <row r="14" spans="2:29" x14ac:dyDescent="0.4">
      <c r="B14" s="16">
        <v>42839</v>
      </c>
      <c r="C14" s="21">
        <v>19600</v>
      </c>
      <c r="D14" s="21">
        <v>19600</v>
      </c>
      <c r="E14" s="21">
        <v>19600</v>
      </c>
      <c r="F14" s="21">
        <v>19600</v>
      </c>
      <c r="G14" s="12">
        <v>0</v>
      </c>
      <c r="H14" s="14">
        <f t="shared" si="0"/>
        <v>0</v>
      </c>
      <c r="I14" s="14">
        <v>0</v>
      </c>
      <c r="J14" s="14">
        <v>0</v>
      </c>
      <c r="K14" s="14">
        <f t="shared" si="1"/>
        <v>0</v>
      </c>
      <c r="L14" s="14">
        <v>0</v>
      </c>
      <c r="M14" s="14">
        <v>0</v>
      </c>
      <c r="N14" s="14">
        <f t="shared" si="2"/>
        <v>0</v>
      </c>
      <c r="O14" s="14">
        <f t="shared" si="2"/>
        <v>0</v>
      </c>
      <c r="P14" s="22">
        <f t="shared" si="2"/>
        <v>0</v>
      </c>
      <c r="Q14" s="4" t="str">
        <f>IFERROR(SUM(M10:M14)/SUM(J10:J14),"")</f>
        <v/>
      </c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</row>
    <row r="15" spans="2:29" x14ac:dyDescent="0.4">
      <c r="B15" s="16">
        <v>42842</v>
      </c>
      <c r="C15" s="21">
        <v>19600</v>
      </c>
      <c r="D15" s="21">
        <v>19600</v>
      </c>
      <c r="E15" s="21">
        <v>19600</v>
      </c>
      <c r="F15" s="21">
        <v>19600</v>
      </c>
      <c r="G15" s="12">
        <v>0</v>
      </c>
      <c r="H15" s="14">
        <f t="shared" si="0"/>
        <v>0</v>
      </c>
      <c r="I15" s="14">
        <v>0</v>
      </c>
      <c r="J15" s="14">
        <v>0</v>
      </c>
      <c r="K15" s="14">
        <f t="shared" si="1"/>
        <v>0</v>
      </c>
      <c r="L15" s="14">
        <v>0</v>
      </c>
      <c r="M15" s="14">
        <v>0</v>
      </c>
      <c r="N15" s="14">
        <f t="shared" si="2"/>
        <v>0</v>
      </c>
      <c r="O15" s="14">
        <f t="shared" si="2"/>
        <v>0</v>
      </c>
      <c r="P15" s="22">
        <f t="shared" si="2"/>
        <v>0</v>
      </c>
      <c r="Q15" s="22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</row>
    <row r="16" spans="2:29" x14ac:dyDescent="0.4">
      <c r="B16" s="16">
        <v>42843</v>
      </c>
      <c r="C16" s="21">
        <v>19600</v>
      </c>
      <c r="D16" s="21">
        <v>19600</v>
      </c>
      <c r="E16" s="21">
        <v>19600</v>
      </c>
      <c r="F16" s="21">
        <v>19600</v>
      </c>
      <c r="G16" s="12">
        <v>0</v>
      </c>
      <c r="H16" s="14">
        <f t="shared" si="0"/>
        <v>0</v>
      </c>
      <c r="I16" s="14">
        <v>0</v>
      </c>
      <c r="J16" s="14">
        <v>0</v>
      </c>
      <c r="K16" s="14">
        <f t="shared" si="1"/>
        <v>0</v>
      </c>
      <c r="L16" s="14">
        <v>0</v>
      </c>
      <c r="M16" s="14">
        <v>0</v>
      </c>
      <c r="N16" s="14">
        <f t="shared" si="2"/>
        <v>0</v>
      </c>
      <c r="O16" s="14">
        <f t="shared" si="2"/>
        <v>0</v>
      </c>
      <c r="P16" s="22">
        <f t="shared" si="2"/>
        <v>0</v>
      </c>
      <c r="Q16" s="22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</row>
    <row r="17" spans="2:29" x14ac:dyDescent="0.4">
      <c r="B17" s="16">
        <v>42844</v>
      </c>
      <c r="C17" s="21">
        <v>19600</v>
      </c>
      <c r="D17" s="21">
        <v>19600</v>
      </c>
      <c r="E17" s="21">
        <v>19600</v>
      </c>
      <c r="F17" s="21">
        <v>19600</v>
      </c>
      <c r="G17" s="12">
        <v>0</v>
      </c>
      <c r="H17" s="14">
        <f t="shared" si="0"/>
        <v>0</v>
      </c>
      <c r="I17" s="14">
        <v>0</v>
      </c>
      <c r="J17" s="14">
        <v>0</v>
      </c>
      <c r="K17" s="14">
        <f t="shared" si="1"/>
        <v>0</v>
      </c>
      <c r="L17" s="14">
        <v>0</v>
      </c>
      <c r="M17" s="14">
        <v>0</v>
      </c>
      <c r="N17" s="14">
        <f t="shared" si="2"/>
        <v>0</v>
      </c>
      <c r="O17" s="14">
        <f t="shared" si="2"/>
        <v>0</v>
      </c>
      <c r="P17" s="22">
        <f t="shared" si="2"/>
        <v>0</v>
      </c>
      <c r="Q17" s="22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</row>
    <row r="18" spans="2:29" x14ac:dyDescent="0.4">
      <c r="B18" s="16">
        <v>42845</v>
      </c>
      <c r="C18" s="21">
        <v>19600</v>
      </c>
      <c r="D18" s="21">
        <v>19600</v>
      </c>
      <c r="E18" s="21">
        <v>19600</v>
      </c>
      <c r="F18" s="21">
        <v>19600</v>
      </c>
      <c r="G18" s="12">
        <v>0</v>
      </c>
      <c r="H18" s="14">
        <f t="shared" si="0"/>
        <v>0</v>
      </c>
      <c r="I18" s="14">
        <v>0</v>
      </c>
      <c r="J18" s="14">
        <v>0</v>
      </c>
      <c r="K18" s="14">
        <f t="shared" si="1"/>
        <v>0</v>
      </c>
      <c r="L18" s="14">
        <v>0</v>
      </c>
      <c r="M18" s="14">
        <v>0</v>
      </c>
      <c r="N18" s="14">
        <f t="shared" si="2"/>
        <v>0</v>
      </c>
      <c r="O18" s="14">
        <f t="shared" si="2"/>
        <v>0</v>
      </c>
      <c r="P18" s="22">
        <f t="shared" si="2"/>
        <v>0</v>
      </c>
      <c r="Q18" s="22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</row>
    <row r="19" spans="2:29" x14ac:dyDescent="0.4">
      <c r="B19" s="16">
        <v>42846</v>
      </c>
      <c r="C19" s="21">
        <v>19600</v>
      </c>
      <c r="D19" s="21">
        <v>19600</v>
      </c>
      <c r="E19" s="21">
        <v>19600</v>
      </c>
      <c r="F19" s="21">
        <v>19600</v>
      </c>
      <c r="G19" s="12">
        <v>0</v>
      </c>
      <c r="H19" s="14">
        <f t="shared" si="0"/>
        <v>0</v>
      </c>
      <c r="I19" s="14">
        <v>0</v>
      </c>
      <c r="J19" s="14">
        <v>0</v>
      </c>
      <c r="K19" s="14">
        <f t="shared" si="1"/>
        <v>0</v>
      </c>
      <c r="L19" s="14">
        <v>0</v>
      </c>
      <c r="M19" s="14">
        <v>0</v>
      </c>
      <c r="N19" s="14">
        <f t="shared" si="2"/>
        <v>0</v>
      </c>
      <c r="O19" s="14">
        <f t="shared" si="2"/>
        <v>0</v>
      </c>
      <c r="P19" s="22">
        <f t="shared" si="2"/>
        <v>0</v>
      </c>
      <c r="Q19" s="4" t="str">
        <f>IFERROR(SUM(M15:M19)/SUM(J15:J19),"")</f>
        <v/>
      </c>
      <c r="S19" s="15"/>
      <c r="T19" s="15"/>
      <c r="U19" s="15"/>
      <c r="V19" s="15"/>
      <c r="W19" s="15"/>
      <c r="X19" s="15"/>
      <c r="Y19" s="15"/>
      <c r="Z19" s="15"/>
      <c r="AA19" s="15"/>
      <c r="AB19" s="15"/>
      <c r="AC19" s="15"/>
    </row>
    <row r="20" spans="2:29" x14ac:dyDescent="0.4">
      <c r="B20" s="16">
        <v>42849</v>
      </c>
      <c r="C20" s="21">
        <v>19600</v>
      </c>
      <c r="D20" s="21">
        <v>19600</v>
      </c>
      <c r="E20" s="21">
        <v>19600</v>
      </c>
      <c r="F20" s="21">
        <v>19600</v>
      </c>
      <c r="G20" s="12">
        <v>0</v>
      </c>
      <c r="H20" s="14">
        <f t="shared" si="0"/>
        <v>0</v>
      </c>
      <c r="I20" s="14">
        <v>0</v>
      </c>
      <c r="J20" s="14">
        <v>0</v>
      </c>
      <c r="K20" s="14">
        <f t="shared" si="1"/>
        <v>0</v>
      </c>
      <c r="L20" s="14">
        <v>0</v>
      </c>
      <c r="M20" s="14">
        <v>0</v>
      </c>
      <c r="N20" s="14">
        <f t="shared" si="2"/>
        <v>0</v>
      </c>
      <c r="O20" s="14">
        <f t="shared" si="2"/>
        <v>0</v>
      </c>
      <c r="P20" s="22">
        <f t="shared" si="2"/>
        <v>0</v>
      </c>
      <c r="Q20" s="22"/>
      <c r="S20" s="15"/>
      <c r="T20" s="15"/>
      <c r="U20" s="15"/>
      <c r="V20" s="15"/>
      <c r="W20" s="15"/>
      <c r="X20" s="15"/>
      <c r="Y20" s="15"/>
      <c r="Z20" s="15"/>
      <c r="AA20" s="15"/>
      <c r="AB20" s="15"/>
      <c r="AC20" s="15"/>
    </row>
    <row r="21" spans="2:29" x14ac:dyDescent="0.4">
      <c r="B21" s="16">
        <v>42850</v>
      </c>
      <c r="C21" s="21">
        <v>19600</v>
      </c>
      <c r="D21" s="21">
        <v>19600</v>
      </c>
      <c r="E21" s="21">
        <v>19600</v>
      </c>
      <c r="F21" s="21">
        <v>19600</v>
      </c>
      <c r="G21" s="12">
        <v>0</v>
      </c>
      <c r="H21" s="14">
        <f t="shared" si="0"/>
        <v>0</v>
      </c>
      <c r="I21" s="14">
        <v>0</v>
      </c>
      <c r="J21" s="14">
        <v>0</v>
      </c>
      <c r="K21" s="14">
        <f t="shared" si="1"/>
        <v>0</v>
      </c>
      <c r="L21" s="14">
        <v>0</v>
      </c>
      <c r="M21" s="14">
        <v>0</v>
      </c>
      <c r="N21" s="14">
        <f t="shared" si="2"/>
        <v>0</v>
      </c>
      <c r="O21" s="14">
        <f t="shared" si="2"/>
        <v>0</v>
      </c>
      <c r="P21" s="22">
        <f t="shared" si="2"/>
        <v>0</v>
      </c>
      <c r="Q21" s="22"/>
    </row>
    <row r="22" spans="2:29" x14ac:dyDescent="0.4">
      <c r="B22" s="16">
        <v>42851</v>
      </c>
      <c r="C22" s="21">
        <v>19600</v>
      </c>
      <c r="D22" s="21">
        <v>19600</v>
      </c>
      <c r="E22" s="21">
        <v>19600</v>
      </c>
      <c r="F22" s="21">
        <v>19600</v>
      </c>
      <c r="G22" s="12">
        <v>0</v>
      </c>
      <c r="H22" s="14">
        <f t="shared" si="0"/>
        <v>0</v>
      </c>
      <c r="I22" s="14">
        <v>0</v>
      </c>
      <c r="J22" s="14">
        <v>0</v>
      </c>
      <c r="K22" s="14">
        <f t="shared" si="1"/>
        <v>0</v>
      </c>
      <c r="L22" s="14">
        <v>0</v>
      </c>
      <c r="M22" s="14">
        <v>0</v>
      </c>
      <c r="N22" s="14">
        <f t="shared" si="2"/>
        <v>0</v>
      </c>
      <c r="O22" s="14">
        <f t="shared" si="2"/>
        <v>0</v>
      </c>
      <c r="P22" s="22">
        <f t="shared" si="2"/>
        <v>0</v>
      </c>
      <c r="Q22" s="22"/>
    </row>
    <row r="23" spans="2:29" x14ac:dyDescent="0.4">
      <c r="B23" s="16">
        <v>42852</v>
      </c>
      <c r="C23" s="21">
        <v>19600</v>
      </c>
      <c r="D23" s="21">
        <v>19600</v>
      </c>
      <c r="E23" s="21">
        <v>19600</v>
      </c>
      <c r="F23" s="21">
        <v>19600</v>
      </c>
      <c r="G23" s="12">
        <v>0</v>
      </c>
      <c r="H23" s="14">
        <f t="shared" si="0"/>
        <v>0</v>
      </c>
      <c r="I23" s="14">
        <v>0</v>
      </c>
      <c r="J23" s="14">
        <v>0</v>
      </c>
      <c r="K23" s="14">
        <f t="shared" si="1"/>
        <v>0</v>
      </c>
      <c r="L23" s="14">
        <v>0</v>
      </c>
      <c r="M23" s="14">
        <v>0</v>
      </c>
      <c r="N23" s="14">
        <f t="shared" si="2"/>
        <v>0</v>
      </c>
      <c r="O23" s="14">
        <f t="shared" si="2"/>
        <v>0</v>
      </c>
      <c r="P23" s="22">
        <f t="shared" si="2"/>
        <v>0</v>
      </c>
      <c r="Q23" s="22"/>
    </row>
    <row r="24" spans="2:29" x14ac:dyDescent="0.4">
      <c r="B24" s="16">
        <v>42853</v>
      </c>
      <c r="C24" s="21">
        <v>19600</v>
      </c>
      <c r="D24" s="21">
        <v>19600</v>
      </c>
      <c r="E24" s="21">
        <v>19600</v>
      </c>
      <c r="F24" s="21">
        <v>19600</v>
      </c>
      <c r="G24" s="12">
        <v>0</v>
      </c>
      <c r="H24" s="14">
        <f t="shared" si="0"/>
        <v>0</v>
      </c>
      <c r="I24" s="14">
        <v>0</v>
      </c>
      <c r="J24" s="14">
        <v>0</v>
      </c>
      <c r="K24" s="14">
        <f t="shared" si="1"/>
        <v>0</v>
      </c>
      <c r="L24" s="14">
        <v>0</v>
      </c>
      <c r="M24" s="14">
        <v>0</v>
      </c>
      <c r="N24" s="14">
        <f t="shared" si="2"/>
        <v>0</v>
      </c>
      <c r="O24" s="14">
        <f t="shared" si="2"/>
        <v>0</v>
      </c>
      <c r="P24" s="22">
        <f t="shared" si="2"/>
        <v>0</v>
      </c>
      <c r="Q24" s="4" t="str">
        <f>IFERROR(SUM(M20:M24)/SUM(J20:J24),"")</f>
        <v/>
      </c>
    </row>
    <row r="25" spans="2:29" x14ac:dyDescent="0.4">
      <c r="B25" s="16">
        <v>42857</v>
      </c>
      <c r="C25" s="21">
        <v>19600</v>
      </c>
      <c r="D25" s="21">
        <v>19600</v>
      </c>
      <c r="E25" s="21">
        <v>19600</v>
      </c>
      <c r="F25" s="21">
        <v>19600</v>
      </c>
      <c r="G25" s="12">
        <v>0</v>
      </c>
      <c r="H25" s="14">
        <f t="shared" si="0"/>
        <v>0</v>
      </c>
      <c r="I25" s="14">
        <v>0</v>
      </c>
      <c r="J25" s="14">
        <v>0</v>
      </c>
      <c r="K25" s="14">
        <f t="shared" si="1"/>
        <v>0</v>
      </c>
      <c r="L25" s="14">
        <v>0</v>
      </c>
      <c r="M25" s="14">
        <v>0</v>
      </c>
      <c r="N25" s="14">
        <f t="shared" si="2"/>
        <v>0</v>
      </c>
      <c r="O25" s="14">
        <f t="shared" si="2"/>
        <v>0</v>
      </c>
      <c r="P25" s="22">
        <f t="shared" si="2"/>
        <v>0</v>
      </c>
      <c r="Q25" s="22"/>
    </row>
    <row r="26" spans="2:29" x14ac:dyDescent="0.4">
      <c r="B26" s="16">
        <v>42859</v>
      </c>
      <c r="C26" s="21">
        <v>19600</v>
      </c>
      <c r="D26" s="21">
        <v>19600</v>
      </c>
      <c r="E26" s="21">
        <v>19600</v>
      </c>
      <c r="F26" s="21">
        <v>19600</v>
      </c>
      <c r="G26" s="12">
        <v>0</v>
      </c>
      <c r="H26" s="14">
        <f t="shared" si="0"/>
        <v>0</v>
      </c>
      <c r="I26" s="14">
        <v>0</v>
      </c>
      <c r="J26" s="14">
        <v>0</v>
      </c>
      <c r="K26" s="14">
        <f t="shared" si="1"/>
        <v>0</v>
      </c>
      <c r="L26" s="14">
        <v>0</v>
      </c>
      <c r="M26" s="14">
        <v>0</v>
      </c>
      <c r="N26" s="14">
        <f t="shared" si="2"/>
        <v>0</v>
      </c>
      <c r="O26" s="14">
        <f t="shared" si="2"/>
        <v>0</v>
      </c>
      <c r="P26" s="22">
        <f t="shared" si="2"/>
        <v>0</v>
      </c>
      <c r="Q26" s="22"/>
    </row>
    <row r="27" spans="2:29" x14ac:dyDescent="0.4">
      <c r="B27" s="16">
        <v>42863</v>
      </c>
      <c r="C27" s="21">
        <v>19600</v>
      </c>
      <c r="D27" s="21">
        <v>19600</v>
      </c>
      <c r="E27" s="21">
        <v>19600</v>
      </c>
      <c r="F27" s="21">
        <v>19600</v>
      </c>
      <c r="G27" s="12">
        <v>0</v>
      </c>
      <c r="H27" s="14">
        <f t="shared" si="0"/>
        <v>0</v>
      </c>
      <c r="I27" s="14">
        <v>0</v>
      </c>
      <c r="J27" s="14">
        <v>0</v>
      </c>
      <c r="K27" s="14">
        <f t="shared" si="1"/>
        <v>0</v>
      </c>
      <c r="L27" s="14">
        <v>0</v>
      </c>
      <c r="M27" s="14">
        <v>0</v>
      </c>
      <c r="N27" s="14">
        <f t="shared" si="2"/>
        <v>0</v>
      </c>
      <c r="O27" s="14">
        <f t="shared" si="2"/>
        <v>0</v>
      </c>
      <c r="P27" s="22">
        <f t="shared" si="2"/>
        <v>0</v>
      </c>
      <c r="Q27" s="22"/>
    </row>
    <row r="28" spans="2:29" x14ac:dyDescent="0.4">
      <c r="B28" s="16">
        <v>42865</v>
      </c>
      <c r="C28" s="21">
        <v>19600</v>
      </c>
      <c r="D28" s="21">
        <v>19600</v>
      </c>
      <c r="E28" s="21">
        <v>19600</v>
      </c>
      <c r="F28" s="21">
        <v>19600</v>
      </c>
      <c r="G28" s="12">
        <v>0</v>
      </c>
      <c r="H28" s="14">
        <f t="shared" si="0"/>
        <v>0</v>
      </c>
      <c r="I28" s="14">
        <v>0</v>
      </c>
      <c r="J28" s="14">
        <v>0</v>
      </c>
      <c r="K28" s="14">
        <f t="shared" si="1"/>
        <v>0</v>
      </c>
      <c r="L28" s="14">
        <v>0</v>
      </c>
      <c r="M28" s="14">
        <v>0</v>
      </c>
      <c r="N28" s="14">
        <f t="shared" si="2"/>
        <v>0</v>
      </c>
      <c r="O28" s="14">
        <f t="shared" si="2"/>
        <v>0</v>
      </c>
      <c r="P28" s="22">
        <f t="shared" si="2"/>
        <v>0</v>
      </c>
      <c r="Q28" s="22"/>
    </row>
    <row r="29" spans="2:29" x14ac:dyDescent="0.4">
      <c r="B29" s="16">
        <v>42866</v>
      </c>
      <c r="C29" s="21">
        <v>19600</v>
      </c>
      <c r="D29" s="21">
        <v>19600</v>
      </c>
      <c r="E29" s="21">
        <v>19600</v>
      </c>
      <c r="F29" s="21">
        <v>19600</v>
      </c>
      <c r="G29" s="12">
        <v>0</v>
      </c>
      <c r="H29" s="14">
        <f t="shared" si="0"/>
        <v>0</v>
      </c>
      <c r="I29" s="14">
        <v>0</v>
      </c>
      <c r="J29" s="14">
        <v>0</v>
      </c>
      <c r="K29" s="14">
        <f t="shared" si="1"/>
        <v>0</v>
      </c>
      <c r="L29" s="14">
        <v>0</v>
      </c>
      <c r="M29" s="14">
        <v>0</v>
      </c>
      <c r="N29" s="14">
        <f t="shared" si="2"/>
        <v>0</v>
      </c>
      <c r="O29" s="14">
        <f t="shared" si="2"/>
        <v>0</v>
      </c>
      <c r="P29" s="22">
        <f t="shared" si="2"/>
        <v>0</v>
      </c>
      <c r="Q29" s="22"/>
    </row>
    <row r="30" spans="2:29" x14ac:dyDescent="0.4">
      <c r="B30" s="16">
        <v>42867</v>
      </c>
      <c r="C30" s="21">
        <v>19600</v>
      </c>
      <c r="D30" s="21">
        <v>19600</v>
      </c>
      <c r="E30" s="21">
        <v>19600</v>
      </c>
      <c r="F30" s="21">
        <v>19600</v>
      </c>
      <c r="G30" s="12">
        <v>0</v>
      </c>
      <c r="H30" s="14">
        <f t="shared" si="0"/>
        <v>0</v>
      </c>
      <c r="I30" s="14">
        <v>0</v>
      </c>
      <c r="J30" s="14">
        <v>0</v>
      </c>
      <c r="K30" s="14">
        <f t="shared" si="1"/>
        <v>0</v>
      </c>
      <c r="L30" s="14">
        <v>0</v>
      </c>
      <c r="M30" s="14">
        <v>0</v>
      </c>
      <c r="N30" s="14">
        <f t="shared" si="2"/>
        <v>0</v>
      </c>
      <c r="O30" s="14">
        <f t="shared" si="2"/>
        <v>0</v>
      </c>
      <c r="P30" s="22">
        <f t="shared" si="2"/>
        <v>0</v>
      </c>
      <c r="Q30" s="4" t="str">
        <f>IFERROR(SUM(M26:M30)/SUM(J26:J30),"")</f>
        <v/>
      </c>
    </row>
    <row r="31" spans="2:29" x14ac:dyDescent="0.4">
      <c r="B31" s="16">
        <v>42870</v>
      </c>
      <c r="C31" s="21">
        <v>19600</v>
      </c>
      <c r="D31" s="21">
        <v>19600</v>
      </c>
      <c r="E31" s="21">
        <v>19600</v>
      </c>
      <c r="F31" s="21">
        <v>19600</v>
      </c>
      <c r="G31" s="12">
        <v>0</v>
      </c>
      <c r="H31" s="14">
        <f t="shared" si="0"/>
        <v>0</v>
      </c>
      <c r="I31" s="14">
        <v>0</v>
      </c>
      <c r="J31" s="14">
        <v>0</v>
      </c>
      <c r="K31" s="14">
        <f t="shared" si="1"/>
        <v>0</v>
      </c>
      <c r="L31" s="14">
        <v>0</v>
      </c>
      <c r="M31" s="14">
        <v>0</v>
      </c>
      <c r="N31" s="14">
        <f t="shared" si="2"/>
        <v>0</v>
      </c>
      <c r="O31" s="14">
        <f t="shared" si="2"/>
        <v>0</v>
      </c>
      <c r="P31" s="22">
        <f t="shared" si="2"/>
        <v>0</v>
      </c>
      <c r="Q31" s="22"/>
    </row>
    <row r="32" spans="2:29" x14ac:dyDescent="0.4">
      <c r="B32" s="16">
        <v>42871</v>
      </c>
      <c r="C32" s="21">
        <v>19600</v>
      </c>
      <c r="D32" s="21">
        <v>19600</v>
      </c>
      <c r="E32" s="21">
        <v>19600</v>
      </c>
      <c r="F32" s="21">
        <v>19600</v>
      </c>
      <c r="G32" s="12">
        <v>0</v>
      </c>
      <c r="H32" s="14">
        <f t="shared" si="0"/>
        <v>0</v>
      </c>
      <c r="I32" s="14">
        <v>0</v>
      </c>
      <c r="J32" s="14">
        <v>0</v>
      </c>
      <c r="K32" s="14">
        <f t="shared" si="1"/>
        <v>0</v>
      </c>
      <c r="L32" s="14">
        <v>0</v>
      </c>
      <c r="M32" s="14">
        <v>0</v>
      </c>
      <c r="N32" s="14">
        <f t="shared" si="2"/>
        <v>0</v>
      </c>
      <c r="O32" s="14">
        <f t="shared" si="2"/>
        <v>0</v>
      </c>
      <c r="P32" s="22">
        <f t="shared" si="2"/>
        <v>0</v>
      </c>
      <c r="Q32" s="22"/>
    </row>
    <row r="33" spans="2:17" x14ac:dyDescent="0.4">
      <c r="B33" s="16">
        <v>42872</v>
      </c>
      <c r="C33" s="21">
        <v>19600</v>
      </c>
      <c r="D33" s="21">
        <v>19600</v>
      </c>
      <c r="E33" s="21">
        <v>19600</v>
      </c>
      <c r="F33" s="21">
        <v>19600</v>
      </c>
      <c r="G33" s="12">
        <v>0</v>
      </c>
      <c r="H33" s="14">
        <f t="shared" si="0"/>
        <v>0</v>
      </c>
      <c r="I33" s="14">
        <v>0</v>
      </c>
      <c r="J33" s="14">
        <v>0</v>
      </c>
      <c r="K33" s="14">
        <f t="shared" si="1"/>
        <v>0</v>
      </c>
      <c r="L33" s="14">
        <v>0</v>
      </c>
      <c r="M33" s="14">
        <v>0</v>
      </c>
      <c r="N33" s="14">
        <f t="shared" si="2"/>
        <v>0</v>
      </c>
      <c r="O33" s="14">
        <f t="shared" si="2"/>
        <v>0</v>
      </c>
      <c r="P33" s="22">
        <f t="shared" si="2"/>
        <v>0</v>
      </c>
      <c r="Q33" s="22"/>
    </row>
    <row r="34" spans="2:17" x14ac:dyDescent="0.4">
      <c r="B34" s="16">
        <v>42873</v>
      </c>
      <c r="C34" s="21">
        <v>19600</v>
      </c>
      <c r="D34" s="21">
        <v>19600</v>
      </c>
      <c r="E34" s="21">
        <v>19600</v>
      </c>
      <c r="F34" s="21">
        <v>19600</v>
      </c>
      <c r="G34" s="12">
        <v>0</v>
      </c>
      <c r="H34" s="14">
        <f t="shared" si="0"/>
        <v>0</v>
      </c>
      <c r="I34" s="14">
        <v>0</v>
      </c>
      <c r="J34" s="14">
        <v>0</v>
      </c>
      <c r="K34" s="14">
        <f t="shared" si="1"/>
        <v>0</v>
      </c>
      <c r="L34" s="14">
        <v>0</v>
      </c>
      <c r="M34" s="14">
        <v>0</v>
      </c>
      <c r="N34" s="14">
        <f t="shared" si="2"/>
        <v>0</v>
      </c>
      <c r="O34" s="14">
        <f t="shared" si="2"/>
        <v>0</v>
      </c>
      <c r="P34" s="22">
        <f t="shared" si="2"/>
        <v>0</v>
      </c>
      <c r="Q34" s="22"/>
    </row>
    <row r="35" spans="2:17" x14ac:dyDescent="0.4">
      <c r="B35" s="16">
        <v>42874</v>
      </c>
      <c r="C35" s="21">
        <v>19600</v>
      </c>
      <c r="D35" s="21">
        <v>19600</v>
      </c>
      <c r="E35" s="21">
        <v>19600</v>
      </c>
      <c r="F35" s="21">
        <v>19600</v>
      </c>
      <c r="G35" s="12">
        <v>0</v>
      </c>
      <c r="H35" s="14">
        <f t="shared" si="0"/>
        <v>0</v>
      </c>
      <c r="I35" s="14">
        <v>0</v>
      </c>
      <c r="J35" s="14">
        <v>0</v>
      </c>
      <c r="K35" s="14">
        <f t="shared" si="1"/>
        <v>0</v>
      </c>
      <c r="L35" s="14">
        <v>0</v>
      </c>
      <c r="M35" s="14">
        <v>0</v>
      </c>
      <c r="N35" s="14">
        <f t="shared" si="2"/>
        <v>0</v>
      </c>
      <c r="O35" s="14">
        <f t="shared" si="2"/>
        <v>0</v>
      </c>
      <c r="P35" s="22">
        <f t="shared" si="2"/>
        <v>0</v>
      </c>
      <c r="Q35" s="4" t="str">
        <f>IFERROR(SUM(M31:M35)/SUM(J31:J35),"")</f>
        <v/>
      </c>
    </row>
    <row r="36" spans="2:17" x14ac:dyDescent="0.4">
      <c r="B36" s="16">
        <v>42877</v>
      </c>
      <c r="C36" s="21">
        <v>19600</v>
      </c>
      <c r="D36" s="21">
        <v>19600</v>
      </c>
      <c r="E36" s="21">
        <v>19600</v>
      </c>
      <c r="F36" s="21">
        <v>19600</v>
      </c>
      <c r="G36" s="12">
        <v>0</v>
      </c>
      <c r="H36" s="14">
        <f t="shared" si="0"/>
        <v>0</v>
      </c>
      <c r="I36" s="14">
        <v>0</v>
      </c>
      <c r="J36" s="14">
        <v>0</v>
      </c>
      <c r="K36" s="14">
        <f t="shared" si="1"/>
        <v>0</v>
      </c>
      <c r="L36" s="14">
        <v>0</v>
      </c>
      <c r="M36" s="14">
        <v>0</v>
      </c>
      <c r="N36" s="14">
        <f t="shared" si="2"/>
        <v>0</v>
      </c>
      <c r="O36" s="14">
        <f t="shared" si="2"/>
        <v>0</v>
      </c>
      <c r="P36" s="22">
        <f t="shared" si="2"/>
        <v>0</v>
      </c>
      <c r="Q36" s="22"/>
    </row>
    <row r="37" spans="2:17" x14ac:dyDescent="0.4">
      <c r="B37" s="16">
        <v>42878</v>
      </c>
      <c r="C37" s="21">
        <v>19600</v>
      </c>
      <c r="D37" s="21">
        <v>19600</v>
      </c>
      <c r="E37" s="21">
        <v>19600</v>
      </c>
      <c r="F37" s="21">
        <v>19600</v>
      </c>
      <c r="G37" s="12">
        <v>0</v>
      </c>
      <c r="H37" s="14">
        <f t="shared" si="0"/>
        <v>0</v>
      </c>
      <c r="I37" s="14">
        <v>0</v>
      </c>
      <c r="J37" s="14">
        <v>0</v>
      </c>
      <c r="K37" s="14">
        <f t="shared" si="1"/>
        <v>0</v>
      </c>
      <c r="L37" s="14">
        <v>0</v>
      </c>
      <c r="M37" s="14">
        <v>0</v>
      </c>
      <c r="N37" s="14">
        <f t="shared" si="2"/>
        <v>0</v>
      </c>
      <c r="O37" s="14">
        <f t="shared" si="2"/>
        <v>0</v>
      </c>
      <c r="P37" s="22">
        <f t="shared" si="2"/>
        <v>0</v>
      </c>
      <c r="Q37" s="22"/>
    </row>
    <row r="38" spans="2:17" x14ac:dyDescent="0.4">
      <c r="B38" s="16">
        <v>42879</v>
      </c>
      <c r="C38" s="21">
        <v>19600</v>
      </c>
      <c r="D38" s="21">
        <v>19600</v>
      </c>
      <c r="E38" s="21">
        <v>19600</v>
      </c>
      <c r="F38" s="21">
        <v>19600</v>
      </c>
      <c r="G38" s="12">
        <v>0</v>
      </c>
      <c r="H38" s="14">
        <f t="shared" si="0"/>
        <v>0</v>
      </c>
      <c r="I38" s="14">
        <v>0</v>
      </c>
      <c r="J38" s="14">
        <v>0</v>
      </c>
      <c r="K38" s="14">
        <f t="shared" si="1"/>
        <v>0</v>
      </c>
      <c r="L38" s="14">
        <v>0</v>
      </c>
      <c r="M38" s="14">
        <v>0</v>
      </c>
      <c r="N38" s="14">
        <f t="shared" si="2"/>
        <v>0</v>
      </c>
      <c r="O38" s="14">
        <f t="shared" si="2"/>
        <v>0</v>
      </c>
      <c r="P38" s="22">
        <f t="shared" si="2"/>
        <v>0</v>
      </c>
      <c r="Q38" s="22"/>
    </row>
    <row r="39" spans="2:17" x14ac:dyDescent="0.4">
      <c r="B39" s="16">
        <v>42880</v>
      </c>
      <c r="C39" s="21">
        <v>19600</v>
      </c>
      <c r="D39" s="21">
        <v>19600</v>
      </c>
      <c r="E39" s="21">
        <v>19600</v>
      </c>
      <c r="F39" s="21">
        <v>19600</v>
      </c>
      <c r="G39" s="12">
        <v>0</v>
      </c>
      <c r="H39" s="14">
        <f t="shared" si="0"/>
        <v>0</v>
      </c>
      <c r="I39" s="14">
        <v>0</v>
      </c>
      <c r="J39" s="14">
        <v>0</v>
      </c>
      <c r="K39" s="14">
        <f t="shared" si="1"/>
        <v>0</v>
      </c>
      <c r="L39" s="14">
        <v>0</v>
      </c>
      <c r="M39" s="14">
        <v>0</v>
      </c>
      <c r="N39" s="14">
        <f t="shared" si="2"/>
        <v>0</v>
      </c>
      <c r="O39" s="14">
        <f t="shared" si="2"/>
        <v>0</v>
      </c>
      <c r="P39" s="22">
        <f t="shared" si="2"/>
        <v>0</v>
      </c>
      <c r="Q39" s="22"/>
    </row>
    <row r="40" spans="2:17" x14ac:dyDescent="0.4">
      <c r="B40" s="16">
        <v>42881</v>
      </c>
      <c r="C40" s="21">
        <v>19600</v>
      </c>
      <c r="D40" s="21">
        <v>19600</v>
      </c>
      <c r="E40" s="21">
        <v>19600</v>
      </c>
      <c r="F40" s="21">
        <v>19600</v>
      </c>
      <c r="G40" s="12">
        <v>0</v>
      </c>
      <c r="H40" s="14">
        <f t="shared" si="0"/>
        <v>0</v>
      </c>
      <c r="I40" s="14">
        <v>0</v>
      </c>
      <c r="J40" s="14">
        <v>0</v>
      </c>
      <c r="K40" s="14">
        <f t="shared" si="1"/>
        <v>0</v>
      </c>
      <c r="L40" s="14">
        <v>0</v>
      </c>
      <c r="M40" s="14">
        <v>0</v>
      </c>
      <c r="N40" s="14">
        <f t="shared" si="2"/>
        <v>0</v>
      </c>
      <c r="O40" s="14">
        <f t="shared" si="2"/>
        <v>0</v>
      </c>
      <c r="P40" s="22">
        <f t="shared" si="2"/>
        <v>0</v>
      </c>
      <c r="Q40" s="4" t="str">
        <f>IFERROR(SUM(M36:M40)/SUM(J36:J40),"")</f>
        <v/>
      </c>
    </row>
    <row r="41" spans="2:17" x14ac:dyDescent="0.4">
      <c r="B41" s="16">
        <v>42884</v>
      </c>
      <c r="C41" s="21">
        <v>19600</v>
      </c>
      <c r="D41" s="21">
        <v>19600</v>
      </c>
      <c r="E41" s="21">
        <v>19600</v>
      </c>
      <c r="F41" s="21">
        <v>19600</v>
      </c>
      <c r="G41" s="12">
        <v>0</v>
      </c>
      <c r="H41" s="14">
        <f t="shared" si="0"/>
        <v>0</v>
      </c>
      <c r="I41" s="14">
        <v>0</v>
      </c>
      <c r="J41" s="14">
        <v>0</v>
      </c>
      <c r="K41" s="14">
        <f t="shared" si="1"/>
        <v>0</v>
      </c>
      <c r="L41" s="14">
        <v>0</v>
      </c>
      <c r="M41" s="14">
        <v>0</v>
      </c>
      <c r="N41" s="14">
        <f t="shared" si="2"/>
        <v>0</v>
      </c>
      <c r="O41" s="14">
        <f t="shared" si="2"/>
        <v>0</v>
      </c>
      <c r="P41" s="22">
        <f t="shared" si="2"/>
        <v>0</v>
      </c>
      <c r="Q41" s="22"/>
    </row>
    <row r="42" spans="2:17" x14ac:dyDescent="0.4">
      <c r="B42" s="16">
        <v>42885</v>
      </c>
      <c r="C42" s="21">
        <v>19600</v>
      </c>
      <c r="D42" s="21">
        <v>19600</v>
      </c>
      <c r="E42" s="21">
        <v>19600</v>
      </c>
      <c r="F42" s="21">
        <v>19600</v>
      </c>
      <c r="G42" s="12">
        <v>0</v>
      </c>
      <c r="H42" s="14">
        <f t="shared" si="0"/>
        <v>0</v>
      </c>
      <c r="I42" s="14">
        <v>0</v>
      </c>
      <c r="J42" s="14">
        <v>0</v>
      </c>
      <c r="K42" s="14">
        <f t="shared" si="1"/>
        <v>0</v>
      </c>
      <c r="L42" s="14">
        <v>0</v>
      </c>
      <c r="M42" s="14">
        <v>0</v>
      </c>
      <c r="N42" s="14">
        <f t="shared" si="2"/>
        <v>0</v>
      </c>
      <c r="O42" s="14">
        <f t="shared" si="2"/>
        <v>0</v>
      </c>
      <c r="P42" s="22">
        <f t="shared" si="2"/>
        <v>0</v>
      </c>
      <c r="Q42" s="22"/>
    </row>
    <row r="43" spans="2:17" x14ac:dyDescent="0.4">
      <c r="B43" s="16">
        <v>42886</v>
      </c>
      <c r="C43" s="21">
        <v>19600</v>
      </c>
      <c r="D43" s="21">
        <v>19600</v>
      </c>
      <c r="E43" s="21">
        <v>19600</v>
      </c>
      <c r="F43" s="21">
        <v>19600</v>
      </c>
      <c r="G43" s="12">
        <v>0</v>
      </c>
      <c r="H43" s="14">
        <f t="shared" si="0"/>
        <v>0</v>
      </c>
      <c r="I43" s="14">
        <v>0</v>
      </c>
      <c r="J43" s="14">
        <v>0</v>
      </c>
      <c r="K43" s="14">
        <f t="shared" si="1"/>
        <v>0</v>
      </c>
      <c r="L43" s="14">
        <v>0</v>
      </c>
      <c r="M43" s="14">
        <v>0</v>
      </c>
      <c r="N43" s="14">
        <f t="shared" si="2"/>
        <v>0</v>
      </c>
      <c r="O43" s="14">
        <f t="shared" si="2"/>
        <v>0</v>
      </c>
      <c r="P43" s="22">
        <f t="shared" si="2"/>
        <v>0</v>
      </c>
      <c r="Q43" s="22"/>
    </row>
    <row r="44" spans="2:17" x14ac:dyDescent="0.4">
      <c r="B44" s="16">
        <v>42887</v>
      </c>
      <c r="C44" s="21">
        <v>19600</v>
      </c>
      <c r="D44" s="21">
        <v>19600</v>
      </c>
      <c r="E44" s="21">
        <v>19600</v>
      </c>
      <c r="F44" s="21">
        <v>19600</v>
      </c>
      <c r="G44" s="12">
        <v>0</v>
      </c>
      <c r="H44" s="14">
        <f t="shared" si="0"/>
        <v>0</v>
      </c>
      <c r="I44" s="14">
        <v>0</v>
      </c>
      <c r="J44" s="14">
        <v>0</v>
      </c>
      <c r="K44" s="14">
        <f t="shared" si="1"/>
        <v>0</v>
      </c>
      <c r="L44" s="14">
        <v>0</v>
      </c>
      <c r="M44" s="14">
        <v>0</v>
      </c>
      <c r="N44" s="14">
        <f t="shared" si="2"/>
        <v>0</v>
      </c>
      <c r="O44" s="14">
        <f t="shared" si="2"/>
        <v>0</v>
      </c>
      <c r="P44" s="22">
        <f t="shared" si="2"/>
        <v>0</v>
      </c>
      <c r="Q44" s="22"/>
    </row>
    <row r="45" spans="2:17" x14ac:dyDescent="0.4">
      <c r="B45" s="16">
        <v>42888</v>
      </c>
      <c r="C45" s="21">
        <v>19600</v>
      </c>
      <c r="D45" s="21">
        <v>19600</v>
      </c>
      <c r="E45" s="21">
        <v>19600</v>
      </c>
      <c r="F45" s="21">
        <v>19600</v>
      </c>
      <c r="G45" s="12">
        <v>0</v>
      </c>
      <c r="H45" s="14">
        <f t="shared" si="0"/>
        <v>0</v>
      </c>
      <c r="I45" s="14">
        <v>0</v>
      </c>
      <c r="J45" s="14">
        <v>0</v>
      </c>
      <c r="K45" s="14">
        <f t="shared" si="1"/>
        <v>0</v>
      </c>
      <c r="L45" s="14">
        <v>0</v>
      </c>
      <c r="M45" s="14">
        <v>0</v>
      </c>
      <c r="N45" s="14">
        <f t="shared" si="2"/>
        <v>0</v>
      </c>
      <c r="O45" s="14">
        <f t="shared" si="2"/>
        <v>0</v>
      </c>
      <c r="P45" s="22">
        <f t="shared" si="2"/>
        <v>0</v>
      </c>
      <c r="Q45" s="4" t="str">
        <f>IFERROR(SUM(M41:M45)/SUM(J41:J45),"")</f>
        <v/>
      </c>
    </row>
    <row r="46" spans="2:17" x14ac:dyDescent="0.4">
      <c r="B46" s="16">
        <v>42891</v>
      </c>
      <c r="C46" s="21">
        <v>19600</v>
      </c>
      <c r="D46" s="21">
        <v>19600</v>
      </c>
      <c r="E46" s="21">
        <v>19600</v>
      </c>
      <c r="F46" s="21">
        <v>19600</v>
      </c>
      <c r="G46" s="12">
        <v>0</v>
      </c>
      <c r="H46" s="14">
        <f t="shared" si="0"/>
        <v>0</v>
      </c>
      <c r="I46" s="14">
        <v>0</v>
      </c>
      <c r="J46" s="14">
        <v>0</v>
      </c>
      <c r="K46" s="14">
        <f t="shared" si="1"/>
        <v>0</v>
      </c>
      <c r="L46" s="14">
        <v>0</v>
      </c>
      <c r="M46" s="14">
        <v>0</v>
      </c>
      <c r="N46" s="14">
        <f t="shared" si="2"/>
        <v>0</v>
      </c>
      <c r="O46" s="14">
        <f t="shared" si="2"/>
        <v>0</v>
      </c>
      <c r="P46" s="22">
        <f t="shared" si="2"/>
        <v>0</v>
      </c>
      <c r="Q46" s="22"/>
    </row>
    <row r="47" spans="2:17" x14ac:dyDescent="0.4">
      <c r="B47" s="16">
        <v>42893</v>
      </c>
      <c r="C47" s="21">
        <v>19600</v>
      </c>
      <c r="D47" s="21">
        <v>19600</v>
      </c>
      <c r="E47" s="21">
        <v>19600</v>
      </c>
      <c r="F47" s="21">
        <v>19600</v>
      </c>
      <c r="G47" s="12">
        <v>0</v>
      </c>
      <c r="H47" s="14">
        <f t="shared" si="0"/>
        <v>0</v>
      </c>
      <c r="I47" s="14">
        <v>0</v>
      </c>
      <c r="J47" s="14">
        <v>0</v>
      </c>
      <c r="K47" s="14">
        <f t="shared" si="1"/>
        <v>0</v>
      </c>
      <c r="L47" s="14">
        <v>0</v>
      </c>
      <c r="M47" s="14">
        <v>0</v>
      </c>
      <c r="N47" s="14">
        <f t="shared" si="2"/>
        <v>0</v>
      </c>
      <c r="O47" s="14">
        <f t="shared" si="2"/>
        <v>0</v>
      </c>
      <c r="P47" s="22">
        <f t="shared" si="2"/>
        <v>0</v>
      </c>
      <c r="Q47" s="22"/>
    </row>
    <row r="48" spans="2:17" x14ac:dyDescent="0.4">
      <c r="B48" s="16">
        <v>42894</v>
      </c>
      <c r="C48" s="21">
        <v>19600</v>
      </c>
      <c r="D48" s="21">
        <v>19600</v>
      </c>
      <c r="E48" s="21">
        <v>19600</v>
      </c>
      <c r="F48" s="21">
        <v>19600</v>
      </c>
      <c r="G48" s="12">
        <v>0</v>
      </c>
      <c r="H48" s="14">
        <f t="shared" si="0"/>
        <v>0</v>
      </c>
      <c r="I48" s="14">
        <v>0</v>
      </c>
      <c r="J48" s="14">
        <v>0</v>
      </c>
      <c r="K48" s="14">
        <f t="shared" si="1"/>
        <v>0</v>
      </c>
      <c r="L48" s="14">
        <v>0</v>
      </c>
      <c r="M48" s="14">
        <v>0</v>
      </c>
      <c r="N48" s="14">
        <f t="shared" si="2"/>
        <v>0</v>
      </c>
      <c r="O48" s="14">
        <f t="shared" si="2"/>
        <v>0</v>
      </c>
      <c r="P48" s="22">
        <f t="shared" si="2"/>
        <v>0</v>
      </c>
      <c r="Q48" s="22"/>
    </row>
    <row r="49" spans="2:17" x14ac:dyDescent="0.4">
      <c r="B49" s="16">
        <v>42895</v>
      </c>
      <c r="C49" s="21">
        <v>19600</v>
      </c>
      <c r="D49" s="21">
        <v>19600</v>
      </c>
      <c r="E49" s="21">
        <v>19600</v>
      </c>
      <c r="F49" s="21">
        <v>19600</v>
      </c>
      <c r="G49" s="12">
        <v>0</v>
      </c>
      <c r="H49" s="14">
        <f t="shared" si="0"/>
        <v>0</v>
      </c>
      <c r="I49" s="14">
        <v>0</v>
      </c>
      <c r="J49" s="14">
        <v>0</v>
      </c>
      <c r="K49" s="14">
        <f t="shared" si="1"/>
        <v>0</v>
      </c>
      <c r="L49" s="14">
        <v>0</v>
      </c>
      <c r="M49" s="14">
        <v>0</v>
      </c>
      <c r="N49" s="14">
        <f t="shared" si="2"/>
        <v>0</v>
      </c>
      <c r="O49" s="14">
        <f t="shared" si="2"/>
        <v>0</v>
      </c>
      <c r="P49" s="22">
        <f t="shared" si="2"/>
        <v>0</v>
      </c>
      <c r="Q49" s="4" t="str">
        <f>IFERROR(SUM(M46:M49)/SUM(J46:J49),"")</f>
        <v/>
      </c>
    </row>
    <row r="50" spans="2:17" x14ac:dyDescent="0.4">
      <c r="B50" s="16">
        <v>42898</v>
      </c>
      <c r="C50" s="21">
        <v>19600</v>
      </c>
      <c r="D50" s="21">
        <v>19600</v>
      </c>
      <c r="E50" s="21">
        <v>19600</v>
      </c>
      <c r="F50" s="21">
        <v>19600</v>
      </c>
      <c r="G50" s="12">
        <v>0</v>
      </c>
      <c r="H50" s="14">
        <f t="shared" si="0"/>
        <v>0</v>
      </c>
      <c r="I50" s="14">
        <v>0</v>
      </c>
      <c r="J50" s="14">
        <v>0</v>
      </c>
      <c r="K50" s="14">
        <f t="shared" si="1"/>
        <v>0</v>
      </c>
      <c r="L50" s="14">
        <v>0</v>
      </c>
      <c r="M50" s="14">
        <v>0</v>
      </c>
      <c r="N50" s="14">
        <f t="shared" si="2"/>
        <v>0</v>
      </c>
      <c r="O50" s="14">
        <f t="shared" si="2"/>
        <v>0</v>
      </c>
      <c r="P50" s="22">
        <f t="shared" si="2"/>
        <v>0</v>
      </c>
      <c r="Q50" s="22"/>
    </row>
    <row r="51" spans="2:17" x14ac:dyDescent="0.4">
      <c r="B51" s="16">
        <v>42899</v>
      </c>
      <c r="C51" s="21">
        <v>19600</v>
      </c>
      <c r="D51" s="21">
        <v>19600</v>
      </c>
      <c r="E51" s="21">
        <v>19600</v>
      </c>
      <c r="F51" s="21">
        <v>19600</v>
      </c>
      <c r="G51" s="12">
        <v>0</v>
      </c>
      <c r="H51" s="14">
        <f t="shared" si="0"/>
        <v>0</v>
      </c>
      <c r="I51" s="14">
        <v>0</v>
      </c>
      <c r="J51" s="14">
        <v>0</v>
      </c>
      <c r="K51" s="14">
        <f t="shared" si="1"/>
        <v>0</v>
      </c>
      <c r="L51" s="14">
        <v>0</v>
      </c>
      <c r="M51" s="14">
        <v>0</v>
      </c>
      <c r="N51" s="14">
        <f t="shared" si="2"/>
        <v>0</v>
      </c>
      <c r="O51" s="14">
        <f t="shared" si="2"/>
        <v>0</v>
      </c>
      <c r="P51" s="22">
        <f t="shared" si="2"/>
        <v>0</v>
      </c>
      <c r="Q51" s="22"/>
    </row>
    <row r="52" spans="2:17" x14ac:dyDescent="0.4">
      <c r="B52" s="16">
        <v>42900</v>
      </c>
      <c r="C52" s="21">
        <v>19600</v>
      </c>
      <c r="D52" s="21">
        <v>19600</v>
      </c>
      <c r="E52" s="21">
        <v>19600</v>
      </c>
      <c r="F52" s="21">
        <v>19600</v>
      </c>
      <c r="G52" s="12">
        <v>0</v>
      </c>
      <c r="H52" s="14">
        <f t="shared" si="0"/>
        <v>0</v>
      </c>
      <c r="I52" s="14">
        <v>0</v>
      </c>
      <c r="J52" s="14">
        <v>0</v>
      </c>
      <c r="K52" s="14">
        <f t="shared" si="1"/>
        <v>0</v>
      </c>
      <c r="L52" s="14">
        <v>0</v>
      </c>
      <c r="M52" s="14">
        <v>0</v>
      </c>
      <c r="N52" s="14">
        <f t="shared" si="2"/>
        <v>0</v>
      </c>
      <c r="O52" s="14">
        <f t="shared" si="2"/>
        <v>0</v>
      </c>
      <c r="P52" s="22">
        <f t="shared" si="2"/>
        <v>0</v>
      </c>
      <c r="Q52" s="22"/>
    </row>
    <row r="53" spans="2:17" x14ac:dyDescent="0.4">
      <c r="B53" s="16">
        <v>42901</v>
      </c>
      <c r="C53" s="21">
        <v>19600</v>
      </c>
      <c r="D53" s="21">
        <v>19600</v>
      </c>
      <c r="E53" s="21">
        <v>19600</v>
      </c>
      <c r="F53" s="21">
        <v>19600</v>
      </c>
      <c r="G53" s="12">
        <v>0</v>
      </c>
      <c r="H53" s="14">
        <f t="shared" si="0"/>
        <v>0</v>
      </c>
      <c r="I53" s="14">
        <v>0</v>
      </c>
      <c r="J53" s="14">
        <v>0</v>
      </c>
      <c r="K53" s="14">
        <f t="shared" si="1"/>
        <v>0</v>
      </c>
      <c r="L53" s="14">
        <v>0</v>
      </c>
      <c r="M53" s="14">
        <v>0</v>
      </c>
      <c r="N53" s="14">
        <f t="shared" si="2"/>
        <v>0</v>
      </c>
      <c r="O53" s="14">
        <f t="shared" si="2"/>
        <v>0</v>
      </c>
      <c r="P53" s="22">
        <f t="shared" si="2"/>
        <v>0</v>
      </c>
      <c r="Q53" s="22"/>
    </row>
    <row r="54" spans="2:17" x14ac:dyDescent="0.4">
      <c r="B54" s="16">
        <v>42902</v>
      </c>
      <c r="C54" s="21">
        <v>19600</v>
      </c>
      <c r="D54" s="21">
        <v>19600</v>
      </c>
      <c r="E54" s="21">
        <v>19600</v>
      </c>
      <c r="F54" s="21">
        <v>19600</v>
      </c>
      <c r="G54" s="12">
        <v>0</v>
      </c>
      <c r="H54" s="14">
        <f t="shared" si="0"/>
        <v>0</v>
      </c>
      <c r="I54" s="14">
        <v>0</v>
      </c>
      <c r="J54" s="14">
        <v>0</v>
      </c>
      <c r="K54" s="14">
        <f t="shared" si="1"/>
        <v>0</v>
      </c>
      <c r="L54" s="14">
        <v>0</v>
      </c>
      <c r="M54" s="14">
        <v>0</v>
      </c>
      <c r="N54" s="14">
        <f t="shared" si="2"/>
        <v>0</v>
      </c>
      <c r="O54" s="14">
        <f t="shared" si="2"/>
        <v>0</v>
      </c>
      <c r="P54" s="22">
        <f t="shared" si="2"/>
        <v>0</v>
      </c>
      <c r="Q54" s="4" t="str">
        <f>IFERROR(SUM(M50:M54)/SUM(J50:J54),"")</f>
        <v/>
      </c>
    </row>
    <row r="55" spans="2:17" x14ac:dyDescent="0.4">
      <c r="B55" s="16">
        <v>42905</v>
      </c>
      <c r="C55" s="21">
        <v>19600</v>
      </c>
      <c r="D55" s="21">
        <v>19600</v>
      </c>
      <c r="E55" s="21">
        <v>19600</v>
      </c>
      <c r="F55" s="21">
        <v>19600</v>
      </c>
      <c r="G55" s="12">
        <v>0</v>
      </c>
      <c r="H55" s="14">
        <f t="shared" si="0"/>
        <v>0</v>
      </c>
      <c r="I55" s="14">
        <v>0</v>
      </c>
      <c r="J55" s="14">
        <v>0</v>
      </c>
      <c r="K55" s="14">
        <f t="shared" si="1"/>
        <v>0</v>
      </c>
      <c r="L55" s="14">
        <v>0</v>
      </c>
      <c r="M55" s="14">
        <v>0</v>
      </c>
      <c r="N55" s="14">
        <f t="shared" si="2"/>
        <v>0</v>
      </c>
      <c r="O55" s="14">
        <f t="shared" si="2"/>
        <v>0</v>
      </c>
      <c r="P55" s="22">
        <f t="shared" si="2"/>
        <v>0</v>
      </c>
      <c r="Q55" s="22"/>
    </row>
    <row r="56" spans="2:17" x14ac:dyDescent="0.4">
      <c r="B56" s="16">
        <v>42906</v>
      </c>
      <c r="C56" s="21">
        <v>19600</v>
      </c>
      <c r="D56" s="21">
        <v>19600</v>
      </c>
      <c r="E56" s="21">
        <v>19600</v>
      </c>
      <c r="F56" s="21">
        <v>19600</v>
      </c>
      <c r="G56" s="12">
        <v>0</v>
      </c>
      <c r="H56" s="14">
        <f t="shared" si="0"/>
        <v>0</v>
      </c>
      <c r="I56" s="14">
        <v>0</v>
      </c>
      <c r="J56" s="14">
        <v>0</v>
      </c>
      <c r="K56" s="14">
        <f t="shared" si="1"/>
        <v>0</v>
      </c>
      <c r="L56" s="14">
        <v>0</v>
      </c>
      <c r="M56" s="14">
        <v>0</v>
      </c>
      <c r="N56" s="14">
        <f t="shared" si="2"/>
        <v>0</v>
      </c>
      <c r="O56" s="14">
        <f t="shared" si="2"/>
        <v>0</v>
      </c>
      <c r="P56" s="22">
        <f t="shared" si="2"/>
        <v>0</v>
      </c>
      <c r="Q56" s="22"/>
    </row>
    <row r="57" spans="2:17" x14ac:dyDescent="0.4">
      <c r="B57" s="16">
        <v>42907</v>
      </c>
      <c r="C57" s="21">
        <v>20000</v>
      </c>
      <c r="D57" s="21">
        <v>20000</v>
      </c>
      <c r="E57" s="21">
        <v>20000</v>
      </c>
      <c r="F57" s="21">
        <v>20000</v>
      </c>
      <c r="G57" s="12">
        <v>2.04</v>
      </c>
      <c r="H57" s="14">
        <f t="shared" si="0"/>
        <v>0</v>
      </c>
      <c r="I57" s="14">
        <v>0</v>
      </c>
      <c r="J57" s="14">
        <v>0</v>
      </c>
      <c r="K57" s="14">
        <f t="shared" si="1"/>
        <v>0</v>
      </c>
      <c r="L57" s="14">
        <v>0</v>
      </c>
      <c r="M57" s="14">
        <v>0</v>
      </c>
      <c r="N57" s="14">
        <f t="shared" si="2"/>
        <v>0</v>
      </c>
      <c r="O57" s="14">
        <f t="shared" si="2"/>
        <v>0</v>
      </c>
      <c r="P57" s="22">
        <f t="shared" si="2"/>
        <v>0</v>
      </c>
      <c r="Q57" s="22"/>
    </row>
    <row r="58" spans="2:17" x14ac:dyDescent="0.4">
      <c r="B58" s="16">
        <v>42908</v>
      </c>
      <c r="C58" s="21">
        <v>20000</v>
      </c>
      <c r="D58" s="21">
        <v>20000</v>
      </c>
      <c r="E58" s="21">
        <v>20000</v>
      </c>
      <c r="F58" s="21">
        <v>20000</v>
      </c>
      <c r="G58" s="12">
        <v>0</v>
      </c>
      <c r="H58" s="14">
        <f t="shared" si="0"/>
        <v>0</v>
      </c>
      <c r="I58" s="14">
        <v>0</v>
      </c>
      <c r="J58" s="14">
        <v>0</v>
      </c>
      <c r="K58" s="14">
        <f t="shared" si="1"/>
        <v>0</v>
      </c>
      <c r="L58" s="14">
        <v>0</v>
      </c>
      <c r="M58" s="14">
        <v>0</v>
      </c>
      <c r="N58" s="14">
        <f t="shared" si="2"/>
        <v>0</v>
      </c>
      <c r="O58" s="14">
        <f t="shared" si="2"/>
        <v>0</v>
      </c>
      <c r="P58" s="22">
        <f t="shared" si="2"/>
        <v>0</v>
      </c>
      <c r="Q58" s="22"/>
    </row>
    <row r="59" spans="2:17" x14ac:dyDescent="0.4">
      <c r="B59" s="16">
        <v>42909</v>
      </c>
      <c r="C59" s="21">
        <v>20000</v>
      </c>
      <c r="D59" s="21">
        <v>20000</v>
      </c>
      <c r="E59" s="21">
        <v>20000</v>
      </c>
      <c r="F59" s="21">
        <v>20000</v>
      </c>
      <c r="G59" s="12">
        <v>0</v>
      </c>
      <c r="H59" s="14">
        <f t="shared" si="0"/>
        <v>0</v>
      </c>
      <c r="I59" s="14">
        <v>0</v>
      </c>
      <c r="J59" s="14">
        <v>0</v>
      </c>
      <c r="K59" s="14">
        <f t="shared" si="1"/>
        <v>0</v>
      </c>
      <c r="L59" s="14">
        <v>0</v>
      </c>
      <c r="M59" s="14">
        <v>0</v>
      </c>
      <c r="N59" s="14">
        <f t="shared" si="2"/>
        <v>0</v>
      </c>
      <c r="O59" s="14">
        <f t="shared" si="2"/>
        <v>0</v>
      </c>
      <c r="P59" s="22">
        <f t="shared" si="2"/>
        <v>0</v>
      </c>
      <c r="Q59" s="4" t="str">
        <f>IFERROR(SUM(M55:M59)/SUM(J55:J59),"")</f>
        <v/>
      </c>
    </row>
    <row r="60" spans="2:17" x14ac:dyDescent="0.4">
      <c r="B60" s="16">
        <v>42912</v>
      </c>
      <c r="C60" s="21">
        <v>20000</v>
      </c>
      <c r="D60" s="21">
        <v>20000</v>
      </c>
      <c r="E60" s="21">
        <v>20000</v>
      </c>
      <c r="F60" s="21">
        <v>20000</v>
      </c>
      <c r="G60" s="12">
        <v>0</v>
      </c>
      <c r="H60" s="14">
        <f t="shared" si="0"/>
        <v>0</v>
      </c>
      <c r="I60" s="14">
        <v>0</v>
      </c>
      <c r="J60" s="14">
        <v>0</v>
      </c>
      <c r="K60" s="14">
        <f t="shared" si="1"/>
        <v>0</v>
      </c>
      <c r="L60" s="14">
        <v>0</v>
      </c>
      <c r="M60" s="14">
        <v>0</v>
      </c>
      <c r="N60" s="14">
        <f t="shared" si="2"/>
        <v>0</v>
      </c>
      <c r="O60" s="14">
        <f t="shared" si="2"/>
        <v>0</v>
      </c>
      <c r="P60" s="22">
        <f t="shared" si="2"/>
        <v>0</v>
      </c>
      <c r="Q60" s="22"/>
    </row>
    <row r="61" spans="2:17" x14ac:dyDescent="0.4">
      <c r="B61" s="16">
        <v>42913</v>
      </c>
      <c r="C61" s="21">
        <v>20000</v>
      </c>
      <c r="D61" s="21">
        <v>20000</v>
      </c>
      <c r="E61" s="21">
        <v>20000</v>
      </c>
      <c r="F61" s="21">
        <v>20000</v>
      </c>
      <c r="G61" s="12">
        <v>0</v>
      </c>
      <c r="H61" s="14">
        <f t="shared" si="0"/>
        <v>0</v>
      </c>
      <c r="I61" s="14">
        <v>0</v>
      </c>
      <c r="J61" s="14">
        <v>0</v>
      </c>
      <c r="K61" s="14">
        <f t="shared" si="1"/>
        <v>0</v>
      </c>
      <c r="L61" s="14">
        <v>0</v>
      </c>
      <c r="M61" s="14">
        <v>0</v>
      </c>
      <c r="N61" s="14">
        <f t="shared" si="2"/>
        <v>0</v>
      </c>
      <c r="O61" s="14">
        <f t="shared" si="2"/>
        <v>0</v>
      </c>
      <c r="P61" s="22">
        <f t="shared" si="2"/>
        <v>0</v>
      </c>
      <c r="Q61" s="22"/>
    </row>
    <row r="62" spans="2:17" x14ac:dyDescent="0.4">
      <c r="B62" s="16">
        <v>42914</v>
      </c>
      <c r="C62" s="21">
        <v>20000</v>
      </c>
      <c r="D62" s="21">
        <v>20000</v>
      </c>
      <c r="E62" s="21">
        <v>20000</v>
      </c>
      <c r="F62" s="21">
        <v>20000</v>
      </c>
      <c r="G62" s="12">
        <v>0</v>
      </c>
      <c r="H62" s="14">
        <f t="shared" si="0"/>
        <v>0</v>
      </c>
      <c r="I62" s="14">
        <v>0</v>
      </c>
      <c r="J62" s="14">
        <v>0</v>
      </c>
      <c r="K62" s="14">
        <f t="shared" si="1"/>
        <v>0</v>
      </c>
      <c r="L62" s="14">
        <v>0</v>
      </c>
      <c r="M62" s="14">
        <v>0</v>
      </c>
      <c r="N62" s="14">
        <f t="shared" si="2"/>
        <v>0</v>
      </c>
      <c r="O62" s="14">
        <f t="shared" si="2"/>
        <v>0</v>
      </c>
      <c r="P62" s="22">
        <f t="shared" si="2"/>
        <v>0</v>
      </c>
      <c r="Q62" s="22"/>
    </row>
    <row r="63" spans="2:17" x14ac:dyDescent="0.4">
      <c r="B63" s="16">
        <v>42915</v>
      </c>
      <c r="C63" s="21">
        <v>20000</v>
      </c>
      <c r="D63" s="21">
        <v>20000</v>
      </c>
      <c r="E63" s="21">
        <v>20000</v>
      </c>
      <c r="F63" s="21">
        <v>20000</v>
      </c>
      <c r="G63" s="12">
        <v>0</v>
      </c>
      <c r="H63" s="14">
        <f t="shared" si="0"/>
        <v>0</v>
      </c>
      <c r="I63" s="14">
        <v>0</v>
      </c>
      <c r="J63" s="14">
        <v>0</v>
      </c>
      <c r="K63" s="14">
        <f t="shared" si="1"/>
        <v>0</v>
      </c>
      <c r="L63" s="14">
        <v>0</v>
      </c>
      <c r="M63" s="14">
        <v>0</v>
      </c>
      <c r="N63" s="14">
        <f t="shared" si="2"/>
        <v>0</v>
      </c>
      <c r="O63" s="14">
        <f t="shared" si="2"/>
        <v>0</v>
      </c>
      <c r="P63" s="22">
        <f t="shared" si="2"/>
        <v>0</v>
      </c>
      <c r="Q63" s="22"/>
    </row>
    <row r="64" spans="2:17" x14ac:dyDescent="0.4">
      <c r="B64" s="16">
        <v>42916</v>
      </c>
      <c r="C64" s="21">
        <v>20000</v>
      </c>
      <c r="D64" s="21">
        <v>20000</v>
      </c>
      <c r="E64" s="21">
        <v>20000</v>
      </c>
      <c r="F64" s="21">
        <v>20000</v>
      </c>
      <c r="G64" s="12">
        <v>0</v>
      </c>
      <c r="H64" s="14">
        <f t="shared" si="0"/>
        <v>0</v>
      </c>
      <c r="I64" s="14">
        <v>0</v>
      </c>
      <c r="J64" s="14">
        <v>0</v>
      </c>
      <c r="K64" s="14">
        <f t="shared" si="1"/>
        <v>0</v>
      </c>
      <c r="L64" s="14">
        <v>0</v>
      </c>
      <c r="M64" s="14">
        <v>0</v>
      </c>
      <c r="N64" s="14">
        <f t="shared" si="2"/>
        <v>0</v>
      </c>
      <c r="O64" s="14">
        <f t="shared" si="2"/>
        <v>0</v>
      </c>
      <c r="P64" s="22">
        <f t="shared" si="2"/>
        <v>0</v>
      </c>
      <c r="Q64" s="4" t="str">
        <f>IFERROR(SUM(M60:M64)/SUM(J60:J64),"")</f>
        <v/>
      </c>
    </row>
    <row r="65" spans="2:17" x14ac:dyDescent="0.4">
      <c r="B65" s="16">
        <v>42919</v>
      </c>
      <c r="C65" s="21">
        <v>20800</v>
      </c>
      <c r="D65" s="21">
        <v>20800</v>
      </c>
      <c r="E65" s="21">
        <v>20800</v>
      </c>
      <c r="F65" s="21">
        <v>20800</v>
      </c>
      <c r="G65" s="12">
        <v>0</v>
      </c>
      <c r="H65" s="14">
        <f t="shared" si="0"/>
        <v>0</v>
      </c>
      <c r="I65" s="14">
        <v>0</v>
      </c>
      <c r="J65" s="14">
        <v>0</v>
      </c>
      <c r="K65" s="14">
        <f t="shared" si="1"/>
        <v>0</v>
      </c>
      <c r="L65" s="14">
        <v>0</v>
      </c>
      <c r="M65" s="14">
        <v>0</v>
      </c>
      <c r="N65" s="14">
        <f t="shared" si="2"/>
        <v>0</v>
      </c>
      <c r="O65" s="14">
        <f t="shared" si="2"/>
        <v>0</v>
      </c>
      <c r="P65" s="22">
        <f t="shared" si="2"/>
        <v>0</v>
      </c>
      <c r="Q65" s="22"/>
    </row>
    <row r="66" spans="2:17" x14ac:dyDescent="0.4">
      <c r="B66" s="16">
        <v>42920</v>
      </c>
      <c r="C66" s="21">
        <v>20800</v>
      </c>
      <c r="D66" s="21">
        <v>20800</v>
      </c>
      <c r="E66" s="21">
        <v>20800</v>
      </c>
      <c r="F66" s="21">
        <v>20800</v>
      </c>
      <c r="G66" s="12">
        <v>0</v>
      </c>
      <c r="H66" s="14">
        <f t="shared" si="0"/>
        <v>0</v>
      </c>
      <c r="I66" s="14">
        <v>0</v>
      </c>
      <c r="J66" s="14">
        <v>0</v>
      </c>
      <c r="K66" s="14">
        <f t="shared" si="1"/>
        <v>0</v>
      </c>
      <c r="L66" s="14">
        <v>0</v>
      </c>
      <c r="M66" s="14">
        <v>0</v>
      </c>
      <c r="N66" s="14">
        <f t="shared" si="2"/>
        <v>0</v>
      </c>
      <c r="O66" s="14">
        <f t="shared" si="2"/>
        <v>0</v>
      </c>
      <c r="P66" s="22">
        <f t="shared" si="2"/>
        <v>0</v>
      </c>
      <c r="Q66" s="22"/>
    </row>
    <row r="67" spans="2:17" x14ac:dyDescent="0.4">
      <c r="B67" s="16">
        <v>42921</v>
      </c>
      <c r="C67" s="21">
        <v>20800</v>
      </c>
      <c r="D67" s="21">
        <v>20800</v>
      </c>
      <c r="E67" s="21">
        <v>20800</v>
      </c>
      <c r="F67" s="21">
        <v>20800</v>
      </c>
      <c r="G67" s="12">
        <v>0</v>
      </c>
      <c r="H67" s="14">
        <f t="shared" si="0"/>
        <v>0</v>
      </c>
      <c r="I67" s="14">
        <v>0</v>
      </c>
      <c r="J67" s="14">
        <v>0</v>
      </c>
      <c r="K67" s="14">
        <f t="shared" si="1"/>
        <v>0</v>
      </c>
      <c r="L67" s="14">
        <v>0</v>
      </c>
      <c r="M67" s="14">
        <v>0</v>
      </c>
      <c r="N67" s="14">
        <f t="shared" si="2"/>
        <v>0</v>
      </c>
      <c r="O67" s="14">
        <f t="shared" si="2"/>
        <v>0</v>
      </c>
      <c r="P67" s="22">
        <f t="shared" si="2"/>
        <v>0</v>
      </c>
      <c r="Q67" s="22"/>
    </row>
    <row r="68" spans="2:17" x14ac:dyDescent="0.4">
      <c r="B68" s="16">
        <v>42922</v>
      </c>
      <c r="C68" s="21">
        <v>20800</v>
      </c>
      <c r="D68" s="21">
        <v>20800</v>
      </c>
      <c r="E68" s="21">
        <v>20800</v>
      </c>
      <c r="F68" s="21">
        <v>20800</v>
      </c>
      <c r="G68" s="12">
        <v>0</v>
      </c>
      <c r="H68" s="14">
        <f t="shared" si="0"/>
        <v>0</v>
      </c>
      <c r="I68" s="14">
        <v>0</v>
      </c>
      <c r="J68" s="14">
        <v>0</v>
      </c>
      <c r="K68" s="14">
        <f t="shared" si="1"/>
        <v>0</v>
      </c>
      <c r="L68" s="14">
        <v>0</v>
      </c>
      <c r="M68" s="14">
        <v>0</v>
      </c>
      <c r="N68" s="14">
        <f t="shared" si="2"/>
        <v>0</v>
      </c>
      <c r="O68" s="14">
        <f t="shared" si="2"/>
        <v>0</v>
      </c>
      <c r="P68" s="22">
        <f t="shared" si="2"/>
        <v>0</v>
      </c>
      <c r="Q68" s="22"/>
    </row>
    <row r="69" spans="2:17" x14ac:dyDescent="0.4">
      <c r="B69" s="16">
        <v>42923</v>
      </c>
      <c r="C69" s="21">
        <v>20800</v>
      </c>
      <c r="D69" s="21">
        <v>20800</v>
      </c>
      <c r="E69" s="21">
        <v>20800</v>
      </c>
      <c r="F69" s="21">
        <v>20800</v>
      </c>
      <c r="G69" s="12">
        <v>0</v>
      </c>
      <c r="H69" s="14">
        <f t="shared" si="0"/>
        <v>0</v>
      </c>
      <c r="I69" s="14">
        <v>0</v>
      </c>
      <c r="J69" s="14">
        <v>0</v>
      </c>
      <c r="K69" s="14">
        <f t="shared" si="1"/>
        <v>0</v>
      </c>
      <c r="L69" s="14">
        <v>0</v>
      </c>
      <c r="M69" s="14">
        <v>0</v>
      </c>
      <c r="N69" s="14">
        <f t="shared" si="2"/>
        <v>0</v>
      </c>
      <c r="O69" s="14">
        <f t="shared" si="2"/>
        <v>0</v>
      </c>
      <c r="P69" s="22">
        <f t="shared" si="2"/>
        <v>0</v>
      </c>
      <c r="Q69" s="4" t="str">
        <f>IFERROR(SUM(M65:M69)/SUM(J65:J69),"")</f>
        <v/>
      </c>
    </row>
    <row r="70" spans="2:17" x14ac:dyDescent="0.4">
      <c r="B70" s="16">
        <v>42926</v>
      </c>
      <c r="C70" s="21">
        <v>20800</v>
      </c>
      <c r="D70" s="21">
        <v>20800</v>
      </c>
      <c r="E70" s="21">
        <v>20800</v>
      </c>
      <c r="F70" s="21">
        <v>20800</v>
      </c>
      <c r="G70" s="12">
        <v>0</v>
      </c>
      <c r="H70" s="14">
        <f t="shared" si="0"/>
        <v>0</v>
      </c>
      <c r="I70" s="14">
        <v>0</v>
      </c>
      <c r="J70" s="14">
        <v>0</v>
      </c>
      <c r="K70" s="14">
        <f t="shared" si="1"/>
        <v>0</v>
      </c>
      <c r="L70" s="14">
        <v>0</v>
      </c>
      <c r="M70" s="14">
        <v>0</v>
      </c>
      <c r="N70" s="14">
        <f t="shared" si="2"/>
        <v>0</v>
      </c>
      <c r="O70" s="14">
        <f t="shared" si="2"/>
        <v>0</v>
      </c>
      <c r="P70" s="22">
        <f t="shared" si="2"/>
        <v>0</v>
      </c>
      <c r="Q70" s="22"/>
    </row>
    <row r="71" spans="2:17" x14ac:dyDescent="0.4">
      <c r="B71" s="16">
        <v>42927</v>
      </c>
      <c r="C71" s="21">
        <v>20800</v>
      </c>
      <c r="D71" s="21">
        <v>20800</v>
      </c>
      <c r="E71" s="21">
        <v>20800</v>
      </c>
      <c r="F71" s="21">
        <v>20800</v>
      </c>
      <c r="G71" s="12">
        <v>0</v>
      </c>
      <c r="H71" s="14">
        <f t="shared" si="0"/>
        <v>0</v>
      </c>
      <c r="I71" s="14">
        <v>0</v>
      </c>
      <c r="J71" s="14">
        <v>0</v>
      </c>
      <c r="K71" s="14">
        <f t="shared" si="1"/>
        <v>0</v>
      </c>
      <c r="L71" s="14">
        <v>0</v>
      </c>
      <c r="M71" s="14">
        <v>0</v>
      </c>
      <c r="N71" s="14">
        <f t="shared" si="2"/>
        <v>0</v>
      </c>
      <c r="O71" s="14">
        <f t="shared" si="2"/>
        <v>0</v>
      </c>
      <c r="P71" s="22">
        <f t="shared" si="2"/>
        <v>0</v>
      </c>
      <c r="Q71" s="22"/>
    </row>
    <row r="72" spans="2:17" x14ac:dyDescent="0.4">
      <c r="B72" s="16">
        <v>42928</v>
      </c>
      <c r="C72" s="21">
        <v>20800</v>
      </c>
      <c r="D72" s="21">
        <v>20800</v>
      </c>
      <c r="E72" s="21">
        <v>20800</v>
      </c>
      <c r="F72" s="21">
        <v>20800</v>
      </c>
      <c r="G72" s="12">
        <v>0</v>
      </c>
      <c r="H72" s="14">
        <f t="shared" si="0"/>
        <v>0</v>
      </c>
      <c r="I72" s="14">
        <v>0</v>
      </c>
      <c r="J72" s="14">
        <v>0</v>
      </c>
      <c r="K72" s="14">
        <f t="shared" si="1"/>
        <v>0</v>
      </c>
      <c r="L72" s="14">
        <v>0</v>
      </c>
      <c r="M72" s="14">
        <v>0</v>
      </c>
      <c r="N72" s="14">
        <f t="shared" si="2"/>
        <v>0</v>
      </c>
      <c r="O72" s="14">
        <f t="shared" si="2"/>
        <v>0</v>
      </c>
      <c r="P72" s="22">
        <f t="shared" si="2"/>
        <v>0</v>
      </c>
      <c r="Q72" s="22"/>
    </row>
    <row r="73" spans="2:17" x14ac:dyDescent="0.4">
      <c r="B73" s="16">
        <v>42929</v>
      </c>
      <c r="C73" s="21">
        <v>20800</v>
      </c>
      <c r="D73" s="21">
        <v>20800</v>
      </c>
      <c r="E73" s="21">
        <v>20800</v>
      </c>
      <c r="F73" s="21">
        <v>20800</v>
      </c>
      <c r="G73" s="12">
        <v>0</v>
      </c>
      <c r="H73" s="14">
        <f t="shared" si="0"/>
        <v>0</v>
      </c>
      <c r="I73" s="14">
        <v>0</v>
      </c>
      <c r="J73" s="14">
        <v>0</v>
      </c>
      <c r="K73" s="14">
        <f t="shared" si="1"/>
        <v>0</v>
      </c>
      <c r="L73" s="14">
        <v>0</v>
      </c>
      <c r="M73" s="14">
        <v>0</v>
      </c>
      <c r="N73" s="14">
        <f t="shared" si="2"/>
        <v>0</v>
      </c>
      <c r="O73" s="14">
        <f t="shared" si="2"/>
        <v>0</v>
      </c>
      <c r="P73" s="22">
        <f t="shared" si="2"/>
        <v>0</v>
      </c>
      <c r="Q73" s="22"/>
    </row>
    <row r="74" spans="2:17" x14ac:dyDescent="0.4">
      <c r="B74" s="16">
        <v>42930</v>
      </c>
      <c r="C74" s="21">
        <v>20800</v>
      </c>
      <c r="D74" s="21">
        <v>20800</v>
      </c>
      <c r="E74" s="21">
        <v>20800</v>
      </c>
      <c r="F74" s="21">
        <v>20800</v>
      </c>
      <c r="G74" s="12">
        <v>0</v>
      </c>
      <c r="H74" s="14">
        <f t="shared" si="0"/>
        <v>0</v>
      </c>
      <c r="I74" s="14">
        <v>0</v>
      </c>
      <c r="J74" s="14">
        <v>0</v>
      </c>
      <c r="K74" s="14">
        <f t="shared" si="1"/>
        <v>0</v>
      </c>
      <c r="L74" s="14">
        <v>0</v>
      </c>
      <c r="M74" s="14">
        <v>0</v>
      </c>
      <c r="N74" s="14">
        <f t="shared" si="2"/>
        <v>0</v>
      </c>
      <c r="O74" s="14">
        <f t="shared" si="2"/>
        <v>0</v>
      </c>
      <c r="P74" s="22">
        <f t="shared" si="2"/>
        <v>0</v>
      </c>
      <c r="Q74" s="4" t="str">
        <f>IFERROR(SUM(M70:M74)/SUM(J70:J74),"")</f>
        <v/>
      </c>
    </row>
    <row r="75" spans="2:17" x14ac:dyDescent="0.4">
      <c r="B75" s="16">
        <v>42933</v>
      </c>
      <c r="C75" s="21">
        <v>20800</v>
      </c>
      <c r="D75" s="21">
        <v>20800</v>
      </c>
      <c r="E75" s="21">
        <v>20800</v>
      </c>
      <c r="F75" s="21">
        <v>20800</v>
      </c>
      <c r="G75" s="12">
        <v>0</v>
      </c>
      <c r="H75" s="14">
        <f t="shared" si="0"/>
        <v>0</v>
      </c>
      <c r="I75" s="14">
        <v>0</v>
      </c>
      <c r="J75" s="14">
        <v>0</v>
      </c>
      <c r="K75" s="14">
        <f t="shared" si="1"/>
        <v>0</v>
      </c>
      <c r="L75" s="14">
        <v>0</v>
      </c>
      <c r="M75" s="14">
        <v>0</v>
      </c>
      <c r="N75" s="14">
        <f t="shared" si="2"/>
        <v>0</v>
      </c>
      <c r="O75" s="14">
        <f t="shared" si="2"/>
        <v>0</v>
      </c>
      <c r="P75" s="22">
        <f t="shared" si="2"/>
        <v>0</v>
      </c>
      <c r="Q75" s="22"/>
    </row>
    <row r="76" spans="2:17" x14ac:dyDescent="0.4">
      <c r="B76" s="16">
        <v>42934</v>
      </c>
      <c r="C76" s="21">
        <v>20800</v>
      </c>
      <c r="D76" s="21">
        <v>20800</v>
      </c>
      <c r="E76" s="21">
        <v>20800</v>
      </c>
      <c r="F76" s="21">
        <v>20800</v>
      </c>
      <c r="G76" s="12">
        <v>0</v>
      </c>
      <c r="H76" s="14">
        <f t="shared" si="0"/>
        <v>0</v>
      </c>
      <c r="I76" s="14">
        <v>0</v>
      </c>
      <c r="J76" s="14">
        <v>0</v>
      </c>
      <c r="K76" s="14">
        <f t="shared" si="1"/>
        <v>0</v>
      </c>
      <c r="L76" s="14">
        <v>0</v>
      </c>
      <c r="M76" s="14">
        <v>0</v>
      </c>
      <c r="N76" s="14">
        <f t="shared" si="2"/>
        <v>0</v>
      </c>
      <c r="O76" s="14">
        <f t="shared" si="2"/>
        <v>0</v>
      </c>
      <c r="P76" s="22">
        <f t="shared" si="2"/>
        <v>0</v>
      </c>
      <c r="Q76" s="22"/>
    </row>
    <row r="77" spans="2:17" x14ac:dyDescent="0.4">
      <c r="B77" s="16">
        <v>42935</v>
      </c>
      <c r="C77" s="21">
        <v>20800</v>
      </c>
      <c r="D77" s="21">
        <v>20800</v>
      </c>
      <c r="E77" s="21">
        <v>20800</v>
      </c>
      <c r="F77" s="21">
        <v>20800</v>
      </c>
      <c r="G77" s="12">
        <v>0</v>
      </c>
      <c r="H77" s="14">
        <f t="shared" si="0"/>
        <v>0</v>
      </c>
      <c r="I77" s="14">
        <v>0</v>
      </c>
      <c r="J77" s="14">
        <v>0</v>
      </c>
      <c r="K77" s="14">
        <f t="shared" si="1"/>
        <v>0</v>
      </c>
      <c r="L77" s="14">
        <v>0</v>
      </c>
      <c r="M77" s="14">
        <v>0</v>
      </c>
      <c r="N77" s="14">
        <f t="shared" si="2"/>
        <v>0</v>
      </c>
      <c r="O77" s="14">
        <f t="shared" si="2"/>
        <v>0</v>
      </c>
      <c r="P77" s="22">
        <f t="shared" si="2"/>
        <v>0</v>
      </c>
      <c r="Q77" s="22"/>
    </row>
    <row r="78" spans="2:17" x14ac:dyDescent="0.4">
      <c r="B78" s="16">
        <v>42936</v>
      </c>
      <c r="C78" s="21">
        <v>20800</v>
      </c>
      <c r="D78" s="21">
        <v>20800</v>
      </c>
      <c r="E78" s="21">
        <v>20800</v>
      </c>
      <c r="F78" s="21">
        <v>20800</v>
      </c>
      <c r="G78" s="12">
        <v>0</v>
      </c>
      <c r="H78" s="14">
        <f t="shared" si="0"/>
        <v>0</v>
      </c>
      <c r="I78" s="14">
        <v>0</v>
      </c>
      <c r="J78" s="14">
        <v>0</v>
      </c>
      <c r="K78" s="14">
        <f t="shared" si="1"/>
        <v>0</v>
      </c>
      <c r="L78" s="14">
        <v>0</v>
      </c>
      <c r="M78" s="14">
        <v>0</v>
      </c>
      <c r="N78" s="14">
        <f t="shared" si="2"/>
        <v>0</v>
      </c>
      <c r="O78" s="14">
        <f t="shared" si="2"/>
        <v>0</v>
      </c>
      <c r="P78" s="22">
        <f t="shared" si="2"/>
        <v>0</v>
      </c>
      <c r="Q78" s="22"/>
    </row>
    <row r="79" spans="2:17" x14ac:dyDescent="0.4">
      <c r="B79" s="16">
        <v>42937</v>
      </c>
      <c r="C79" s="21">
        <v>20800</v>
      </c>
      <c r="D79" s="21">
        <v>20800</v>
      </c>
      <c r="E79" s="21">
        <v>20800</v>
      </c>
      <c r="F79" s="21">
        <v>20800</v>
      </c>
      <c r="G79" s="12">
        <v>0</v>
      </c>
      <c r="H79" s="14">
        <f t="shared" si="0"/>
        <v>0</v>
      </c>
      <c r="I79" s="14">
        <v>0</v>
      </c>
      <c r="J79" s="14">
        <v>0</v>
      </c>
      <c r="K79" s="14">
        <f t="shared" si="1"/>
        <v>0</v>
      </c>
      <c r="L79" s="14">
        <v>0</v>
      </c>
      <c r="M79" s="14">
        <v>0</v>
      </c>
      <c r="N79" s="14">
        <f t="shared" si="2"/>
        <v>0</v>
      </c>
      <c r="O79" s="14">
        <f t="shared" si="2"/>
        <v>0</v>
      </c>
      <c r="P79" s="22">
        <f t="shared" si="2"/>
        <v>0</v>
      </c>
      <c r="Q79" s="4" t="str">
        <f>IFERROR(SUM(M75:M79)/SUM(J75:J79),"")</f>
        <v/>
      </c>
    </row>
    <row r="80" spans="2:17" x14ac:dyDescent="0.4">
      <c r="B80" s="16">
        <v>42940</v>
      </c>
      <c r="C80" s="21">
        <v>20800</v>
      </c>
      <c r="D80" s="21">
        <v>20800</v>
      </c>
      <c r="E80" s="21">
        <v>20800</v>
      </c>
      <c r="F80" s="21">
        <v>20800</v>
      </c>
      <c r="G80" s="12">
        <v>0</v>
      </c>
      <c r="H80" s="14">
        <f t="shared" si="0"/>
        <v>0</v>
      </c>
      <c r="I80" s="14">
        <v>0</v>
      </c>
      <c r="J80" s="14">
        <v>0</v>
      </c>
      <c r="K80" s="14">
        <f t="shared" si="1"/>
        <v>0</v>
      </c>
      <c r="L80" s="14">
        <v>0</v>
      </c>
      <c r="M80" s="14">
        <v>0</v>
      </c>
      <c r="N80" s="14">
        <f t="shared" si="2"/>
        <v>0</v>
      </c>
      <c r="O80" s="14">
        <f t="shared" si="2"/>
        <v>0</v>
      </c>
      <c r="P80" s="22">
        <f t="shared" si="2"/>
        <v>0</v>
      </c>
      <c r="Q80" s="22"/>
    </row>
    <row r="81" spans="2:17" x14ac:dyDescent="0.4">
      <c r="B81" s="16">
        <v>42941</v>
      </c>
      <c r="C81" s="21">
        <v>20800</v>
      </c>
      <c r="D81" s="21">
        <v>20800</v>
      </c>
      <c r="E81" s="21">
        <v>20800</v>
      </c>
      <c r="F81" s="21">
        <v>20800</v>
      </c>
      <c r="G81" s="12">
        <v>0</v>
      </c>
      <c r="H81" s="14">
        <f t="shared" si="0"/>
        <v>0</v>
      </c>
      <c r="I81" s="14">
        <v>0</v>
      </c>
      <c r="J81" s="14">
        <v>0</v>
      </c>
      <c r="K81" s="14">
        <f t="shared" si="1"/>
        <v>0</v>
      </c>
      <c r="L81" s="14">
        <v>0</v>
      </c>
      <c r="M81" s="14">
        <v>0</v>
      </c>
      <c r="N81" s="14">
        <f t="shared" si="2"/>
        <v>0</v>
      </c>
      <c r="O81" s="14">
        <f t="shared" si="2"/>
        <v>0</v>
      </c>
      <c r="P81" s="22">
        <f t="shared" si="2"/>
        <v>0</v>
      </c>
      <c r="Q81" s="22"/>
    </row>
    <row r="82" spans="2:17" x14ac:dyDescent="0.4">
      <c r="B82" s="16">
        <v>42942</v>
      </c>
      <c r="C82" s="21">
        <v>20800</v>
      </c>
      <c r="D82" s="21">
        <v>20800</v>
      </c>
      <c r="E82" s="21">
        <v>20800</v>
      </c>
      <c r="F82" s="21">
        <v>20800</v>
      </c>
      <c r="G82" s="12">
        <v>0</v>
      </c>
      <c r="H82" s="14">
        <f t="shared" si="0"/>
        <v>0</v>
      </c>
      <c r="I82" s="14">
        <v>0</v>
      </c>
      <c r="J82" s="14">
        <v>0</v>
      </c>
      <c r="K82" s="14">
        <f t="shared" si="1"/>
        <v>0</v>
      </c>
      <c r="L82" s="14">
        <v>0</v>
      </c>
      <c r="M82" s="14">
        <v>0</v>
      </c>
      <c r="N82" s="14">
        <f t="shared" si="2"/>
        <v>0</v>
      </c>
      <c r="O82" s="14">
        <f t="shared" si="2"/>
        <v>0</v>
      </c>
      <c r="P82" s="22">
        <f t="shared" si="2"/>
        <v>0</v>
      </c>
      <c r="Q82" s="22"/>
    </row>
    <row r="83" spans="2:17" x14ac:dyDescent="0.4">
      <c r="B83" s="16">
        <v>42943</v>
      </c>
      <c r="C83" s="21">
        <v>20800</v>
      </c>
      <c r="D83" s="21">
        <v>20800</v>
      </c>
      <c r="E83" s="21">
        <v>20800</v>
      </c>
      <c r="F83" s="21">
        <v>20800</v>
      </c>
      <c r="G83" s="12">
        <v>0</v>
      </c>
      <c r="H83" s="14">
        <f t="shared" si="0"/>
        <v>0</v>
      </c>
      <c r="I83" s="14">
        <v>0</v>
      </c>
      <c r="J83" s="14">
        <v>0</v>
      </c>
      <c r="K83" s="14">
        <f t="shared" si="1"/>
        <v>0</v>
      </c>
      <c r="L83" s="14">
        <v>0</v>
      </c>
      <c r="M83" s="14">
        <v>0</v>
      </c>
      <c r="N83" s="14">
        <f t="shared" si="2"/>
        <v>0</v>
      </c>
      <c r="O83" s="14">
        <f t="shared" si="2"/>
        <v>0</v>
      </c>
      <c r="P83" s="22">
        <f t="shared" si="2"/>
        <v>0</v>
      </c>
      <c r="Q83" s="22"/>
    </row>
    <row r="84" spans="2:17" x14ac:dyDescent="0.4">
      <c r="B84" s="16">
        <v>42944</v>
      </c>
      <c r="C84" s="21">
        <v>20800</v>
      </c>
      <c r="D84" s="21">
        <v>20800</v>
      </c>
      <c r="E84" s="21">
        <v>20800</v>
      </c>
      <c r="F84" s="21">
        <v>20800</v>
      </c>
      <c r="G84" s="12">
        <v>0</v>
      </c>
      <c r="H84" s="14">
        <f t="shared" si="0"/>
        <v>0</v>
      </c>
      <c r="I84" s="14">
        <v>0</v>
      </c>
      <c r="J84" s="14">
        <v>0</v>
      </c>
      <c r="K84" s="14">
        <f t="shared" si="1"/>
        <v>0</v>
      </c>
      <c r="L84" s="14">
        <v>0</v>
      </c>
      <c r="M84" s="14">
        <v>0</v>
      </c>
      <c r="N84" s="14">
        <f t="shared" si="2"/>
        <v>0</v>
      </c>
      <c r="O84" s="14">
        <f t="shared" si="2"/>
        <v>0</v>
      </c>
      <c r="P84" s="22">
        <f t="shared" si="2"/>
        <v>0</v>
      </c>
      <c r="Q84" s="4" t="str">
        <f>IFERROR(SUM(M80:M84)/SUM(J80:J84),"")</f>
        <v/>
      </c>
    </row>
    <row r="85" spans="2:17" x14ac:dyDescent="0.4">
      <c r="B85" s="16">
        <v>42947</v>
      </c>
      <c r="C85" s="21">
        <v>20800</v>
      </c>
      <c r="D85" s="21">
        <v>20800</v>
      </c>
      <c r="E85" s="21">
        <v>20800</v>
      </c>
      <c r="F85" s="21">
        <v>20800</v>
      </c>
      <c r="G85" s="12">
        <v>0</v>
      </c>
      <c r="H85" s="14">
        <f t="shared" si="0"/>
        <v>0</v>
      </c>
      <c r="I85" s="14">
        <v>0</v>
      </c>
      <c r="J85" s="14">
        <v>0</v>
      </c>
      <c r="K85" s="14">
        <f t="shared" si="1"/>
        <v>0</v>
      </c>
      <c r="L85" s="14">
        <v>0</v>
      </c>
      <c r="M85" s="14">
        <v>0</v>
      </c>
      <c r="N85" s="14">
        <f t="shared" si="2"/>
        <v>0</v>
      </c>
      <c r="O85" s="14">
        <f t="shared" si="2"/>
        <v>0</v>
      </c>
      <c r="P85" s="22">
        <f t="shared" si="2"/>
        <v>0</v>
      </c>
      <c r="Q85" s="22"/>
    </row>
    <row r="86" spans="2:17" x14ac:dyDescent="0.4">
      <c r="B86" s="16">
        <v>42948</v>
      </c>
      <c r="C86" s="21">
        <v>20800</v>
      </c>
      <c r="D86" s="21">
        <v>20800</v>
      </c>
      <c r="E86" s="21">
        <v>20800</v>
      </c>
      <c r="F86" s="21">
        <v>20800</v>
      </c>
      <c r="G86" s="12">
        <v>0</v>
      </c>
      <c r="H86" s="14">
        <f t="shared" si="0"/>
        <v>0</v>
      </c>
      <c r="I86" s="14">
        <v>0</v>
      </c>
      <c r="J86" s="14">
        <v>0</v>
      </c>
      <c r="K86" s="14">
        <f t="shared" si="1"/>
        <v>0</v>
      </c>
      <c r="L86" s="14">
        <v>0</v>
      </c>
      <c r="M86" s="14">
        <v>0</v>
      </c>
      <c r="N86" s="14">
        <f t="shared" si="2"/>
        <v>0</v>
      </c>
      <c r="O86" s="14">
        <f t="shared" si="2"/>
        <v>0</v>
      </c>
      <c r="P86" s="22">
        <f t="shared" si="2"/>
        <v>0</v>
      </c>
      <c r="Q86" s="22"/>
    </row>
    <row r="87" spans="2:17" x14ac:dyDescent="0.4">
      <c r="B87" s="16">
        <v>42949</v>
      </c>
      <c r="C87" s="21">
        <v>20800</v>
      </c>
      <c r="D87" s="21">
        <v>20800</v>
      </c>
      <c r="E87" s="21">
        <v>20800</v>
      </c>
      <c r="F87" s="21">
        <v>20800</v>
      </c>
      <c r="G87" s="12">
        <v>0</v>
      </c>
      <c r="H87" s="14">
        <f t="shared" si="0"/>
        <v>0</v>
      </c>
      <c r="I87" s="14">
        <v>0</v>
      </c>
      <c r="J87" s="14">
        <v>0</v>
      </c>
      <c r="K87" s="14">
        <f t="shared" si="1"/>
        <v>0</v>
      </c>
      <c r="L87" s="14">
        <v>0</v>
      </c>
      <c r="M87" s="14">
        <v>0</v>
      </c>
      <c r="N87" s="14">
        <f t="shared" si="2"/>
        <v>0</v>
      </c>
      <c r="O87" s="14">
        <f t="shared" si="2"/>
        <v>0</v>
      </c>
      <c r="P87" s="22">
        <f t="shared" si="2"/>
        <v>0</v>
      </c>
      <c r="Q87" s="22"/>
    </row>
    <row r="88" spans="2:17" x14ac:dyDescent="0.4">
      <c r="B88" s="16">
        <v>42950</v>
      </c>
      <c r="C88" s="21">
        <v>20800</v>
      </c>
      <c r="D88" s="21">
        <v>20800</v>
      </c>
      <c r="E88" s="21">
        <v>20800</v>
      </c>
      <c r="F88" s="21">
        <v>20800</v>
      </c>
      <c r="G88" s="12">
        <v>0</v>
      </c>
      <c r="H88" s="14">
        <f t="shared" si="0"/>
        <v>0</v>
      </c>
      <c r="I88" s="14">
        <v>0</v>
      </c>
      <c r="J88" s="14">
        <v>0</v>
      </c>
      <c r="K88" s="14">
        <f t="shared" si="1"/>
        <v>0</v>
      </c>
      <c r="L88" s="14">
        <v>0</v>
      </c>
      <c r="M88" s="14">
        <v>0</v>
      </c>
      <c r="N88" s="14">
        <f t="shared" si="2"/>
        <v>0</v>
      </c>
      <c r="O88" s="14">
        <f t="shared" si="2"/>
        <v>0</v>
      </c>
      <c r="P88" s="22">
        <f t="shared" si="2"/>
        <v>0</v>
      </c>
      <c r="Q88" s="22"/>
    </row>
    <row r="89" spans="2:17" x14ac:dyDescent="0.4">
      <c r="B89" s="16">
        <v>42951</v>
      </c>
      <c r="C89" s="21">
        <v>20800</v>
      </c>
      <c r="D89" s="21">
        <v>20800</v>
      </c>
      <c r="E89" s="21">
        <v>20800</v>
      </c>
      <c r="F89" s="21">
        <v>20800</v>
      </c>
      <c r="G89" s="12">
        <v>0</v>
      </c>
      <c r="H89" s="14">
        <f t="shared" si="0"/>
        <v>0</v>
      </c>
      <c r="I89" s="14">
        <v>0</v>
      </c>
      <c r="J89" s="14">
        <v>0</v>
      </c>
      <c r="K89" s="14">
        <f t="shared" si="1"/>
        <v>0</v>
      </c>
      <c r="L89" s="14">
        <v>0</v>
      </c>
      <c r="M89" s="14">
        <v>0</v>
      </c>
      <c r="N89" s="14">
        <f t="shared" si="2"/>
        <v>0</v>
      </c>
      <c r="O89" s="14">
        <f t="shared" si="2"/>
        <v>0</v>
      </c>
      <c r="P89" s="22">
        <f t="shared" si="2"/>
        <v>0</v>
      </c>
      <c r="Q89" s="4" t="str">
        <f>IFERROR(SUM(M85:M89)/SUM(J85:J89),"")</f>
        <v/>
      </c>
    </row>
    <row r="90" spans="2:17" x14ac:dyDescent="0.4">
      <c r="B90" s="16">
        <v>42954</v>
      </c>
      <c r="C90" s="21">
        <v>20800</v>
      </c>
      <c r="D90" s="21">
        <v>20800</v>
      </c>
      <c r="E90" s="21">
        <v>20800</v>
      </c>
      <c r="F90" s="21">
        <v>20800</v>
      </c>
      <c r="G90" s="12">
        <v>0</v>
      </c>
      <c r="H90" s="14">
        <f t="shared" si="0"/>
        <v>0</v>
      </c>
      <c r="I90" s="14">
        <v>0</v>
      </c>
      <c r="J90" s="14">
        <v>0</v>
      </c>
      <c r="K90" s="14">
        <f t="shared" si="1"/>
        <v>0</v>
      </c>
      <c r="L90" s="14">
        <v>0</v>
      </c>
      <c r="M90" s="14">
        <v>0</v>
      </c>
      <c r="N90" s="14">
        <f t="shared" si="2"/>
        <v>0</v>
      </c>
      <c r="O90" s="14">
        <f t="shared" si="2"/>
        <v>0</v>
      </c>
      <c r="P90" s="22">
        <f t="shared" si="2"/>
        <v>0</v>
      </c>
      <c r="Q90" s="22"/>
    </row>
    <row r="91" spans="2:17" x14ac:dyDescent="0.4">
      <c r="B91" s="16">
        <v>42955</v>
      </c>
      <c r="C91" s="21">
        <v>20800</v>
      </c>
      <c r="D91" s="21">
        <v>20800</v>
      </c>
      <c r="E91" s="21">
        <v>20800</v>
      </c>
      <c r="F91" s="21">
        <v>20800</v>
      </c>
      <c r="G91" s="12">
        <v>0</v>
      </c>
      <c r="H91" s="14">
        <f t="shared" si="0"/>
        <v>0</v>
      </c>
      <c r="I91" s="14">
        <v>0</v>
      </c>
      <c r="J91" s="14">
        <v>0</v>
      </c>
      <c r="K91" s="14">
        <f t="shared" si="1"/>
        <v>0</v>
      </c>
      <c r="L91" s="14">
        <v>0</v>
      </c>
      <c r="M91" s="14">
        <v>0</v>
      </c>
      <c r="N91" s="14">
        <f t="shared" si="2"/>
        <v>0</v>
      </c>
      <c r="O91" s="14">
        <f t="shared" si="2"/>
        <v>0</v>
      </c>
      <c r="P91" s="22">
        <f t="shared" si="2"/>
        <v>0</v>
      </c>
      <c r="Q91" s="22"/>
    </row>
    <row r="92" spans="2:17" x14ac:dyDescent="0.4">
      <c r="B92" s="16">
        <v>42956</v>
      </c>
      <c r="C92" s="21">
        <v>20800</v>
      </c>
      <c r="D92" s="21">
        <v>20800</v>
      </c>
      <c r="E92" s="21">
        <v>20800</v>
      </c>
      <c r="F92" s="21">
        <v>20800</v>
      </c>
      <c r="G92" s="12">
        <v>0</v>
      </c>
      <c r="H92" s="14">
        <f t="shared" si="0"/>
        <v>0</v>
      </c>
      <c r="I92" s="14">
        <v>0</v>
      </c>
      <c r="J92" s="14">
        <v>0</v>
      </c>
      <c r="K92" s="14">
        <f t="shared" si="1"/>
        <v>0</v>
      </c>
      <c r="L92" s="14">
        <v>0</v>
      </c>
      <c r="M92" s="14">
        <v>0</v>
      </c>
      <c r="N92" s="14">
        <f t="shared" ref="N92:P212" si="3">IFERROR(K92/H92,0)</f>
        <v>0</v>
      </c>
      <c r="O92" s="14">
        <f t="shared" si="3"/>
        <v>0</v>
      </c>
      <c r="P92" s="22">
        <f t="shared" si="3"/>
        <v>0</v>
      </c>
      <c r="Q92" s="22"/>
    </row>
    <row r="93" spans="2:17" x14ac:dyDescent="0.4">
      <c r="B93" s="16">
        <v>42957</v>
      </c>
      <c r="C93" s="21">
        <v>20800</v>
      </c>
      <c r="D93" s="21">
        <v>20800</v>
      </c>
      <c r="E93" s="21">
        <v>20800</v>
      </c>
      <c r="F93" s="21">
        <v>20800</v>
      </c>
      <c r="G93" s="12">
        <v>0</v>
      </c>
      <c r="H93" s="14">
        <f t="shared" si="0"/>
        <v>0</v>
      </c>
      <c r="I93" s="14">
        <v>0</v>
      </c>
      <c r="J93" s="14">
        <v>0</v>
      </c>
      <c r="K93" s="14">
        <f t="shared" si="1"/>
        <v>0</v>
      </c>
      <c r="L93" s="14">
        <v>0</v>
      </c>
      <c r="M93" s="14">
        <v>0</v>
      </c>
      <c r="N93" s="14">
        <f t="shared" si="3"/>
        <v>0</v>
      </c>
      <c r="O93" s="14">
        <f t="shared" si="3"/>
        <v>0</v>
      </c>
      <c r="P93" s="22">
        <f t="shared" si="3"/>
        <v>0</v>
      </c>
      <c r="Q93" s="22"/>
    </row>
    <row r="94" spans="2:17" x14ac:dyDescent="0.4">
      <c r="B94" s="16">
        <v>42958</v>
      </c>
      <c r="C94" s="21">
        <v>20800</v>
      </c>
      <c r="D94" s="21">
        <v>20800</v>
      </c>
      <c r="E94" s="21">
        <v>20800</v>
      </c>
      <c r="F94" s="21">
        <v>20800</v>
      </c>
      <c r="G94" s="12">
        <v>0</v>
      </c>
      <c r="H94" s="14">
        <f t="shared" si="0"/>
        <v>0</v>
      </c>
      <c r="I94" s="14">
        <v>0</v>
      </c>
      <c r="J94" s="14">
        <v>0</v>
      </c>
      <c r="K94" s="14">
        <f t="shared" si="1"/>
        <v>0</v>
      </c>
      <c r="L94" s="14">
        <v>0</v>
      </c>
      <c r="M94" s="14">
        <v>0</v>
      </c>
      <c r="N94" s="14">
        <f t="shared" si="3"/>
        <v>0</v>
      </c>
      <c r="O94" s="14">
        <f t="shared" si="3"/>
        <v>0</v>
      </c>
      <c r="P94" s="22">
        <f t="shared" si="3"/>
        <v>0</v>
      </c>
      <c r="Q94" s="4" t="str">
        <f>IFERROR(SUM(M90:M94)/SUM(J90:J94),"")</f>
        <v/>
      </c>
    </row>
    <row r="95" spans="2:17" x14ac:dyDescent="0.4">
      <c r="B95" s="16">
        <v>42961</v>
      </c>
      <c r="C95" s="21">
        <v>20800</v>
      </c>
      <c r="D95" s="21">
        <v>20800</v>
      </c>
      <c r="E95" s="21">
        <v>20800</v>
      </c>
      <c r="F95" s="21">
        <v>20800</v>
      </c>
      <c r="G95" s="12">
        <v>0</v>
      </c>
      <c r="H95" s="14">
        <f t="shared" si="0"/>
        <v>0</v>
      </c>
      <c r="I95" s="14">
        <v>0</v>
      </c>
      <c r="J95" s="14">
        <v>0</v>
      </c>
      <c r="K95" s="14">
        <f t="shared" si="1"/>
        <v>0</v>
      </c>
      <c r="L95" s="14">
        <v>0</v>
      </c>
      <c r="M95" s="14">
        <v>0</v>
      </c>
      <c r="N95" s="14">
        <f t="shared" si="3"/>
        <v>0</v>
      </c>
      <c r="O95" s="14">
        <f t="shared" si="3"/>
        <v>0</v>
      </c>
      <c r="P95" s="22">
        <f t="shared" si="3"/>
        <v>0</v>
      </c>
      <c r="Q95" s="22"/>
    </row>
    <row r="96" spans="2:17" x14ac:dyDescent="0.4">
      <c r="B96" s="16">
        <v>42963</v>
      </c>
      <c r="C96" s="21">
        <v>20800</v>
      </c>
      <c r="D96" s="21">
        <v>20800</v>
      </c>
      <c r="E96" s="21">
        <v>20800</v>
      </c>
      <c r="F96" s="21">
        <v>20800</v>
      </c>
      <c r="G96" s="12">
        <v>0</v>
      </c>
      <c r="H96" s="14">
        <f t="shared" si="0"/>
        <v>0</v>
      </c>
      <c r="I96" s="14">
        <v>0</v>
      </c>
      <c r="J96" s="14">
        <v>0</v>
      </c>
      <c r="K96" s="14">
        <f t="shared" si="1"/>
        <v>0</v>
      </c>
      <c r="L96" s="14">
        <v>0</v>
      </c>
      <c r="M96" s="14">
        <v>0</v>
      </c>
      <c r="N96" s="14">
        <f t="shared" si="3"/>
        <v>0</v>
      </c>
      <c r="O96" s="14">
        <f t="shared" si="3"/>
        <v>0</v>
      </c>
      <c r="P96" s="22">
        <f t="shared" si="3"/>
        <v>0</v>
      </c>
      <c r="Q96" s="22"/>
    </row>
    <row r="97" spans="2:17" x14ac:dyDescent="0.4">
      <c r="B97" s="16">
        <v>42964</v>
      </c>
      <c r="C97" s="21">
        <v>20800</v>
      </c>
      <c r="D97" s="21">
        <v>20800</v>
      </c>
      <c r="E97" s="21">
        <v>20800</v>
      </c>
      <c r="F97" s="21">
        <v>20800</v>
      </c>
      <c r="G97" s="12">
        <v>0</v>
      </c>
      <c r="H97" s="14">
        <f t="shared" si="0"/>
        <v>0</v>
      </c>
      <c r="I97" s="14">
        <v>0</v>
      </c>
      <c r="J97" s="14">
        <v>0</v>
      </c>
      <c r="K97" s="14">
        <f t="shared" si="1"/>
        <v>0</v>
      </c>
      <c r="L97" s="14">
        <v>0</v>
      </c>
      <c r="M97" s="14">
        <v>0</v>
      </c>
      <c r="N97" s="14">
        <f t="shared" si="3"/>
        <v>0</v>
      </c>
      <c r="O97" s="14">
        <f t="shared" si="3"/>
        <v>0</v>
      </c>
      <c r="P97" s="22">
        <f t="shared" si="3"/>
        <v>0</v>
      </c>
      <c r="Q97" s="22"/>
    </row>
    <row r="98" spans="2:17" x14ac:dyDescent="0.4">
      <c r="B98" s="16">
        <v>42965</v>
      </c>
      <c r="C98" s="21">
        <v>20800</v>
      </c>
      <c r="D98" s="21">
        <v>20800</v>
      </c>
      <c r="E98" s="21">
        <v>20800</v>
      </c>
      <c r="F98" s="21">
        <v>20800</v>
      </c>
      <c r="G98" s="12">
        <v>0</v>
      </c>
      <c r="H98" s="14">
        <f t="shared" si="0"/>
        <v>0</v>
      </c>
      <c r="I98" s="14">
        <v>0</v>
      </c>
      <c r="J98" s="14">
        <v>0</v>
      </c>
      <c r="K98" s="14">
        <f t="shared" si="1"/>
        <v>0</v>
      </c>
      <c r="L98" s="14">
        <v>0</v>
      </c>
      <c r="M98" s="14">
        <v>0</v>
      </c>
      <c r="N98" s="14">
        <f t="shared" si="3"/>
        <v>0</v>
      </c>
      <c r="O98" s="14">
        <f t="shared" si="3"/>
        <v>0</v>
      </c>
      <c r="P98" s="22">
        <f t="shared" si="3"/>
        <v>0</v>
      </c>
      <c r="Q98" s="4" t="str">
        <f>IFERROR(SUM(M95:M98)/SUM(J95:J98),"")</f>
        <v/>
      </c>
    </row>
    <row r="99" spans="2:17" x14ac:dyDescent="0.4">
      <c r="B99" s="16">
        <v>42968</v>
      </c>
      <c r="C99" s="21">
        <v>20800</v>
      </c>
      <c r="D99" s="21">
        <v>20800</v>
      </c>
      <c r="E99" s="21">
        <v>20800</v>
      </c>
      <c r="F99" s="21">
        <v>20800</v>
      </c>
      <c r="G99" s="12">
        <v>0</v>
      </c>
      <c r="H99" s="14">
        <f t="shared" si="0"/>
        <v>0</v>
      </c>
      <c r="I99" s="14">
        <v>0</v>
      </c>
      <c r="J99" s="14">
        <v>0</v>
      </c>
      <c r="K99" s="14">
        <f t="shared" si="1"/>
        <v>0</v>
      </c>
      <c r="L99" s="14">
        <v>0</v>
      </c>
      <c r="M99" s="14">
        <v>0</v>
      </c>
      <c r="N99" s="14">
        <f t="shared" si="3"/>
        <v>0</v>
      </c>
      <c r="O99" s="14">
        <f t="shared" si="3"/>
        <v>0</v>
      </c>
      <c r="P99" s="22">
        <f t="shared" si="3"/>
        <v>0</v>
      </c>
      <c r="Q99" s="22"/>
    </row>
    <row r="100" spans="2:17" x14ac:dyDescent="0.4">
      <c r="B100" s="16">
        <v>42969</v>
      </c>
      <c r="C100" s="21">
        <v>20800</v>
      </c>
      <c r="D100" s="21">
        <v>20800</v>
      </c>
      <c r="E100" s="21">
        <v>20800</v>
      </c>
      <c r="F100" s="21">
        <v>20800</v>
      </c>
      <c r="G100" s="12">
        <v>0</v>
      </c>
      <c r="H100" s="14">
        <f t="shared" si="0"/>
        <v>0</v>
      </c>
      <c r="I100" s="14">
        <v>0</v>
      </c>
      <c r="J100" s="14">
        <v>0</v>
      </c>
      <c r="K100" s="14">
        <f t="shared" si="1"/>
        <v>0</v>
      </c>
      <c r="L100" s="14">
        <v>0</v>
      </c>
      <c r="M100" s="14">
        <v>0</v>
      </c>
      <c r="N100" s="14">
        <f t="shared" si="3"/>
        <v>0</v>
      </c>
      <c r="O100" s="14">
        <f t="shared" si="3"/>
        <v>0</v>
      </c>
      <c r="P100" s="22">
        <f t="shared" si="3"/>
        <v>0</v>
      </c>
      <c r="Q100" s="22"/>
    </row>
    <row r="101" spans="2:17" x14ac:dyDescent="0.4">
      <c r="B101" s="16">
        <v>42970</v>
      </c>
      <c r="C101" s="21">
        <v>20800</v>
      </c>
      <c r="D101" s="21">
        <v>20800</v>
      </c>
      <c r="E101" s="21">
        <v>20800</v>
      </c>
      <c r="F101" s="21">
        <v>20800</v>
      </c>
      <c r="G101" s="12">
        <v>0</v>
      </c>
      <c r="H101" s="14">
        <f t="shared" si="0"/>
        <v>0</v>
      </c>
      <c r="I101" s="14">
        <v>0</v>
      </c>
      <c r="J101" s="14">
        <v>0</v>
      </c>
      <c r="K101" s="14">
        <f t="shared" si="1"/>
        <v>0</v>
      </c>
      <c r="L101" s="14">
        <v>0</v>
      </c>
      <c r="M101" s="14">
        <v>0</v>
      </c>
      <c r="N101" s="14">
        <f t="shared" si="3"/>
        <v>0</v>
      </c>
      <c r="O101" s="14">
        <f t="shared" si="3"/>
        <v>0</v>
      </c>
      <c r="P101" s="22">
        <f t="shared" si="3"/>
        <v>0</v>
      </c>
      <c r="Q101" s="22"/>
    </row>
    <row r="102" spans="2:17" x14ac:dyDescent="0.4">
      <c r="B102" s="16">
        <v>42971</v>
      </c>
      <c r="C102" s="21">
        <v>20800</v>
      </c>
      <c r="D102" s="21">
        <v>20800</v>
      </c>
      <c r="E102" s="21">
        <v>20800</v>
      </c>
      <c r="F102" s="21">
        <v>20800</v>
      </c>
      <c r="G102" s="12">
        <v>0</v>
      </c>
      <c r="H102" s="14">
        <f t="shared" si="0"/>
        <v>0</v>
      </c>
      <c r="I102" s="14">
        <v>0</v>
      </c>
      <c r="J102" s="14">
        <v>0</v>
      </c>
      <c r="K102" s="14">
        <f t="shared" si="1"/>
        <v>0</v>
      </c>
      <c r="L102" s="14">
        <v>0</v>
      </c>
      <c r="M102" s="14">
        <v>0</v>
      </c>
      <c r="N102" s="14">
        <f t="shared" si="3"/>
        <v>0</v>
      </c>
      <c r="O102" s="14">
        <f t="shared" si="3"/>
        <v>0</v>
      </c>
      <c r="P102" s="22">
        <f t="shared" si="3"/>
        <v>0</v>
      </c>
      <c r="Q102" s="22"/>
    </row>
    <row r="103" spans="2:17" x14ac:dyDescent="0.4">
      <c r="B103" s="16">
        <v>42972</v>
      </c>
      <c r="C103" s="21">
        <v>20800</v>
      </c>
      <c r="D103" s="21">
        <v>20800</v>
      </c>
      <c r="E103" s="21">
        <v>20800</v>
      </c>
      <c r="F103" s="21">
        <v>20800</v>
      </c>
      <c r="G103" s="12">
        <v>0</v>
      </c>
      <c r="H103" s="14">
        <f t="shared" si="0"/>
        <v>0</v>
      </c>
      <c r="I103" s="14">
        <v>0</v>
      </c>
      <c r="J103" s="14">
        <v>0</v>
      </c>
      <c r="K103" s="14">
        <f t="shared" si="1"/>
        <v>0</v>
      </c>
      <c r="L103" s="14">
        <v>0</v>
      </c>
      <c r="M103" s="14">
        <v>0</v>
      </c>
      <c r="N103" s="14">
        <f t="shared" si="3"/>
        <v>0</v>
      </c>
      <c r="O103" s="14">
        <f t="shared" si="3"/>
        <v>0</v>
      </c>
      <c r="P103" s="22">
        <f t="shared" si="3"/>
        <v>0</v>
      </c>
      <c r="Q103" s="4" t="str">
        <f>IFERROR(SUM(M99:M103)/SUM(J99:J103),"")</f>
        <v/>
      </c>
    </row>
    <row r="104" spans="2:17" x14ac:dyDescent="0.4">
      <c r="B104" s="16">
        <v>42975</v>
      </c>
      <c r="C104" s="21">
        <v>20800</v>
      </c>
      <c r="D104" s="21">
        <v>20800</v>
      </c>
      <c r="E104" s="21">
        <v>20800</v>
      </c>
      <c r="F104" s="21">
        <v>20800</v>
      </c>
      <c r="G104" s="12">
        <v>0</v>
      </c>
      <c r="H104" s="14">
        <f t="shared" si="0"/>
        <v>0</v>
      </c>
      <c r="I104" s="14">
        <v>0</v>
      </c>
      <c r="J104" s="14">
        <v>0</v>
      </c>
      <c r="K104" s="14">
        <f t="shared" si="1"/>
        <v>0</v>
      </c>
      <c r="L104" s="14">
        <v>0</v>
      </c>
      <c r="M104" s="14">
        <v>0</v>
      </c>
      <c r="N104" s="14">
        <f t="shared" si="3"/>
        <v>0</v>
      </c>
      <c r="O104" s="14">
        <f t="shared" si="3"/>
        <v>0</v>
      </c>
      <c r="P104" s="22">
        <f t="shared" si="3"/>
        <v>0</v>
      </c>
      <c r="Q104" s="22"/>
    </row>
    <row r="105" spans="2:17" x14ac:dyDescent="0.4">
      <c r="B105" s="16">
        <v>42976</v>
      </c>
      <c r="C105" s="21">
        <v>20800</v>
      </c>
      <c r="D105" s="21">
        <v>20800</v>
      </c>
      <c r="E105" s="21">
        <v>20800</v>
      </c>
      <c r="F105" s="21">
        <v>20800</v>
      </c>
      <c r="G105" s="12">
        <v>0</v>
      </c>
      <c r="H105" s="14">
        <f t="shared" si="0"/>
        <v>0</v>
      </c>
      <c r="I105" s="14">
        <v>0</v>
      </c>
      <c r="J105" s="14">
        <v>0</v>
      </c>
      <c r="K105" s="14">
        <f t="shared" si="1"/>
        <v>0</v>
      </c>
      <c r="L105" s="14">
        <v>0</v>
      </c>
      <c r="M105" s="14">
        <v>0</v>
      </c>
      <c r="N105" s="14">
        <f t="shared" si="3"/>
        <v>0</v>
      </c>
      <c r="O105" s="14">
        <f t="shared" si="3"/>
        <v>0</v>
      </c>
      <c r="P105" s="22">
        <f t="shared" si="3"/>
        <v>0</v>
      </c>
      <c r="Q105" s="22"/>
    </row>
    <row r="106" spans="2:17" x14ac:dyDescent="0.4">
      <c r="B106" s="16">
        <v>42977</v>
      </c>
      <c r="C106" s="21">
        <v>20800</v>
      </c>
      <c r="D106" s="21">
        <v>20800</v>
      </c>
      <c r="E106" s="21">
        <v>20800</v>
      </c>
      <c r="F106" s="21">
        <v>20800</v>
      </c>
      <c r="G106" s="12">
        <v>0</v>
      </c>
      <c r="H106" s="14">
        <f t="shared" si="0"/>
        <v>0</v>
      </c>
      <c r="I106" s="14">
        <v>0</v>
      </c>
      <c r="J106" s="14">
        <v>0</v>
      </c>
      <c r="K106" s="14">
        <f t="shared" si="1"/>
        <v>0</v>
      </c>
      <c r="L106" s="14">
        <v>0</v>
      </c>
      <c r="M106" s="14">
        <v>0</v>
      </c>
      <c r="N106" s="14">
        <f t="shared" si="3"/>
        <v>0</v>
      </c>
      <c r="O106" s="14">
        <f t="shared" si="3"/>
        <v>0</v>
      </c>
      <c r="P106" s="22">
        <f t="shared" si="3"/>
        <v>0</v>
      </c>
      <c r="Q106" s="22"/>
    </row>
    <row r="107" spans="2:17" x14ac:dyDescent="0.4">
      <c r="B107" s="16">
        <v>42978</v>
      </c>
      <c r="C107" s="21">
        <v>20800</v>
      </c>
      <c r="D107" s="21">
        <v>20800</v>
      </c>
      <c r="E107" s="21">
        <v>20800</v>
      </c>
      <c r="F107" s="21">
        <v>20800</v>
      </c>
      <c r="G107" s="12">
        <v>0</v>
      </c>
      <c r="H107" s="14">
        <f t="shared" si="0"/>
        <v>0</v>
      </c>
      <c r="I107" s="14">
        <v>0</v>
      </c>
      <c r="J107" s="14">
        <v>0</v>
      </c>
      <c r="K107" s="14">
        <f t="shared" si="1"/>
        <v>0</v>
      </c>
      <c r="L107" s="14">
        <v>0</v>
      </c>
      <c r="M107" s="14">
        <v>0</v>
      </c>
      <c r="N107" s="14">
        <f t="shared" si="3"/>
        <v>0</v>
      </c>
      <c r="O107" s="14">
        <f t="shared" si="3"/>
        <v>0</v>
      </c>
      <c r="P107" s="22">
        <f t="shared" si="3"/>
        <v>0</v>
      </c>
      <c r="Q107" s="22"/>
    </row>
    <row r="108" spans="2:17" x14ac:dyDescent="0.4">
      <c r="B108" s="16">
        <v>42979</v>
      </c>
      <c r="C108" s="21">
        <v>20800</v>
      </c>
      <c r="D108" s="21">
        <v>20800</v>
      </c>
      <c r="E108" s="21">
        <v>20800</v>
      </c>
      <c r="F108" s="21">
        <v>20800</v>
      </c>
      <c r="G108" s="12">
        <v>0</v>
      </c>
      <c r="H108" s="14">
        <f t="shared" si="0"/>
        <v>0</v>
      </c>
      <c r="I108" s="14">
        <v>0</v>
      </c>
      <c r="J108" s="14">
        <v>0</v>
      </c>
      <c r="K108" s="14">
        <f t="shared" si="1"/>
        <v>0</v>
      </c>
      <c r="L108" s="14">
        <v>0</v>
      </c>
      <c r="M108" s="14">
        <v>0</v>
      </c>
      <c r="N108" s="14">
        <f t="shared" si="3"/>
        <v>0</v>
      </c>
      <c r="O108" s="14">
        <f t="shared" si="3"/>
        <v>0</v>
      </c>
      <c r="P108" s="22">
        <f t="shared" si="3"/>
        <v>0</v>
      </c>
      <c r="Q108" s="4" t="str">
        <f>IFERROR(SUM(M104:M108)/SUM(J104:J108),"")</f>
        <v/>
      </c>
    </row>
    <row r="109" spans="2:17" x14ac:dyDescent="0.4">
      <c r="B109" s="16">
        <v>42982</v>
      </c>
      <c r="C109" s="21">
        <v>20800</v>
      </c>
      <c r="D109" s="21">
        <v>20800</v>
      </c>
      <c r="E109" s="21">
        <v>20800</v>
      </c>
      <c r="F109" s="21">
        <v>20800</v>
      </c>
      <c r="G109" s="12">
        <v>0</v>
      </c>
      <c r="H109" s="14">
        <f t="shared" si="0"/>
        <v>0</v>
      </c>
      <c r="I109" s="14">
        <v>0</v>
      </c>
      <c r="J109" s="14">
        <v>0</v>
      </c>
      <c r="K109" s="14">
        <f t="shared" si="1"/>
        <v>0</v>
      </c>
      <c r="L109" s="14">
        <v>0</v>
      </c>
      <c r="M109" s="14">
        <v>0</v>
      </c>
      <c r="N109" s="14">
        <f t="shared" si="3"/>
        <v>0</v>
      </c>
      <c r="O109" s="14">
        <f t="shared" si="3"/>
        <v>0</v>
      </c>
      <c r="P109" s="22">
        <f t="shared" si="3"/>
        <v>0</v>
      </c>
      <c r="Q109" s="22"/>
    </row>
    <row r="110" spans="2:17" x14ac:dyDescent="0.4">
      <c r="B110" s="16">
        <v>42983</v>
      </c>
      <c r="C110" s="21">
        <v>20800</v>
      </c>
      <c r="D110" s="21">
        <v>20800</v>
      </c>
      <c r="E110" s="21">
        <v>20800</v>
      </c>
      <c r="F110" s="21">
        <v>20800</v>
      </c>
      <c r="G110" s="12">
        <v>0</v>
      </c>
      <c r="H110" s="14">
        <f t="shared" si="0"/>
        <v>0</v>
      </c>
      <c r="I110" s="14">
        <v>0</v>
      </c>
      <c r="J110" s="14">
        <v>0</v>
      </c>
      <c r="K110" s="14">
        <f t="shared" si="1"/>
        <v>0</v>
      </c>
      <c r="L110" s="14">
        <v>0</v>
      </c>
      <c r="M110" s="14">
        <v>0</v>
      </c>
      <c r="N110" s="14">
        <f t="shared" si="3"/>
        <v>0</v>
      </c>
      <c r="O110" s="14">
        <f t="shared" si="3"/>
        <v>0</v>
      </c>
      <c r="P110" s="22">
        <f t="shared" si="3"/>
        <v>0</v>
      </c>
      <c r="Q110" s="22"/>
    </row>
    <row r="111" spans="2:17" x14ac:dyDescent="0.4">
      <c r="B111" s="16">
        <v>42984</v>
      </c>
      <c r="C111" s="21">
        <v>20800</v>
      </c>
      <c r="D111" s="21">
        <v>20800</v>
      </c>
      <c r="E111" s="21">
        <v>20800</v>
      </c>
      <c r="F111" s="21">
        <v>20800</v>
      </c>
      <c r="G111" s="12">
        <v>0</v>
      </c>
      <c r="H111" s="14">
        <f t="shared" si="0"/>
        <v>0</v>
      </c>
      <c r="I111" s="14">
        <v>0</v>
      </c>
      <c r="J111" s="14">
        <v>0</v>
      </c>
      <c r="K111" s="14">
        <f t="shared" si="1"/>
        <v>0</v>
      </c>
      <c r="L111" s="14">
        <v>0</v>
      </c>
      <c r="M111" s="14">
        <v>0</v>
      </c>
      <c r="N111" s="14">
        <f t="shared" si="3"/>
        <v>0</v>
      </c>
      <c r="O111" s="14">
        <f t="shared" si="3"/>
        <v>0</v>
      </c>
      <c r="P111" s="22">
        <f t="shared" si="3"/>
        <v>0</v>
      </c>
      <c r="Q111" s="22"/>
    </row>
    <row r="112" spans="2:17" x14ac:dyDescent="0.4">
      <c r="B112" s="16">
        <v>42985</v>
      </c>
      <c r="C112" s="21">
        <v>20800</v>
      </c>
      <c r="D112" s="21">
        <v>20800</v>
      </c>
      <c r="E112" s="21">
        <v>20800</v>
      </c>
      <c r="F112" s="21">
        <v>20800</v>
      </c>
      <c r="G112" s="12">
        <v>0</v>
      </c>
      <c r="H112" s="14">
        <f t="shared" si="0"/>
        <v>0</v>
      </c>
      <c r="I112" s="14">
        <v>0</v>
      </c>
      <c r="J112" s="14">
        <v>0</v>
      </c>
      <c r="K112" s="14">
        <f t="shared" si="1"/>
        <v>0</v>
      </c>
      <c r="L112" s="14">
        <v>0</v>
      </c>
      <c r="M112" s="14">
        <v>0</v>
      </c>
      <c r="N112" s="14">
        <f t="shared" si="3"/>
        <v>0</v>
      </c>
      <c r="O112" s="14">
        <f t="shared" si="3"/>
        <v>0</v>
      </c>
      <c r="P112" s="22">
        <f t="shared" si="3"/>
        <v>0</v>
      </c>
      <c r="Q112" s="22"/>
    </row>
    <row r="113" spans="2:17" x14ac:dyDescent="0.4">
      <c r="B113" s="16">
        <v>42986</v>
      </c>
      <c r="C113" s="21">
        <v>20800</v>
      </c>
      <c r="D113" s="21">
        <v>20800</v>
      </c>
      <c r="E113" s="21">
        <v>20800</v>
      </c>
      <c r="F113" s="21">
        <v>20800</v>
      </c>
      <c r="G113" s="12">
        <v>0</v>
      </c>
      <c r="H113" s="14">
        <f t="shared" si="0"/>
        <v>0</v>
      </c>
      <c r="I113" s="14">
        <v>0</v>
      </c>
      <c r="J113" s="14">
        <v>0</v>
      </c>
      <c r="K113" s="14">
        <f t="shared" si="1"/>
        <v>0</v>
      </c>
      <c r="L113" s="14">
        <v>0</v>
      </c>
      <c r="M113" s="14">
        <v>0</v>
      </c>
      <c r="N113" s="14">
        <f t="shared" si="3"/>
        <v>0</v>
      </c>
      <c r="O113" s="14">
        <f t="shared" si="3"/>
        <v>0</v>
      </c>
      <c r="P113" s="22">
        <f t="shared" si="3"/>
        <v>0</v>
      </c>
      <c r="Q113" s="4" t="str">
        <f>IFERROR(SUM(M109:M113)/SUM(J109:J113),"")</f>
        <v/>
      </c>
    </row>
    <row r="114" spans="2:17" x14ac:dyDescent="0.4">
      <c r="B114" s="16">
        <v>42989</v>
      </c>
      <c r="C114" s="21">
        <v>20800</v>
      </c>
      <c r="D114" s="21">
        <v>20800</v>
      </c>
      <c r="E114" s="21">
        <v>20800</v>
      </c>
      <c r="F114" s="21">
        <v>20800</v>
      </c>
      <c r="G114" s="12">
        <v>0</v>
      </c>
      <c r="H114" s="14">
        <f t="shared" si="0"/>
        <v>0</v>
      </c>
      <c r="I114" s="14">
        <v>0</v>
      </c>
      <c r="J114" s="14">
        <v>0</v>
      </c>
      <c r="K114" s="14">
        <f t="shared" si="1"/>
        <v>0</v>
      </c>
      <c r="L114" s="14">
        <v>0</v>
      </c>
      <c r="M114" s="14">
        <v>0</v>
      </c>
      <c r="N114" s="14">
        <f t="shared" si="3"/>
        <v>0</v>
      </c>
      <c r="O114" s="14">
        <f t="shared" si="3"/>
        <v>0</v>
      </c>
      <c r="P114" s="22">
        <f t="shared" si="3"/>
        <v>0</v>
      </c>
      <c r="Q114" s="22"/>
    </row>
    <row r="115" spans="2:17" x14ac:dyDescent="0.4">
      <c r="B115" s="16">
        <v>42990</v>
      </c>
      <c r="C115" s="21">
        <v>20800</v>
      </c>
      <c r="D115" s="21">
        <v>20800</v>
      </c>
      <c r="E115" s="21">
        <v>20800</v>
      </c>
      <c r="F115" s="21">
        <v>20800</v>
      </c>
      <c r="G115" s="12">
        <v>0</v>
      </c>
      <c r="H115" s="14">
        <f t="shared" si="0"/>
        <v>0</v>
      </c>
      <c r="I115" s="14">
        <v>0</v>
      </c>
      <c r="J115" s="14">
        <v>0</v>
      </c>
      <c r="K115" s="14">
        <f t="shared" si="1"/>
        <v>0</v>
      </c>
      <c r="L115" s="14">
        <v>0</v>
      </c>
      <c r="M115" s="14">
        <v>0</v>
      </c>
      <c r="N115" s="14">
        <f t="shared" si="3"/>
        <v>0</v>
      </c>
      <c r="O115" s="14">
        <f t="shared" si="3"/>
        <v>0</v>
      </c>
      <c r="P115" s="22">
        <f t="shared" si="3"/>
        <v>0</v>
      </c>
      <c r="Q115" s="22"/>
    </row>
    <row r="116" spans="2:17" x14ac:dyDescent="0.4">
      <c r="B116" s="16">
        <v>42991</v>
      </c>
      <c r="C116" s="21">
        <v>20800</v>
      </c>
      <c r="D116" s="21">
        <v>20800</v>
      </c>
      <c r="E116" s="21">
        <v>20800</v>
      </c>
      <c r="F116" s="21">
        <v>20800</v>
      </c>
      <c r="G116" s="12">
        <v>0</v>
      </c>
      <c r="H116" s="14">
        <f t="shared" si="0"/>
        <v>0</v>
      </c>
      <c r="I116" s="14">
        <v>0</v>
      </c>
      <c r="J116" s="14">
        <v>0</v>
      </c>
      <c r="K116" s="14">
        <f t="shared" si="1"/>
        <v>0</v>
      </c>
      <c r="L116" s="14">
        <v>0</v>
      </c>
      <c r="M116" s="14">
        <v>0</v>
      </c>
      <c r="N116" s="14">
        <f t="shared" si="3"/>
        <v>0</v>
      </c>
      <c r="O116" s="14">
        <f t="shared" si="3"/>
        <v>0</v>
      </c>
      <c r="P116" s="22">
        <f t="shared" si="3"/>
        <v>0</v>
      </c>
      <c r="Q116" s="22"/>
    </row>
    <row r="117" spans="2:17" x14ac:dyDescent="0.4">
      <c r="B117" s="16">
        <v>42992</v>
      </c>
      <c r="C117" s="21">
        <v>20800</v>
      </c>
      <c r="D117" s="21">
        <v>20800</v>
      </c>
      <c r="E117" s="21">
        <v>20800</v>
      </c>
      <c r="F117" s="21">
        <v>20800</v>
      </c>
      <c r="G117" s="12">
        <v>0</v>
      </c>
      <c r="H117" s="14">
        <f t="shared" si="0"/>
        <v>0</v>
      </c>
      <c r="I117" s="14">
        <v>0</v>
      </c>
      <c r="J117" s="14">
        <v>0</v>
      </c>
      <c r="K117" s="14">
        <f t="shared" si="1"/>
        <v>0</v>
      </c>
      <c r="L117" s="14">
        <v>0</v>
      </c>
      <c r="M117" s="14">
        <v>0</v>
      </c>
      <c r="N117" s="14">
        <f t="shared" si="3"/>
        <v>0</v>
      </c>
      <c r="O117" s="14">
        <f t="shared" si="3"/>
        <v>0</v>
      </c>
      <c r="P117" s="22">
        <f t="shared" si="3"/>
        <v>0</v>
      </c>
      <c r="Q117" s="22"/>
    </row>
    <row r="118" spans="2:17" x14ac:dyDescent="0.4">
      <c r="B118" s="16">
        <v>42993</v>
      </c>
      <c r="C118" s="21">
        <v>20800</v>
      </c>
      <c r="D118" s="21">
        <v>20800</v>
      </c>
      <c r="E118" s="21">
        <v>20800</v>
      </c>
      <c r="F118" s="21">
        <v>20800</v>
      </c>
      <c r="G118" s="12">
        <v>0</v>
      </c>
      <c r="H118" s="14">
        <f t="shared" si="0"/>
        <v>0</v>
      </c>
      <c r="I118" s="14">
        <v>0</v>
      </c>
      <c r="J118" s="14">
        <v>0</v>
      </c>
      <c r="K118" s="14">
        <f t="shared" si="1"/>
        <v>0</v>
      </c>
      <c r="L118" s="14">
        <v>0</v>
      </c>
      <c r="M118" s="14">
        <v>0</v>
      </c>
      <c r="N118" s="14">
        <f t="shared" si="3"/>
        <v>0</v>
      </c>
      <c r="O118" s="14">
        <f t="shared" si="3"/>
        <v>0</v>
      </c>
      <c r="P118" s="22">
        <f t="shared" si="3"/>
        <v>0</v>
      </c>
      <c r="Q118" s="4" t="str">
        <f>IFERROR(SUM(M114:M118)/SUM(J114:J118),"")</f>
        <v/>
      </c>
    </row>
    <row r="119" spans="2:17" x14ac:dyDescent="0.4">
      <c r="B119" s="16">
        <v>42996</v>
      </c>
      <c r="C119" s="21">
        <v>20800</v>
      </c>
      <c r="D119" s="21">
        <v>20800</v>
      </c>
      <c r="E119" s="21">
        <v>20800</v>
      </c>
      <c r="F119" s="21">
        <v>20800</v>
      </c>
      <c r="G119" s="12">
        <v>0</v>
      </c>
      <c r="H119" s="14">
        <f t="shared" si="0"/>
        <v>0</v>
      </c>
      <c r="I119" s="14">
        <v>0</v>
      </c>
      <c r="J119" s="14">
        <v>0</v>
      </c>
      <c r="K119" s="14">
        <f t="shared" si="1"/>
        <v>0</v>
      </c>
      <c r="L119" s="14">
        <v>0</v>
      </c>
      <c r="M119" s="14">
        <v>0</v>
      </c>
      <c r="N119" s="14">
        <f t="shared" si="3"/>
        <v>0</v>
      </c>
      <c r="O119" s="14">
        <f t="shared" si="3"/>
        <v>0</v>
      </c>
      <c r="P119" s="22">
        <f t="shared" si="3"/>
        <v>0</v>
      </c>
      <c r="Q119" s="22"/>
    </row>
    <row r="120" spans="2:17" x14ac:dyDescent="0.4">
      <c r="B120" s="16">
        <v>42997</v>
      </c>
      <c r="C120" s="21">
        <v>20800</v>
      </c>
      <c r="D120" s="21">
        <v>20800</v>
      </c>
      <c r="E120" s="21">
        <v>20800</v>
      </c>
      <c r="F120" s="21">
        <v>20800</v>
      </c>
      <c r="G120" s="12">
        <v>0</v>
      </c>
      <c r="H120" s="14">
        <f t="shared" si="0"/>
        <v>0</v>
      </c>
      <c r="I120" s="14">
        <v>0</v>
      </c>
      <c r="J120" s="14">
        <v>0</v>
      </c>
      <c r="K120" s="14">
        <f t="shared" si="1"/>
        <v>0</v>
      </c>
      <c r="L120" s="14">
        <v>0</v>
      </c>
      <c r="M120" s="14">
        <v>0</v>
      </c>
      <c r="N120" s="14">
        <f t="shared" si="3"/>
        <v>0</v>
      </c>
      <c r="O120" s="14">
        <f t="shared" si="3"/>
        <v>0</v>
      </c>
      <c r="P120" s="22">
        <f t="shared" si="3"/>
        <v>0</v>
      </c>
      <c r="Q120" s="22"/>
    </row>
    <row r="121" spans="2:17" x14ac:dyDescent="0.4">
      <c r="B121" s="16">
        <v>42998</v>
      </c>
      <c r="C121" s="21">
        <v>20800</v>
      </c>
      <c r="D121" s="21">
        <v>20800</v>
      </c>
      <c r="E121" s="21">
        <v>20800</v>
      </c>
      <c r="F121" s="21">
        <v>20800</v>
      </c>
      <c r="G121" s="12">
        <v>0</v>
      </c>
      <c r="H121" s="14">
        <f t="shared" si="0"/>
        <v>0</v>
      </c>
      <c r="I121" s="14">
        <v>0</v>
      </c>
      <c r="J121" s="14">
        <v>0</v>
      </c>
      <c r="K121" s="14">
        <f t="shared" si="1"/>
        <v>0</v>
      </c>
      <c r="L121" s="14">
        <v>0</v>
      </c>
      <c r="M121" s="14">
        <v>0</v>
      </c>
      <c r="N121" s="14">
        <f t="shared" si="3"/>
        <v>0</v>
      </c>
      <c r="O121" s="14">
        <f t="shared" si="3"/>
        <v>0</v>
      </c>
      <c r="P121" s="22">
        <f t="shared" si="3"/>
        <v>0</v>
      </c>
      <c r="Q121" s="22"/>
    </row>
    <row r="122" spans="2:17" x14ac:dyDescent="0.4">
      <c r="B122" s="16">
        <v>42999</v>
      </c>
      <c r="C122" s="21">
        <v>20800</v>
      </c>
      <c r="D122" s="21">
        <v>20800</v>
      </c>
      <c r="E122" s="21">
        <v>20800</v>
      </c>
      <c r="F122" s="21">
        <v>20800</v>
      </c>
      <c r="G122" s="12">
        <v>0</v>
      </c>
      <c r="H122" s="14">
        <f t="shared" si="0"/>
        <v>0</v>
      </c>
      <c r="I122" s="14">
        <v>0</v>
      </c>
      <c r="J122" s="14">
        <v>0</v>
      </c>
      <c r="K122" s="14">
        <f t="shared" si="1"/>
        <v>0</v>
      </c>
      <c r="L122" s="14">
        <v>0</v>
      </c>
      <c r="M122" s="14">
        <v>0</v>
      </c>
      <c r="N122" s="14">
        <f t="shared" si="3"/>
        <v>0</v>
      </c>
      <c r="O122" s="14">
        <f t="shared" si="3"/>
        <v>0</v>
      </c>
      <c r="P122" s="22">
        <f t="shared" si="3"/>
        <v>0</v>
      </c>
      <c r="Q122" s="22"/>
    </row>
    <row r="123" spans="2:17" x14ac:dyDescent="0.4">
      <c r="B123" s="16">
        <v>43000</v>
      </c>
      <c r="C123" s="21">
        <v>20800</v>
      </c>
      <c r="D123" s="21">
        <v>20800</v>
      </c>
      <c r="E123" s="21">
        <v>20800</v>
      </c>
      <c r="F123" s="21">
        <v>20800</v>
      </c>
      <c r="G123" s="12">
        <v>0</v>
      </c>
      <c r="H123" s="14">
        <f t="shared" si="0"/>
        <v>0</v>
      </c>
      <c r="I123" s="14">
        <v>0</v>
      </c>
      <c r="J123" s="14">
        <v>0</v>
      </c>
      <c r="K123" s="14">
        <f t="shared" si="1"/>
        <v>0</v>
      </c>
      <c r="L123" s="14">
        <v>0</v>
      </c>
      <c r="M123" s="14">
        <v>0</v>
      </c>
      <c r="N123" s="14">
        <f t="shared" si="3"/>
        <v>0</v>
      </c>
      <c r="O123" s="14">
        <f t="shared" si="3"/>
        <v>0</v>
      </c>
      <c r="P123" s="22">
        <f t="shared" si="3"/>
        <v>0</v>
      </c>
      <c r="Q123" s="4" t="str">
        <f>IFERROR(SUM(M119:M123)/SUM(J119:J123),"")</f>
        <v/>
      </c>
    </row>
    <row r="124" spans="2:17" x14ac:dyDescent="0.4">
      <c r="B124" s="16">
        <v>43003</v>
      </c>
      <c r="C124" s="21">
        <v>20800</v>
      </c>
      <c r="D124" s="21">
        <v>20800</v>
      </c>
      <c r="E124" s="21">
        <v>20800</v>
      </c>
      <c r="F124" s="21">
        <v>20800</v>
      </c>
      <c r="G124" s="12">
        <v>0</v>
      </c>
      <c r="H124" s="14">
        <f t="shared" si="0"/>
        <v>0</v>
      </c>
      <c r="I124" s="14">
        <v>0</v>
      </c>
      <c r="J124" s="14">
        <v>0</v>
      </c>
      <c r="K124" s="14">
        <f t="shared" si="1"/>
        <v>0</v>
      </c>
      <c r="L124" s="14">
        <v>0</v>
      </c>
      <c r="M124" s="14">
        <v>0</v>
      </c>
      <c r="N124" s="14">
        <f t="shared" si="3"/>
        <v>0</v>
      </c>
      <c r="O124" s="14">
        <f t="shared" si="3"/>
        <v>0</v>
      </c>
      <c r="P124" s="22">
        <f t="shared" si="3"/>
        <v>0</v>
      </c>
      <c r="Q124" s="22"/>
    </row>
    <row r="125" spans="2:17" x14ac:dyDescent="0.4">
      <c r="B125" s="16">
        <v>43004</v>
      </c>
      <c r="C125" s="21">
        <v>20800</v>
      </c>
      <c r="D125" s="21">
        <v>20800</v>
      </c>
      <c r="E125" s="21">
        <v>20800</v>
      </c>
      <c r="F125" s="21">
        <v>20800</v>
      </c>
      <c r="G125" s="12">
        <v>0</v>
      </c>
      <c r="H125" s="14">
        <f t="shared" si="0"/>
        <v>0</v>
      </c>
      <c r="I125" s="14">
        <v>0</v>
      </c>
      <c r="J125" s="14">
        <v>0</v>
      </c>
      <c r="K125" s="14">
        <f t="shared" si="1"/>
        <v>0</v>
      </c>
      <c r="L125" s="14">
        <v>0</v>
      </c>
      <c r="M125" s="14">
        <v>0</v>
      </c>
      <c r="N125" s="14">
        <f t="shared" si="3"/>
        <v>0</v>
      </c>
      <c r="O125" s="14">
        <f t="shared" si="3"/>
        <v>0</v>
      </c>
      <c r="P125" s="22">
        <f t="shared" si="3"/>
        <v>0</v>
      </c>
      <c r="Q125" s="22"/>
    </row>
    <row r="126" spans="2:17" x14ac:dyDescent="0.4">
      <c r="B126" s="16">
        <v>43005</v>
      </c>
      <c r="C126" s="21">
        <v>20800</v>
      </c>
      <c r="D126" s="21">
        <v>20800</v>
      </c>
      <c r="E126" s="21">
        <v>20800</v>
      </c>
      <c r="F126" s="21">
        <v>20800</v>
      </c>
      <c r="G126" s="12">
        <v>0</v>
      </c>
      <c r="H126" s="14">
        <f t="shared" si="0"/>
        <v>0</v>
      </c>
      <c r="I126" s="14">
        <v>0</v>
      </c>
      <c r="J126" s="14">
        <v>0</v>
      </c>
      <c r="K126" s="14">
        <f t="shared" si="1"/>
        <v>0</v>
      </c>
      <c r="L126" s="14">
        <v>0</v>
      </c>
      <c r="M126" s="14">
        <v>0</v>
      </c>
      <c r="N126" s="14">
        <f t="shared" si="3"/>
        <v>0</v>
      </c>
      <c r="O126" s="14">
        <f t="shared" si="3"/>
        <v>0</v>
      </c>
      <c r="P126" s="22">
        <f t="shared" si="3"/>
        <v>0</v>
      </c>
      <c r="Q126" s="22"/>
    </row>
    <row r="127" spans="2:17" x14ac:dyDescent="0.4">
      <c r="B127" s="16">
        <v>43006</v>
      </c>
      <c r="C127" s="21">
        <v>20800</v>
      </c>
      <c r="D127" s="21">
        <v>20800</v>
      </c>
      <c r="E127" s="21">
        <v>20800</v>
      </c>
      <c r="F127" s="21">
        <v>20800</v>
      </c>
      <c r="G127" s="12">
        <v>0</v>
      </c>
      <c r="H127" s="14">
        <f t="shared" si="0"/>
        <v>0</v>
      </c>
      <c r="I127" s="14">
        <v>0</v>
      </c>
      <c r="J127" s="14">
        <v>0</v>
      </c>
      <c r="K127" s="14">
        <f t="shared" si="1"/>
        <v>0</v>
      </c>
      <c r="L127" s="14">
        <v>0</v>
      </c>
      <c r="M127" s="14">
        <v>0</v>
      </c>
      <c r="N127" s="14">
        <f t="shared" si="3"/>
        <v>0</v>
      </c>
      <c r="O127" s="14">
        <f t="shared" si="3"/>
        <v>0</v>
      </c>
      <c r="P127" s="22">
        <f t="shared" si="3"/>
        <v>0</v>
      </c>
      <c r="Q127" s="22"/>
    </row>
    <row r="128" spans="2:17" x14ac:dyDescent="0.4">
      <c r="B128" s="16">
        <v>43007</v>
      </c>
      <c r="C128" s="21"/>
      <c r="D128" s="25"/>
      <c r="E128" s="21"/>
      <c r="F128" s="21"/>
      <c r="G128" s="12">
        <v>0</v>
      </c>
      <c r="H128" s="14"/>
      <c r="I128" s="14"/>
      <c r="J128" s="14"/>
      <c r="K128" s="14"/>
      <c r="L128" s="14"/>
      <c r="M128" s="14"/>
      <c r="N128" s="14"/>
      <c r="O128" s="14"/>
      <c r="P128" s="22"/>
      <c r="Q128" s="22"/>
    </row>
    <row r="129" spans="2:17" x14ac:dyDescent="0.4">
      <c r="B129" s="16">
        <v>43010</v>
      </c>
      <c r="C129" s="21"/>
      <c r="D129" s="25"/>
      <c r="E129" s="21"/>
      <c r="F129" s="21"/>
      <c r="G129" s="12">
        <v>0</v>
      </c>
      <c r="H129" s="14"/>
      <c r="I129" s="14"/>
      <c r="J129" s="14"/>
      <c r="K129" s="14"/>
      <c r="L129" s="14"/>
      <c r="M129" s="14"/>
      <c r="N129" s="14"/>
      <c r="O129" s="14"/>
      <c r="P129" s="22"/>
      <c r="Q129" s="22"/>
    </row>
    <row r="130" spans="2:17" x14ac:dyDescent="0.4">
      <c r="B130" s="16">
        <v>43018</v>
      </c>
      <c r="C130" s="21"/>
      <c r="D130" s="25"/>
      <c r="E130" s="21"/>
      <c r="F130" s="21"/>
      <c r="G130" s="12">
        <v>0</v>
      </c>
      <c r="H130" s="14"/>
      <c r="I130" s="14"/>
      <c r="J130" s="14"/>
      <c r="K130" s="14"/>
      <c r="L130" s="14"/>
      <c r="M130" s="14"/>
      <c r="N130" s="14"/>
      <c r="O130" s="14"/>
      <c r="P130" s="22"/>
      <c r="Q130" s="22"/>
    </row>
    <row r="131" spans="2:17" x14ac:dyDescent="0.4">
      <c r="B131" s="16">
        <v>43019</v>
      </c>
      <c r="C131" s="21"/>
      <c r="D131" s="25"/>
      <c r="E131" s="21"/>
      <c r="F131" s="21"/>
      <c r="G131" s="12">
        <v>0</v>
      </c>
      <c r="H131" s="14"/>
      <c r="I131" s="14"/>
      <c r="J131" s="14"/>
      <c r="K131" s="14"/>
      <c r="L131" s="14"/>
      <c r="M131" s="14"/>
      <c r="N131" s="14"/>
      <c r="O131" s="14"/>
      <c r="P131" s="22"/>
      <c r="Q131" s="22"/>
    </row>
    <row r="132" spans="2:17" x14ac:dyDescent="0.4">
      <c r="B132" s="16">
        <v>43020</v>
      </c>
      <c r="C132" s="21"/>
      <c r="D132" s="25"/>
      <c r="E132" s="21"/>
      <c r="F132" s="21"/>
      <c r="G132" s="12">
        <v>0</v>
      </c>
      <c r="H132" s="14"/>
      <c r="I132" s="14"/>
      <c r="J132" s="14"/>
      <c r="K132" s="14"/>
      <c r="L132" s="14"/>
      <c r="M132" s="14"/>
      <c r="N132" s="14"/>
      <c r="O132" s="14"/>
      <c r="P132" s="22"/>
      <c r="Q132" s="22"/>
    </row>
    <row r="133" spans="2:17" x14ac:dyDescent="0.4">
      <c r="B133" s="16">
        <v>43021</v>
      </c>
      <c r="C133" s="21"/>
      <c r="D133" s="25"/>
      <c r="E133" s="21"/>
      <c r="F133" s="21"/>
      <c r="G133" s="12">
        <v>0</v>
      </c>
      <c r="H133" s="14"/>
      <c r="I133" s="14"/>
      <c r="J133" s="14"/>
      <c r="K133" s="14"/>
      <c r="L133" s="14"/>
      <c r="M133" s="14"/>
      <c r="N133" s="14"/>
      <c r="O133" s="14"/>
      <c r="P133" s="22"/>
      <c r="Q133" s="22"/>
    </row>
    <row r="134" spans="2:17" x14ac:dyDescent="0.4">
      <c r="B134" s="16">
        <v>43024</v>
      </c>
      <c r="C134" s="21"/>
      <c r="D134" s="25"/>
      <c r="E134" s="21"/>
      <c r="F134" s="21"/>
      <c r="G134" s="12">
        <v>0</v>
      </c>
      <c r="H134" s="14"/>
      <c r="I134" s="14"/>
      <c r="J134" s="14"/>
      <c r="K134" s="14"/>
      <c r="L134" s="14"/>
      <c r="M134" s="14"/>
      <c r="N134" s="14"/>
      <c r="O134" s="14"/>
      <c r="P134" s="22"/>
      <c r="Q134" s="22"/>
    </row>
    <row r="135" spans="2:17" x14ac:dyDescent="0.4">
      <c r="B135" s="16">
        <v>43025</v>
      </c>
      <c r="C135" s="21"/>
      <c r="D135" s="25"/>
      <c r="E135" s="21"/>
      <c r="F135" s="21"/>
      <c r="G135" s="12">
        <v>0</v>
      </c>
      <c r="H135" s="14"/>
      <c r="I135" s="14"/>
      <c r="J135" s="14"/>
      <c r="K135" s="14"/>
      <c r="L135" s="14"/>
      <c r="M135" s="14"/>
      <c r="N135" s="14"/>
      <c r="O135" s="14"/>
      <c r="P135" s="22"/>
      <c r="Q135" s="22"/>
    </row>
    <row r="136" spans="2:17" x14ac:dyDescent="0.4">
      <c r="B136" s="16">
        <v>43026</v>
      </c>
      <c r="C136" s="21"/>
      <c r="D136" s="25"/>
      <c r="E136" s="21"/>
      <c r="F136" s="21"/>
      <c r="G136" s="12">
        <v>0</v>
      </c>
      <c r="H136" s="14"/>
      <c r="I136" s="14"/>
      <c r="J136" s="14"/>
      <c r="K136" s="14"/>
      <c r="L136" s="14"/>
      <c r="M136" s="14"/>
      <c r="N136" s="14"/>
      <c r="O136" s="14"/>
      <c r="P136" s="22"/>
      <c r="Q136" s="22"/>
    </row>
    <row r="137" spans="2:17" x14ac:dyDescent="0.4">
      <c r="B137" s="16">
        <v>43027</v>
      </c>
      <c r="C137" s="21"/>
      <c r="D137" s="25"/>
      <c r="E137" s="21"/>
      <c r="F137" s="21"/>
      <c r="G137" s="12">
        <v>0</v>
      </c>
      <c r="H137" s="14"/>
      <c r="I137" s="14"/>
      <c r="J137" s="14"/>
      <c r="K137" s="14"/>
      <c r="L137" s="14"/>
      <c r="M137" s="14"/>
      <c r="N137" s="14"/>
      <c r="O137" s="14"/>
      <c r="P137" s="22"/>
      <c r="Q137" s="22"/>
    </row>
    <row r="138" spans="2:17" x14ac:dyDescent="0.4">
      <c r="B138" s="16">
        <v>43028</v>
      </c>
      <c r="C138" s="21"/>
      <c r="D138" s="25"/>
      <c r="E138" s="21"/>
      <c r="F138" s="21"/>
      <c r="G138" s="12">
        <v>0</v>
      </c>
      <c r="H138" s="14"/>
      <c r="I138" s="14"/>
      <c r="J138" s="14"/>
      <c r="K138" s="14"/>
      <c r="L138" s="14"/>
      <c r="M138" s="14"/>
      <c r="N138" s="14"/>
      <c r="O138" s="14"/>
      <c r="P138" s="22"/>
      <c r="Q138" s="22"/>
    </row>
    <row r="139" spans="2:17" x14ac:dyDescent="0.4">
      <c r="B139" s="16">
        <v>43031</v>
      </c>
      <c r="C139" s="21"/>
      <c r="D139" s="25"/>
      <c r="E139" s="21"/>
      <c r="F139" s="21"/>
      <c r="G139" s="12">
        <v>0</v>
      </c>
      <c r="H139" s="14"/>
      <c r="I139" s="14"/>
      <c r="J139" s="14"/>
      <c r="K139" s="14"/>
      <c r="L139" s="14"/>
      <c r="M139" s="14"/>
      <c r="N139" s="14"/>
      <c r="O139" s="14"/>
      <c r="P139" s="22"/>
      <c r="Q139" s="22"/>
    </row>
    <row r="140" spans="2:17" x14ac:dyDescent="0.4">
      <c r="B140" s="16">
        <v>43032</v>
      </c>
      <c r="C140" s="21"/>
      <c r="D140" s="25"/>
      <c r="E140" s="21"/>
      <c r="F140" s="21"/>
      <c r="G140" s="12">
        <v>0</v>
      </c>
      <c r="H140" s="14"/>
      <c r="I140" s="14"/>
      <c r="J140" s="14"/>
      <c r="K140" s="14"/>
      <c r="L140" s="14"/>
      <c r="M140" s="14"/>
      <c r="N140" s="14"/>
      <c r="O140" s="14"/>
      <c r="P140" s="22"/>
      <c r="Q140" s="22"/>
    </row>
    <row r="141" spans="2:17" x14ac:dyDescent="0.4">
      <c r="B141" s="16">
        <v>43033</v>
      </c>
      <c r="C141" s="21"/>
      <c r="D141" s="25"/>
      <c r="E141" s="21"/>
      <c r="F141" s="21"/>
      <c r="G141" s="12">
        <v>0</v>
      </c>
      <c r="H141" s="14"/>
      <c r="I141" s="14"/>
      <c r="J141" s="14"/>
      <c r="K141" s="14"/>
      <c r="L141" s="14"/>
      <c r="M141" s="14"/>
      <c r="N141" s="14"/>
      <c r="O141" s="14"/>
      <c r="P141" s="22"/>
      <c r="Q141" s="22"/>
    </row>
    <row r="142" spans="2:17" x14ac:dyDescent="0.4">
      <c r="B142" s="16">
        <v>43034</v>
      </c>
      <c r="C142" s="21"/>
      <c r="D142" s="25"/>
      <c r="E142" s="21"/>
      <c r="F142" s="21"/>
      <c r="G142" s="12">
        <v>0</v>
      </c>
      <c r="H142" s="14"/>
      <c r="I142" s="14"/>
      <c r="J142" s="14"/>
      <c r="K142" s="14"/>
      <c r="L142" s="14"/>
      <c r="M142" s="14"/>
      <c r="N142" s="14"/>
      <c r="O142" s="14"/>
      <c r="P142" s="22"/>
      <c r="Q142" s="22"/>
    </row>
    <row r="143" spans="2:17" x14ac:dyDescent="0.4">
      <c r="B143" s="16">
        <v>43035</v>
      </c>
      <c r="C143" s="21"/>
      <c r="D143" s="25"/>
      <c r="E143" s="21"/>
      <c r="F143" s="21"/>
      <c r="G143" s="12">
        <v>0</v>
      </c>
      <c r="H143" s="14"/>
      <c r="I143" s="14"/>
      <c r="J143" s="14"/>
      <c r="K143" s="14"/>
      <c r="L143" s="14"/>
      <c r="M143" s="14"/>
      <c r="N143" s="14"/>
      <c r="O143" s="14"/>
      <c r="P143" s="22"/>
      <c r="Q143" s="22"/>
    </row>
    <row r="144" spans="2:17" x14ac:dyDescent="0.4">
      <c r="B144" s="16">
        <v>43038</v>
      </c>
      <c r="C144" s="21"/>
      <c r="D144" s="25"/>
      <c r="E144" s="21"/>
      <c r="F144" s="21"/>
      <c r="G144" s="12">
        <v>0</v>
      </c>
      <c r="H144" s="14"/>
      <c r="I144" s="14"/>
      <c r="J144" s="14"/>
      <c r="K144" s="14"/>
      <c r="L144" s="14"/>
      <c r="M144" s="14"/>
      <c r="N144" s="14"/>
      <c r="O144" s="14"/>
      <c r="P144" s="22"/>
      <c r="Q144" s="22"/>
    </row>
    <row r="145" spans="2:17" x14ac:dyDescent="0.4">
      <c r="B145" s="16">
        <v>43039</v>
      </c>
      <c r="C145" s="21"/>
      <c r="D145" s="25"/>
      <c r="E145" s="21"/>
      <c r="F145" s="21"/>
      <c r="G145" s="12">
        <v>0</v>
      </c>
      <c r="H145" s="14"/>
      <c r="I145" s="14"/>
      <c r="J145" s="14"/>
      <c r="K145" s="14"/>
      <c r="L145" s="14"/>
      <c r="M145" s="14"/>
      <c r="N145" s="14"/>
      <c r="O145" s="14"/>
      <c r="P145" s="22"/>
      <c r="Q145" s="22"/>
    </row>
    <row r="146" spans="2:17" x14ac:dyDescent="0.4">
      <c r="B146" s="16">
        <v>43040</v>
      </c>
      <c r="C146" s="21"/>
      <c r="D146" s="25"/>
      <c r="E146" s="21"/>
      <c r="F146" s="21"/>
      <c r="G146" s="12">
        <v>0</v>
      </c>
      <c r="H146" s="14"/>
      <c r="I146" s="14"/>
      <c r="J146" s="14"/>
      <c r="K146" s="14"/>
      <c r="L146" s="14"/>
      <c r="M146" s="14"/>
      <c r="N146" s="14"/>
      <c r="O146" s="14"/>
      <c r="P146" s="22"/>
      <c r="Q146" s="22"/>
    </row>
    <row r="147" spans="2:17" x14ac:dyDescent="0.4">
      <c r="B147" s="16">
        <v>43041</v>
      </c>
      <c r="C147" s="21"/>
      <c r="D147" s="25"/>
      <c r="E147" s="21"/>
      <c r="F147" s="21"/>
      <c r="G147" s="12">
        <v>0</v>
      </c>
      <c r="H147" s="14"/>
      <c r="I147" s="14"/>
      <c r="J147" s="14"/>
      <c r="K147" s="14"/>
      <c r="L147" s="14"/>
      <c r="M147" s="14"/>
      <c r="N147" s="14"/>
      <c r="O147" s="14"/>
      <c r="P147" s="22"/>
      <c r="Q147" s="22"/>
    </row>
    <row r="148" spans="2:17" x14ac:dyDescent="0.4">
      <c r="B148" s="16">
        <v>43042</v>
      </c>
      <c r="C148" s="21"/>
      <c r="D148" s="25"/>
      <c r="E148" s="21"/>
      <c r="F148" s="21"/>
      <c r="G148" s="21"/>
      <c r="H148" s="14"/>
      <c r="I148" s="14"/>
      <c r="J148" s="14"/>
      <c r="K148" s="14"/>
      <c r="L148" s="14"/>
      <c r="M148" s="14"/>
      <c r="N148" s="14"/>
      <c r="O148" s="14"/>
      <c r="P148" s="22"/>
      <c r="Q148" s="22"/>
    </row>
    <row r="149" spans="2:17" x14ac:dyDescent="0.4">
      <c r="B149" s="16">
        <v>43045</v>
      </c>
      <c r="C149" s="21"/>
      <c r="D149" s="25"/>
      <c r="E149" s="21"/>
      <c r="F149" s="21"/>
      <c r="G149" s="21"/>
      <c r="H149" s="14"/>
      <c r="I149" s="14"/>
      <c r="J149" s="14"/>
      <c r="K149" s="14"/>
      <c r="L149" s="14"/>
      <c r="M149" s="14"/>
      <c r="N149" s="14"/>
      <c r="O149" s="14"/>
      <c r="P149" s="22"/>
      <c r="Q149" s="22"/>
    </row>
    <row r="150" spans="2:17" x14ac:dyDescent="0.4">
      <c r="B150" s="16">
        <v>43046</v>
      </c>
      <c r="C150" s="21"/>
      <c r="D150" s="25"/>
      <c r="E150" s="21"/>
      <c r="F150" s="21"/>
      <c r="G150" s="21"/>
      <c r="H150" s="14"/>
      <c r="I150" s="14"/>
      <c r="J150" s="14"/>
      <c r="K150" s="14"/>
      <c r="L150" s="14"/>
      <c r="M150" s="14"/>
      <c r="N150" s="14"/>
      <c r="O150" s="14"/>
      <c r="P150" s="22"/>
      <c r="Q150" s="22"/>
    </row>
    <row r="151" spans="2:17" x14ac:dyDescent="0.4">
      <c r="B151" s="16">
        <v>43047</v>
      </c>
      <c r="C151" s="21"/>
      <c r="D151" s="25"/>
      <c r="E151" s="21"/>
      <c r="F151" s="21"/>
      <c r="G151" s="21"/>
      <c r="H151" s="14"/>
      <c r="I151" s="14"/>
      <c r="J151" s="14"/>
      <c r="K151" s="14"/>
      <c r="L151" s="14"/>
      <c r="M151" s="14"/>
      <c r="N151" s="14"/>
      <c r="O151" s="14"/>
      <c r="P151" s="22"/>
      <c r="Q151" s="22"/>
    </row>
    <row r="152" spans="2:17" x14ac:dyDescent="0.4">
      <c r="B152" s="16">
        <v>43048</v>
      </c>
      <c r="C152" s="21"/>
      <c r="D152" s="25"/>
      <c r="E152" s="21"/>
      <c r="F152" s="21"/>
      <c r="G152" s="21"/>
      <c r="H152" s="14"/>
      <c r="I152" s="14"/>
      <c r="J152" s="14"/>
      <c r="K152" s="14"/>
      <c r="L152" s="14"/>
      <c r="M152" s="14"/>
      <c r="N152" s="14"/>
      <c r="O152" s="14"/>
      <c r="P152" s="22"/>
      <c r="Q152" s="22"/>
    </row>
    <row r="153" spans="2:17" x14ac:dyDescent="0.4">
      <c r="B153" s="16">
        <v>43049</v>
      </c>
      <c r="C153" s="21"/>
      <c r="D153" s="25"/>
      <c r="E153" s="21"/>
      <c r="F153" s="21"/>
      <c r="G153" s="21"/>
      <c r="H153" s="14"/>
      <c r="I153" s="14"/>
      <c r="J153" s="14"/>
      <c r="K153" s="14"/>
      <c r="L153" s="14"/>
      <c r="M153" s="14"/>
      <c r="N153" s="14"/>
      <c r="O153" s="14"/>
      <c r="P153" s="22"/>
    </row>
    <row r="154" spans="2:17" x14ac:dyDescent="0.4">
      <c r="B154" s="26"/>
      <c r="C154" s="21"/>
      <c r="D154" s="25"/>
      <c r="E154" s="21"/>
      <c r="F154" s="21"/>
      <c r="G154" s="21"/>
      <c r="H154" s="14"/>
      <c r="I154" s="14"/>
      <c r="J154" s="14"/>
      <c r="K154" s="14"/>
      <c r="L154" s="14"/>
      <c r="M154" s="14"/>
      <c r="N154" s="14"/>
      <c r="O154" s="14"/>
      <c r="P154" s="22"/>
    </row>
  </sheetData>
  <autoFilter ref="C5:Q147" xr:uid="{00000000-0009-0000-0000-000001000000}"/>
  <mergeCells count="6">
    <mergeCell ref="B2:Q2"/>
    <mergeCell ref="B4:B5"/>
    <mergeCell ref="C4:G4"/>
    <mergeCell ref="H4:J4"/>
    <mergeCell ref="K4:M4"/>
    <mergeCell ref="N4:P4"/>
  </mergeCells>
  <phoneticPr fontId="1" type="noConversion"/>
  <conditionalFormatting sqref="G8 G13:G14 G16 G32:G33 G36:G44 G46:G55 G57:G58 G63:G64 G66 G74 G99 G102:G103 G119 G126 G128:G147">
    <cfRule type="iconSet" priority="87">
      <iconSet iconSet="3Arrows">
        <cfvo type="percent" val="0"/>
        <cfvo type="num" val="0"/>
        <cfvo type="num" val="0" gte="0"/>
      </iconSet>
    </cfRule>
  </conditionalFormatting>
  <conditionalFormatting sqref="G6">
    <cfRule type="iconSet" priority="86">
      <iconSet iconSet="3Arrows">
        <cfvo type="percent" val="0"/>
        <cfvo type="num" val="0"/>
        <cfvo type="num" val="0" gte="0"/>
      </iconSet>
    </cfRule>
  </conditionalFormatting>
  <conditionalFormatting sqref="G7">
    <cfRule type="iconSet" priority="85">
      <iconSet iconSet="3Arrows">
        <cfvo type="percent" val="0"/>
        <cfvo type="num" val="0"/>
        <cfvo type="num" val="0" gte="0"/>
      </iconSet>
    </cfRule>
  </conditionalFormatting>
  <conditionalFormatting sqref="G9">
    <cfRule type="iconSet" priority="84">
      <iconSet iconSet="3Arrows">
        <cfvo type="percent" val="0"/>
        <cfvo type="num" val="0"/>
        <cfvo type="num" val="0" gte="0"/>
      </iconSet>
    </cfRule>
  </conditionalFormatting>
  <conditionalFormatting sqref="G10">
    <cfRule type="iconSet" priority="83">
      <iconSet iconSet="3Arrows">
        <cfvo type="percent" val="0"/>
        <cfvo type="num" val="0"/>
        <cfvo type="num" val="0" gte="0"/>
      </iconSet>
    </cfRule>
  </conditionalFormatting>
  <conditionalFormatting sqref="G11">
    <cfRule type="iconSet" priority="82">
      <iconSet iconSet="3Arrows">
        <cfvo type="percent" val="0"/>
        <cfvo type="num" val="0"/>
        <cfvo type="num" val="0" gte="0"/>
      </iconSet>
    </cfRule>
  </conditionalFormatting>
  <conditionalFormatting sqref="G12">
    <cfRule type="iconSet" priority="81">
      <iconSet iconSet="3Arrows">
        <cfvo type="percent" val="0"/>
        <cfvo type="num" val="0"/>
        <cfvo type="num" val="0" gte="0"/>
      </iconSet>
    </cfRule>
  </conditionalFormatting>
  <conditionalFormatting sqref="G15">
    <cfRule type="iconSet" priority="80">
      <iconSet iconSet="3Arrows">
        <cfvo type="percent" val="0"/>
        <cfvo type="num" val="0"/>
        <cfvo type="num" val="0" gte="0"/>
      </iconSet>
    </cfRule>
  </conditionalFormatting>
  <conditionalFormatting sqref="G17">
    <cfRule type="iconSet" priority="79">
      <iconSet iconSet="3Arrows">
        <cfvo type="percent" val="0"/>
        <cfvo type="num" val="0"/>
        <cfvo type="num" val="0" gte="0"/>
      </iconSet>
    </cfRule>
  </conditionalFormatting>
  <conditionalFormatting sqref="G18">
    <cfRule type="iconSet" priority="78">
      <iconSet iconSet="3Arrows">
        <cfvo type="percent" val="0"/>
        <cfvo type="num" val="0"/>
        <cfvo type="num" val="0" gte="0"/>
      </iconSet>
    </cfRule>
  </conditionalFormatting>
  <conditionalFormatting sqref="G19">
    <cfRule type="iconSet" priority="77">
      <iconSet iconSet="3Arrows">
        <cfvo type="percent" val="0"/>
        <cfvo type="num" val="0"/>
        <cfvo type="num" val="0" gte="0"/>
      </iconSet>
    </cfRule>
  </conditionalFormatting>
  <conditionalFormatting sqref="G20">
    <cfRule type="iconSet" priority="76">
      <iconSet iconSet="3Arrows">
        <cfvo type="percent" val="0"/>
        <cfvo type="num" val="0"/>
        <cfvo type="num" val="0" gte="0"/>
      </iconSet>
    </cfRule>
  </conditionalFormatting>
  <conditionalFormatting sqref="G21">
    <cfRule type="iconSet" priority="75">
      <iconSet iconSet="3Arrows">
        <cfvo type="percent" val="0"/>
        <cfvo type="num" val="0"/>
        <cfvo type="num" val="0" gte="0"/>
      </iconSet>
    </cfRule>
  </conditionalFormatting>
  <conditionalFormatting sqref="G22">
    <cfRule type="iconSet" priority="74">
      <iconSet iconSet="3Arrows">
        <cfvo type="percent" val="0"/>
        <cfvo type="num" val="0"/>
        <cfvo type="num" val="0" gte="0"/>
      </iconSet>
    </cfRule>
  </conditionalFormatting>
  <conditionalFormatting sqref="G23">
    <cfRule type="iconSet" priority="73">
      <iconSet iconSet="3Arrows">
        <cfvo type="percent" val="0"/>
        <cfvo type="num" val="0"/>
        <cfvo type="num" val="0" gte="0"/>
      </iconSet>
    </cfRule>
  </conditionalFormatting>
  <conditionalFormatting sqref="G24">
    <cfRule type="iconSet" priority="72">
      <iconSet iconSet="3Arrows">
        <cfvo type="percent" val="0"/>
        <cfvo type="num" val="0"/>
        <cfvo type="num" val="0" gte="0"/>
      </iconSet>
    </cfRule>
  </conditionalFormatting>
  <conditionalFormatting sqref="G25">
    <cfRule type="iconSet" priority="71">
      <iconSet iconSet="3Arrows">
        <cfvo type="percent" val="0"/>
        <cfvo type="num" val="0"/>
        <cfvo type="num" val="0" gte="0"/>
      </iconSet>
    </cfRule>
  </conditionalFormatting>
  <conditionalFormatting sqref="G26">
    <cfRule type="iconSet" priority="70">
      <iconSet iconSet="3Arrows">
        <cfvo type="percent" val="0"/>
        <cfvo type="num" val="0"/>
        <cfvo type="num" val="0" gte="0"/>
      </iconSet>
    </cfRule>
  </conditionalFormatting>
  <conditionalFormatting sqref="G27">
    <cfRule type="iconSet" priority="69">
      <iconSet iconSet="3Arrows">
        <cfvo type="percent" val="0"/>
        <cfvo type="num" val="0"/>
        <cfvo type="num" val="0" gte="0"/>
      </iconSet>
    </cfRule>
  </conditionalFormatting>
  <conditionalFormatting sqref="G28">
    <cfRule type="iconSet" priority="68">
      <iconSet iconSet="3Arrows">
        <cfvo type="percent" val="0"/>
        <cfvo type="num" val="0"/>
        <cfvo type="num" val="0" gte="0"/>
      </iconSet>
    </cfRule>
  </conditionalFormatting>
  <conditionalFormatting sqref="G29">
    <cfRule type="iconSet" priority="67">
      <iconSet iconSet="3Arrows">
        <cfvo type="percent" val="0"/>
        <cfvo type="num" val="0"/>
        <cfvo type="num" val="0" gte="0"/>
      </iconSet>
    </cfRule>
  </conditionalFormatting>
  <conditionalFormatting sqref="G30">
    <cfRule type="iconSet" priority="66">
      <iconSet iconSet="3Arrows">
        <cfvo type="percent" val="0"/>
        <cfvo type="num" val="0"/>
        <cfvo type="num" val="0" gte="0"/>
      </iconSet>
    </cfRule>
  </conditionalFormatting>
  <conditionalFormatting sqref="G31">
    <cfRule type="iconSet" priority="65">
      <iconSet iconSet="3Arrows">
        <cfvo type="percent" val="0"/>
        <cfvo type="num" val="0"/>
        <cfvo type="num" val="0" gte="0"/>
      </iconSet>
    </cfRule>
  </conditionalFormatting>
  <conditionalFormatting sqref="G34">
    <cfRule type="iconSet" priority="64">
      <iconSet iconSet="3Arrows">
        <cfvo type="percent" val="0"/>
        <cfvo type="num" val="0"/>
        <cfvo type="num" val="0" gte="0"/>
      </iconSet>
    </cfRule>
  </conditionalFormatting>
  <conditionalFormatting sqref="G35">
    <cfRule type="iconSet" priority="63">
      <iconSet iconSet="3Arrows">
        <cfvo type="percent" val="0"/>
        <cfvo type="num" val="0"/>
        <cfvo type="num" val="0" gte="0"/>
      </iconSet>
    </cfRule>
  </conditionalFormatting>
  <conditionalFormatting sqref="G45">
    <cfRule type="iconSet" priority="62">
      <iconSet iconSet="3Arrows">
        <cfvo type="percent" val="0"/>
        <cfvo type="num" val="0"/>
        <cfvo type="num" val="0" gte="0"/>
      </iconSet>
    </cfRule>
  </conditionalFormatting>
  <conditionalFormatting sqref="G56">
    <cfRule type="iconSet" priority="61">
      <iconSet iconSet="3Arrows">
        <cfvo type="percent" val="0"/>
        <cfvo type="num" val="0"/>
        <cfvo type="num" val="0" gte="0"/>
      </iconSet>
    </cfRule>
  </conditionalFormatting>
  <conditionalFormatting sqref="G59">
    <cfRule type="iconSet" priority="60">
      <iconSet iconSet="3Arrows">
        <cfvo type="percent" val="0"/>
        <cfvo type="num" val="0"/>
        <cfvo type="num" val="0" gte="0"/>
      </iconSet>
    </cfRule>
  </conditionalFormatting>
  <conditionalFormatting sqref="G60">
    <cfRule type="iconSet" priority="59">
      <iconSet iconSet="3Arrows">
        <cfvo type="percent" val="0"/>
        <cfvo type="num" val="0"/>
        <cfvo type="num" val="0" gte="0"/>
      </iconSet>
    </cfRule>
  </conditionalFormatting>
  <conditionalFormatting sqref="G61">
    <cfRule type="iconSet" priority="58">
      <iconSet iconSet="3Arrows">
        <cfvo type="percent" val="0"/>
        <cfvo type="num" val="0"/>
        <cfvo type="num" val="0" gte="0"/>
      </iconSet>
    </cfRule>
  </conditionalFormatting>
  <conditionalFormatting sqref="G62">
    <cfRule type="iconSet" priority="57">
      <iconSet iconSet="3Arrows">
        <cfvo type="percent" val="0"/>
        <cfvo type="num" val="0"/>
        <cfvo type="num" val="0" gte="0"/>
      </iconSet>
    </cfRule>
  </conditionalFormatting>
  <conditionalFormatting sqref="G65">
    <cfRule type="iconSet" priority="56">
      <iconSet iconSet="3Arrows">
        <cfvo type="percent" val="0"/>
        <cfvo type="num" val="0"/>
        <cfvo type="num" val="0" gte="0"/>
      </iconSet>
    </cfRule>
  </conditionalFormatting>
  <conditionalFormatting sqref="G67">
    <cfRule type="iconSet" priority="55">
      <iconSet iconSet="3Arrows">
        <cfvo type="percent" val="0"/>
        <cfvo type="num" val="0"/>
        <cfvo type="num" val="0" gte="0"/>
      </iconSet>
    </cfRule>
  </conditionalFormatting>
  <conditionalFormatting sqref="G68">
    <cfRule type="iconSet" priority="54">
      <iconSet iconSet="3Arrows">
        <cfvo type="percent" val="0"/>
        <cfvo type="num" val="0"/>
        <cfvo type="num" val="0" gte="0"/>
      </iconSet>
    </cfRule>
  </conditionalFormatting>
  <conditionalFormatting sqref="G69">
    <cfRule type="iconSet" priority="53">
      <iconSet iconSet="3Arrows">
        <cfvo type="percent" val="0"/>
        <cfvo type="num" val="0"/>
        <cfvo type="num" val="0" gte="0"/>
      </iconSet>
    </cfRule>
  </conditionalFormatting>
  <conditionalFormatting sqref="G70">
    <cfRule type="iconSet" priority="52">
      <iconSet iconSet="3Arrows">
        <cfvo type="percent" val="0"/>
        <cfvo type="num" val="0"/>
        <cfvo type="num" val="0" gte="0"/>
      </iconSet>
    </cfRule>
  </conditionalFormatting>
  <conditionalFormatting sqref="G71">
    <cfRule type="iconSet" priority="51">
      <iconSet iconSet="3Arrows">
        <cfvo type="percent" val="0"/>
        <cfvo type="num" val="0"/>
        <cfvo type="num" val="0" gte="0"/>
      </iconSet>
    </cfRule>
  </conditionalFormatting>
  <conditionalFormatting sqref="G72">
    <cfRule type="iconSet" priority="50">
      <iconSet iconSet="3Arrows">
        <cfvo type="percent" val="0"/>
        <cfvo type="num" val="0"/>
        <cfvo type="num" val="0" gte="0"/>
      </iconSet>
    </cfRule>
  </conditionalFormatting>
  <conditionalFormatting sqref="G73">
    <cfRule type="iconSet" priority="49">
      <iconSet iconSet="3Arrows">
        <cfvo type="percent" val="0"/>
        <cfvo type="num" val="0"/>
        <cfvo type="num" val="0" gte="0"/>
      </iconSet>
    </cfRule>
  </conditionalFormatting>
  <conditionalFormatting sqref="G75">
    <cfRule type="iconSet" priority="48">
      <iconSet iconSet="3Arrows">
        <cfvo type="percent" val="0"/>
        <cfvo type="num" val="0"/>
        <cfvo type="num" val="0" gte="0"/>
      </iconSet>
    </cfRule>
  </conditionalFormatting>
  <conditionalFormatting sqref="G76">
    <cfRule type="iconSet" priority="47">
      <iconSet iconSet="3Arrows">
        <cfvo type="percent" val="0"/>
        <cfvo type="num" val="0"/>
        <cfvo type="num" val="0" gte="0"/>
      </iconSet>
    </cfRule>
  </conditionalFormatting>
  <conditionalFormatting sqref="G77">
    <cfRule type="iconSet" priority="46">
      <iconSet iconSet="3Arrows">
        <cfvo type="percent" val="0"/>
        <cfvo type="num" val="0"/>
        <cfvo type="num" val="0" gte="0"/>
      </iconSet>
    </cfRule>
  </conditionalFormatting>
  <conditionalFormatting sqref="G78">
    <cfRule type="iconSet" priority="45">
      <iconSet iconSet="3Arrows">
        <cfvo type="percent" val="0"/>
        <cfvo type="num" val="0"/>
        <cfvo type="num" val="0" gte="0"/>
      </iconSet>
    </cfRule>
  </conditionalFormatting>
  <conditionalFormatting sqref="G79">
    <cfRule type="iconSet" priority="44">
      <iconSet iconSet="3Arrows">
        <cfvo type="percent" val="0"/>
        <cfvo type="num" val="0"/>
        <cfvo type="num" val="0" gte="0"/>
      </iconSet>
    </cfRule>
  </conditionalFormatting>
  <conditionalFormatting sqref="G80">
    <cfRule type="iconSet" priority="43">
      <iconSet iconSet="3Arrows">
        <cfvo type="percent" val="0"/>
        <cfvo type="num" val="0"/>
        <cfvo type="num" val="0" gte="0"/>
      </iconSet>
    </cfRule>
  </conditionalFormatting>
  <conditionalFormatting sqref="G81">
    <cfRule type="iconSet" priority="42">
      <iconSet iconSet="3Arrows">
        <cfvo type="percent" val="0"/>
        <cfvo type="num" val="0"/>
        <cfvo type="num" val="0" gte="0"/>
      </iconSet>
    </cfRule>
  </conditionalFormatting>
  <conditionalFormatting sqref="G82">
    <cfRule type="iconSet" priority="41">
      <iconSet iconSet="3Arrows">
        <cfvo type="percent" val="0"/>
        <cfvo type="num" val="0"/>
        <cfvo type="num" val="0" gte="0"/>
      </iconSet>
    </cfRule>
  </conditionalFormatting>
  <conditionalFormatting sqref="G83">
    <cfRule type="iconSet" priority="40">
      <iconSet iconSet="3Arrows">
        <cfvo type="percent" val="0"/>
        <cfvo type="num" val="0"/>
        <cfvo type="num" val="0" gte="0"/>
      </iconSet>
    </cfRule>
  </conditionalFormatting>
  <conditionalFormatting sqref="G84">
    <cfRule type="iconSet" priority="39">
      <iconSet iconSet="3Arrows">
        <cfvo type="percent" val="0"/>
        <cfvo type="num" val="0"/>
        <cfvo type="num" val="0" gte="0"/>
      </iconSet>
    </cfRule>
  </conditionalFormatting>
  <conditionalFormatting sqref="G85">
    <cfRule type="iconSet" priority="38">
      <iconSet iconSet="3Arrows">
        <cfvo type="percent" val="0"/>
        <cfvo type="num" val="0"/>
        <cfvo type="num" val="0" gte="0"/>
      </iconSet>
    </cfRule>
  </conditionalFormatting>
  <conditionalFormatting sqref="G86">
    <cfRule type="iconSet" priority="37">
      <iconSet iconSet="3Arrows">
        <cfvo type="percent" val="0"/>
        <cfvo type="num" val="0"/>
        <cfvo type="num" val="0" gte="0"/>
      </iconSet>
    </cfRule>
  </conditionalFormatting>
  <conditionalFormatting sqref="G87">
    <cfRule type="iconSet" priority="36">
      <iconSet iconSet="3Arrows">
        <cfvo type="percent" val="0"/>
        <cfvo type="num" val="0"/>
        <cfvo type="num" val="0" gte="0"/>
      </iconSet>
    </cfRule>
  </conditionalFormatting>
  <conditionalFormatting sqref="G88">
    <cfRule type="iconSet" priority="35">
      <iconSet iconSet="3Arrows">
        <cfvo type="percent" val="0"/>
        <cfvo type="num" val="0"/>
        <cfvo type="num" val="0" gte="0"/>
      </iconSet>
    </cfRule>
  </conditionalFormatting>
  <conditionalFormatting sqref="G89">
    <cfRule type="iconSet" priority="34">
      <iconSet iconSet="3Arrows">
        <cfvo type="percent" val="0"/>
        <cfvo type="num" val="0"/>
        <cfvo type="num" val="0" gte="0"/>
      </iconSet>
    </cfRule>
  </conditionalFormatting>
  <conditionalFormatting sqref="G90">
    <cfRule type="iconSet" priority="33">
      <iconSet iconSet="3Arrows">
        <cfvo type="percent" val="0"/>
        <cfvo type="num" val="0"/>
        <cfvo type="num" val="0" gte="0"/>
      </iconSet>
    </cfRule>
  </conditionalFormatting>
  <conditionalFormatting sqref="G91">
    <cfRule type="iconSet" priority="32">
      <iconSet iconSet="3Arrows">
        <cfvo type="percent" val="0"/>
        <cfvo type="num" val="0"/>
        <cfvo type="num" val="0" gte="0"/>
      </iconSet>
    </cfRule>
  </conditionalFormatting>
  <conditionalFormatting sqref="G92">
    <cfRule type="iconSet" priority="31">
      <iconSet iconSet="3Arrows">
        <cfvo type="percent" val="0"/>
        <cfvo type="num" val="0"/>
        <cfvo type="num" val="0" gte="0"/>
      </iconSet>
    </cfRule>
  </conditionalFormatting>
  <conditionalFormatting sqref="G93">
    <cfRule type="iconSet" priority="30">
      <iconSet iconSet="3Arrows">
        <cfvo type="percent" val="0"/>
        <cfvo type="num" val="0"/>
        <cfvo type="num" val="0" gte="0"/>
      </iconSet>
    </cfRule>
  </conditionalFormatting>
  <conditionalFormatting sqref="G94">
    <cfRule type="iconSet" priority="29">
      <iconSet iconSet="3Arrows">
        <cfvo type="percent" val="0"/>
        <cfvo type="num" val="0"/>
        <cfvo type="num" val="0" gte="0"/>
      </iconSet>
    </cfRule>
  </conditionalFormatting>
  <conditionalFormatting sqref="G95">
    <cfRule type="iconSet" priority="28">
      <iconSet iconSet="3Arrows">
        <cfvo type="percent" val="0"/>
        <cfvo type="num" val="0"/>
        <cfvo type="num" val="0" gte="0"/>
      </iconSet>
    </cfRule>
  </conditionalFormatting>
  <conditionalFormatting sqref="G96">
    <cfRule type="iconSet" priority="27">
      <iconSet iconSet="3Arrows">
        <cfvo type="percent" val="0"/>
        <cfvo type="num" val="0"/>
        <cfvo type="num" val="0" gte="0"/>
      </iconSet>
    </cfRule>
  </conditionalFormatting>
  <conditionalFormatting sqref="G97">
    <cfRule type="iconSet" priority="26">
      <iconSet iconSet="3Arrows">
        <cfvo type="percent" val="0"/>
        <cfvo type="num" val="0"/>
        <cfvo type="num" val="0" gte="0"/>
      </iconSet>
    </cfRule>
  </conditionalFormatting>
  <conditionalFormatting sqref="G98">
    <cfRule type="iconSet" priority="25">
      <iconSet iconSet="3Arrows">
        <cfvo type="percent" val="0"/>
        <cfvo type="num" val="0"/>
        <cfvo type="num" val="0" gte="0"/>
      </iconSet>
    </cfRule>
  </conditionalFormatting>
  <conditionalFormatting sqref="G100">
    <cfRule type="iconSet" priority="24">
      <iconSet iconSet="3Arrows">
        <cfvo type="percent" val="0"/>
        <cfvo type="num" val="0"/>
        <cfvo type="num" val="0" gte="0"/>
      </iconSet>
    </cfRule>
  </conditionalFormatting>
  <conditionalFormatting sqref="G101">
    <cfRule type="iconSet" priority="23">
      <iconSet iconSet="3Arrows">
        <cfvo type="percent" val="0"/>
        <cfvo type="num" val="0"/>
        <cfvo type="num" val="0" gte="0"/>
      </iconSet>
    </cfRule>
  </conditionalFormatting>
  <conditionalFormatting sqref="G104">
    <cfRule type="iconSet" priority="22">
      <iconSet iconSet="3Arrows">
        <cfvo type="percent" val="0"/>
        <cfvo type="num" val="0"/>
        <cfvo type="num" val="0" gte="0"/>
      </iconSet>
    </cfRule>
  </conditionalFormatting>
  <conditionalFormatting sqref="G105">
    <cfRule type="iconSet" priority="21">
      <iconSet iconSet="3Arrows">
        <cfvo type="percent" val="0"/>
        <cfvo type="num" val="0"/>
        <cfvo type="num" val="0" gte="0"/>
      </iconSet>
    </cfRule>
  </conditionalFormatting>
  <conditionalFormatting sqref="G106">
    <cfRule type="iconSet" priority="20">
      <iconSet iconSet="3Arrows">
        <cfvo type="percent" val="0"/>
        <cfvo type="num" val="0"/>
        <cfvo type="num" val="0" gte="0"/>
      </iconSet>
    </cfRule>
  </conditionalFormatting>
  <conditionalFormatting sqref="G107">
    <cfRule type="iconSet" priority="19">
      <iconSet iconSet="3Arrows">
        <cfvo type="percent" val="0"/>
        <cfvo type="num" val="0"/>
        <cfvo type="num" val="0" gte="0"/>
      </iconSet>
    </cfRule>
  </conditionalFormatting>
  <conditionalFormatting sqref="G108">
    <cfRule type="iconSet" priority="18">
      <iconSet iconSet="3Arrows">
        <cfvo type="percent" val="0"/>
        <cfvo type="num" val="0"/>
        <cfvo type="num" val="0" gte="0"/>
      </iconSet>
    </cfRule>
  </conditionalFormatting>
  <conditionalFormatting sqref="G109">
    <cfRule type="iconSet" priority="17">
      <iconSet iconSet="3Arrows">
        <cfvo type="percent" val="0"/>
        <cfvo type="num" val="0"/>
        <cfvo type="num" val="0" gte="0"/>
      </iconSet>
    </cfRule>
  </conditionalFormatting>
  <conditionalFormatting sqref="G110">
    <cfRule type="iconSet" priority="16">
      <iconSet iconSet="3Arrows">
        <cfvo type="percent" val="0"/>
        <cfvo type="num" val="0"/>
        <cfvo type="num" val="0" gte="0"/>
      </iconSet>
    </cfRule>
  </conditionalFormatting>
  <conditionalFormatting sqref="G111">
    <cfRule type="iconSet" priority="15">
      <iconSet iconSet="3Arrows">
        <cfvo type="percent" val="0"/>
        <cfvo type="num" val="0"/>
        <cfvo type="num" val="0" gte="0"/>
      </iconSet>
    </cfRule>
  </conditionalFormatting>
  <conditionalFormatting sqref="G112">
    <cfRule type="iconSet" priority="14">
      <iconSet iconSet="3Arrows">
        <cfvo type="percent" val="0"/>
        <cfvo type="num" val="0"/>
        <cfvo type="num" val="0" gte="0"/>
      </iconSet>
    </cfRule>
  </conditionalFormatting>
  <conditionalFormatting sqref="G113">
    <cfRule type="iconSet" priority="13">
      <iconSet iconSet="3Arrows">
        <cfvo type="percent" val="0"/>
        <cfvo type="num" val="0"/>
        <cfvo type="num" val="0" gte="0"/>
      </iconSet>
    </cfRule>
  </conditionalFormatting>
  <conditionalFormatting sqref="G114">
    <cfRule type="iconSet" priority="12">
      <iconSet iconSet="3Arrows">
        <cfvo type="percent" val="0"/>
        <cfvo type="num" val="0"/>
        <cfvo type="num" val="0" gte="0"/>
      </iconSet>
    </cfRule>
  </conditionalFormatting>
  <conditionalFormatting sqref="G115">
    <cfRule type="iconSet" priority="11">
      <iconSet iconSet="3Arrows">
        <cfvo type="percent" val="0"/>
        <cfvo type="num" val="0"/>
        <cfvo type="num" val="0" gte="0"/>
      </iconSet>
    </cfRule>
  </conditionalFormatting>
  <conditionalFormatting sqref="G116">
    <cfRule type="iconSet" priority="10">
      <iconSet iconSet="3Arrows">
        <cfvo type="percent" val="0"/>
        <cfvo type="num" val="0"/>
        <cfvo type="num" val="0" gte="0"/>
      </iconSet>
    </cfRule>
  </conditionalFormatting>
  <conditionalFormatting sqref="G117">
    <cfRule type="iconSet" priority="9">
      <iconSet iconSet="3Arrows">
        <cfvo type="percent" val="0"/>
        <cfvo type="num" val="0"/>
        <cfvo type="num" val="0" gte="0"/>
      </iconSet>
    </cfRule>
  </conditionalFormatting>
  <conditionalFormatting sqref="G118">
    <cfRule type="iconSet" priority="8">
      <iconSet iconSet="3Arrows">
        <cfvo type="percent" val="0"/>
        <cfvo type="num" val="0"/>
        <cfvo type="num" val="0" gte="0"/>
      </iconSet>
    </cfRule>
  </conditionalFormatting>
  <conditionalFormatting sqref="G120">
    <cfRule type="iconSet" priority="7">
      <iconSet iconSet="3Arrows">
        <cfvo type="percent" val="0"/>
        <cfvo type="num" val="0"/>
        <cfvo type="num" val="0" gte="0"/>
      </iconSet>
    </cfRule>
  </conditionalFormatting>
  <conditionalFormatting sqref="G121">
    <cfRule type="iconSet" priority="6">
      <iconSet iconSet="3Arrows">
        <cfvo type="percent" val="0"/>
        <cfvo type="num" val="0"/>
        <cfvo type="num" val="0" gte="0"/>
      </iconSet>
    </cfRule>
  </conditionalFormatting>
  <conditionalFormatting sqref="G122">
    <cfRule type="iconSet" priority="5">
      <iconSet iconSet="3Arrows">
        <cfvo type="percent" val="0"/>
        <cfvo type="num" val="0"/>
        <cfvo type="num" val="0" gte="0"/>
      </iconSet>
    </cfRule>
  </conditionalFormatting>
  <conditionalFormatting sqref="G123">
    <cfRule type="iconSet" priority="4">
      <iconSet iconSet="3Arrows">
        <cfvo type="percent" val="0"/>
        <cfvo type="num" val="0"/>
        <cfvo type="num" val="0" gte="0"/>
      </iconSet>
    </cfRule>
  </conditionalFormatting>
  <conditionalFormatting sqref="G124">
    <cfRule type="iconSet" priority="3">
      <iconSet iconSet="3Arrows">
        <cfvo type="percent" val="0"/>
        <cfvo type="num" val="0"/>
        <cfvo type="num" val="0" gte="0"/>
      </iconSet>
    </cfRule>
  </conditionalFormatting>
  <conditionalFormatting sqref="G125">
    <cfRule type="iconSet" priority="2">
      <iconSet iconSet="3Arrows">
        <cfvo type="percent" val="0"/>
        <cfvo type="num" val="0"/>
        <cfvo type="num" val="0" gte="0"/>
      </iconSet>
    </cfRule>
  </conditionalFormatting>
  <conditionalFormatting sqref="G127">
    <cfRule type="iconSet" priority="1">
      <iconSet iconSet="3Arrows">
        <cfvo type="percent" val="0"/>
        <cfvo type="num" val="0"/>
        <cfvo type="num" val="0" gte="0"/>
      </iconSet>
    </cfRule>
  </conditionalFormatting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B4FB19-8592-431F-976A-3944276C8EED}">
  <sheetPr codeName="Sheet10">
    <tabColor rgb="FF002060"/>
  </sheetPr>
  <dimension ref="B2:AC452"/>
  <sheetViews>
    <sheetView showGridLines="0" zoomScale="85" zoomScaleNormal="85" workbookViewId="0">
      <pane xSplit="2" ySplit="5" topLeftCell="E310" activePane="bottomRight" state="frozen"/>
      <selection activeCell="Q175" sqref="Q175"/>
      <selection pane="topRight" activeCell="Q175" sqref="Q175"/>
      <selection pane="bottomLeft" activeCell="Q175" sqref="Q175"/>
      <selection pane="bottomRight" activeCell="Q175" sqref="Q175"/>
    </sheetView>
  </sheetViews>
  <sheetFormatPr defaultColWidth="8.59765625" defaultRowHeight="17.399999999999999" x14ac:dyDescent="0.4"/>
  <cols>
    <col min="1" max="1" width="3" style="5" customWidth="1"/>
    <col min="2" max="2" width="10.09765625" style="5" customWidth="1"/>
    <col min="3" max="3" width="8.59765625" style="5"/>
    <col min="4" max="4" width="8.59765625" style="5" customWidth="1"/>
    <col min="5" max="10" width="8.59765625" style="5"/>
    <col min="11" max="11" width="13.5" style="5" bestFit="1" customWidth="1"/>
    <col min="12" max="12" width="12.09765625" style="5" bestFit="1" customWidth="1"/>
    <col min="13" max="13" width="13.5" style="5" bestFit="1" customWidth="1"/>
    <col min="14" max="14" width="10.09765625" style="5" customWidth="1"/>
    <col min="15" max="15" width="8.59765625" style="5"/>
    <col min="16" max="16" width="9" style="7" bestFit="1" customWidth="1"/>
    <col min="17" max="17" width="11.5" style="5" customWidth="1"/>
    <col min="18" max="18" width="5.19921875" style="5" customWidth="1"/>
    <col min="19" max="29" width="9" customWidth="1"/>
    <col min="30" max="16384" width="8.59765625" style="5"/>
  </cols>
  <sheetData>
    <row r="2" spans="2:17" ht="24" customHeight="1" x14ac:dyDescent="0.4">
      <c r="B2" s="34" t="s">
        <v>28</v>
      </c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</row>
    <row r="3" spans="2:17" ht="9" customHeight="1" x14ac:dyDescent="0.4"/>
    <row r="4" spans="2:17" x14ac:dyDescent="0.4">
      <c r="B4" s="36" t="s">
        <v>29</v>
      </c>
      <c r="C4" s="36" t="s">
        <v>5</v>
      </c>
      <c r="D4" s="36"/>
      <c r="E4" s="36"/>
      <c r="F4" s="36"/>
      <c r="G4" s="36"/>
      <c r="H4" s="36" t="s">
        <v>6</v>
      </c>
      <c r="I4" s="36"/>
      <c r="J4" s="36"/>
      <c r="K4" s="36" t="s">
        <v>30</v>
      </c>
      <c r="L4" s="36"/>
      <c r="M4" s="36"/>
      <c r="N4" s="36" t="s">
        <v>22</v>
      </c>
      <c r="O4" s="36"/>
      <c r="P4" s="36"/>
      <c r="Q4" s="37"/>
    </row>
    <row r="5" spans="2:17" ht="15.6" customHeight="1" x14ac:dyDescent="0.4">
      <c r="B5" s="36"/>
      <c r="C5" s="38" t="s">
        <v>31</v>
      </c>
      <c r="D5" s="39" t="s">
        <v>32</v>
      </c>
      <c r="E5" s="38" t="s">
        <v>33</v>
      </c>
      <c r="F5" s="38" t="s">
        <v>10</v>
      </c>
      <c r="G5" s="38" t="s">
        <v>34</v>
      </c>
      <c r="H5" s="38" t="s">
        <v>12</v>
      </c>
      <c r="I5" s="38" t="s">
        <v>24</v>
      </c>
      <c r="J5" s="38" t="s">
        <v>16</v>
      </c>
      <c r="K5" s="38" t="s">
        <v>12</v>
      </c>
      <c r="L5" s="38" t="s">
        <v>13</v>
      </c>
      <c r="M5" s="38" t="s">
        <v>16</v>
      </c>
      <c r="N5" s="38" t="s">
        <v>12</v>
      </c>
      <c r="O5" s="38" t="s">
        <v>24</v>
      </c>
      <c r="P5" s="38" t="s">
        <v>16</v>
      </c>
      <c r="Q5" s="40" t="s">
        <v>17</v>
      </c>
    </row>
    <row r="6" spans="2:17" x14ac:dyDescent="0.4">
      <c r="B6" s="26" t="s">
        <v>35</v>
      </c>
      <c r="C6" s="11">
        <v>18500</v>
      </c>
      <c r="D6" s="25">
        <v>18500</v>
      </c>
      <c r="E6" s="11">
        <v>18500</v>
      </c>
      <c r="F6" s="11">
        <v>18500</v>
      </c>
      <c r="G6" s="12">
        <v>0</v>
      </c>
      <c r="H6" s="13">
        <f>J6-I6</f>
        <v>2413</v>
      </c>
      <c r="I6" s="13">
        <v>0</v>
      </c>
      <c r="J6" s="13">
        <v>2413</v>
      </c>
      <c r="K6" s="14">
        <f>M6-L6</f>
        <v>44640500</v>
      </c>
      <c r="L6" s="13">
        <v>0</v>
      </c>
      <c r="M6" s="13">
        <v>44640500</v>
      </c>
      <c r="N6" s="14">
        <f>IFERROR(K6/H6,0)</f>
        <v>18500</v>
      </c>
      <c r="O6" s="14">
        <f>IFERROR(L6/I6,0)</f>
        <v>0</v>
      </c>
      <c r="P6" s="4">
        <f>IFERROR(M6/J6,0)</f>
        <v>18500</v>
      </c>
      <c r="Q6" s="4"/>
    </row>
    <row r="7" spans="2:17" x14ac:dyDescent="0.4">
      <c r="B7" s="26" t="s">
        <v>36</v>
      </c>
      <c r="C7" s="11">
        <v>18500</v>
      </c>
      <c r="D7" s="11">
        <v>18500</v>
      </c>
      <c r="E7" s="11">
        <v>18500</v>
      </c>
      <c r="F7" s="11">
        <v>18500</v>
      </c>
      <c r="G7" s="12">
        <v>0</v>
      </c>
      <c r="H7" s="13">
        <f t="shared" ref="H7:H70" si="0">J7-I7</f>
        <v>0</v>
      </c>
      <c r="I7" s="13">
        <v>0</v>
      </c>
      <c r="J7" s="13">
        <v>0</v>
      </c>
      <c r="K7" s="14">
        <f t="shared" ref="K7:K70" si="1">M7-L7</f>
        <v>0</v>
      </c>
      <c r="L7" s="13">
        <v>0</v>
      </c>
      <c r="M7" s="13">
        <v>0</v>
      </c>
      <c r="N7" s="14">
        <f t="shared" ref="N7:P70" si="2">IFERROR(K7/H7,0)</f>
        <v>0</v>
      </c>
      <c r="O7" s="14">
        <f t="shared" si="2"/>
        <v>0</v>
      </c>
      <c r="P7" s="4">
        <f t="shared" si="2"/>
        <v>0</v>
      </c>
      <c r="Q7" s="4"/>
    </row>
    <row r="8" spans="2:17" x14ac:dyDescent="0.4">
      <c r="B8" s="26" t="s">
        <v>37</v>
      </c>
      <c r="C8" s="11">
        <v>18500</v>
      </c>
      <c r="D8" s="11">
        <v>18500</v>
      </c>
      <c r="E8" s="11">
        <v>18500</v>
      </c>
      <c r="F8" s="11">
        <v>18500</v>
      </c>
      <c r="G8" s="12">
        <v>0</v>
      </c>
      <c r="H8" s="13">
        <f t="shared" si="0"/>
        <v>0</v>
      </c>
      <c r="I8" s="13">
        <v>0</v>
      </c>
      <c r="J8" s="13">
        <v>0</v>
      </c>
      <c r="K8" s="14">
        <f t="shared" si="1"/>
        <v>0</v>
      </c>
      <c r="L8" s="13">
        <v>0</v>
      </c>
      <c r="M8" s="13">
        <v>0</v>
      </c>
      <c r="N8" s="14">
        <f t="shared" si="2"/>
        <v>0</v>
      </c>
      <c r="O8" s="14">
        <f t="shared" si="2"/>
        <v>0</v>
      </c>
      <c r="P8" s="4">
        <f t="shared" si="2"/>
        <v>0</v>
      </c>
      <c r="Q8" s="4"/>
    </row>
    <row r="9" spans="2:17" x14ac:dyDescent="0.4">
      <c r="B9" s="26" t="s">
        <v>38</v>
      </c>
      <c r="C9" s="11">
        <v>18500</v>
      </c>
      <c r="D9" s="11">
        <v>18500</v>
      </c>
      <c r="E9" s="11">
        <v>18500</v>
      </c>
      <c r="F9" s="11">
        <v>18500</v>
      </c>
      <c r="G9" s="12">
        <v>0</v>
      </c>
      <c r="H9" s="13">
        <f t="shared" si="0"/>
        <v>0</v>
      </c>
      <c r="I9" s="13">
        <v>0</v>
      </c>
      <c r="J9" s="13">
        <v>0</v>
      </c>
      <c r="K9" s="14">
        <f t="shared" si="1"/>
        <v>0</v>
      </c>
      <c r="L9" s="13">
        <v>0</v>
      </c>
      <c r="M9" s="13">
        <v>0</v>
      </c>
      <c r="N9" s="14">
        <f t="shared" si="2"/>
        <v>0</v>
      </c>
      <c r="O9" s="14">
        <f t="shared" si="2"/>
        <v>0</v>
      </c>
      <c r="P9" s="4">
        <f t="shared" si="2"/>
        <v>0</v>
      </c>
      <c r="Q9" s="4"/>
    </row>
    <row r="10" spans="2:17" x14ac:dyDescent="0.4">
      <c r="B10" s="26" t="s">
        <v>39</v>
      </c>
      <c r="C10" s="11">
        <v>18500</v>
      </c>
      <c r="D10" s="11">
        <v>18500</v>
      </c>
      <c r="E10" s="11">
        <v>18500</v>
      </c>
      <c r="F10" s="11">
        <v>18500</v>
      </c>
      <c r="G10" s="12">
        <v>0</v>
      </c>
      <c r="H10" s="13">
        <f t="shared" si="0"/>
        <v>0</v>
      </c>
      <c r="I10" s="13">
        <v>0</v>
      </c>
      <c r="J10" s="13">
        <v>0</v>
      </c>
      <c r="K10" s="14">
        <f t="shared" si="1"/>
        <v>0</v>
      </c>
      <c r="L10" s="13">
        <v>0</v>
      </c>
      <c r="M10" s="13">
        <v>0</v>
      </c>
      <c r="N10" s="14">
        <f t="shared" si="2"/>
        <v>0</v>
      </c>
      <c r="O10" s="14">
        <f t="shared" si="2"/>
        <v>0</v>
      </c>
      <c r="P10" s="4">
        <f t="shared" si="2"/>
        <v>0</v>
      </c>
      <c r="Q10" s="4"/>
    </row>
    <row r="11" spans="2:17" x14ac:dyDescent="0.4">
      <c r="B11" s="26" t="s">
        <v>40</v>
      </c>
      <c r="C11" s="11">
        <v>18500</v>
      </c>
      <c r="D11" s="11">
        <v>18500</v>
      </c>
      <c r="E11" s="11">
        <v>18500</v>
      </c>
      <c r="F11" s="11">
        <v>18500</v>
      </c>
      <c r="G11" s="12">
        <v>0</v>
      </c>
      <c r="H11" s="13">
        <f t="shared" si="0"/>
        <v>0</v>
      </c>
      <c r="I11" s="13">
        <v>0</v>
      </c>
      <c r="J11" s="13">
        <v>0</v>
      </c>
      <c r="K11" s="14">
        <f t="shared" si="1"/>
        <v>0</v>
      </c>
      <c r="L11" s="13">
        <v>0</v>
      </c>
      <c r="M11" s="13">
        <v>0</v>
      </c>
      <c r="N11" s="14">
        <f t="shared" si="2"/>
        <v>0</v>
      </c>
      <c r="O11" s="14">
        <f t="shared" si="2"/>
        <v>0</v>
      </c>
      <c r="P11" s="4">
        <f t="shared" si="2"/>
        <v>0</v>
      </c>
      <c r="Q11" s="4"/>
    </row>
    <row r="12" spans="2:17" x14ac:dyDescent="0.4">
      <c r="B12" s="26" t="s">
        <v>41</v>
      </c>
      <c r="C12" s="11">
        <v>18500</v>
      </c>
      <c r="D12" s="11">
        <v>18500</v>
      </c>
      <c r="E12" s="11">
        <v>18500</v>
      </c>
      <c r="F12" s="11">
        <v>18500</v>
      </c>
      <c r="G12" s="12">
        <v>0</v>
      </c>
      <c r="H12" s="13">
        <f t="shared" si="0"/>
        <v>0</v>
      </c>
      <c r="I12" s="13">
        <v>0</v>
      </c>
      <c r="J12" s="13">
        <v>0</v>
      </c>
      <c r="K12" s="14">
        <f t="shared" si="1"/>
        <v>0</v>
      </c>
      <c r="L12" s="13">
        <v>0</v>
      </c>
      <c r="M12" s="13">
        <v>0</v>
      </c>
      <c r="N12" s="14">
        <f t="shared" si="2"/>
        <v>0</v>
      </c>
      <c r="O12" s="14">
        <f t="shared" si="2"/>
        <v>0</v>
      </c>
      <c r="P12" s="4">
        <f t="shared" si="2"/>
        <v>0</v>
      </c>
      <c r="Q12" s="4"/>
    </row>
    <row r="13" spans="2:17" x14ac:dyDescent="0.4">
      <c r="B13" s="26" t="s">
        <v>42</v>
      </c>
      <c r="C13" s="11">
        <v>18500</v>
      </c>
      <c r="D13" s="11">
        <v>18500</v>
      </c>
      <c r="E13" s="11">
        <v>18500</v>
      </c>
      <c r="F13" s="11">
        <v>18500</v>
      </c>
      <c r="G13" s="12">
        <v>0</v>
      </c>
      <c r="H13" s="13">
        <f t="shared" si="0"/>
        <v>0</v>
      </c>
      <c r="I13" s="13">
        <v>0</v>
      </c>
      <c r="J13" s="13">
        <v>0</v>
      </c>
      <c r="K13" s="14">
        <f t="shared" si="1"/>
        <v>0</v>
      </c>
      <c r="L13" s="13">
        <v>0</v>
      </c>
      <c r="M13" s="13">
        <v>0</v>
      </c>
      <c r="N13" s="14">
        <f t="shared" si="2"/>
        <v>0</v>
      </c>
      <c r="O13" s="14">
        <f t="shared" si="2"/>
        <v>0</v>
      </c>
      <c r="P13" s="4">
        <f t="shared" si="2"/>
        <v>0</v>
      </c>
      <c r="Q13" s="4"/>
    </row>
    <row r="14" spans="2:17" x14ac:dyDescent="0.4">
      <c r="B14" s="26" t="s">
        <v>43</v>
      </c>
      <c r="C14" s="11">
        <v>18500</v>
      </c>
      <c r="D14" s="11">
        <v>18500</v>
      </c>
      <c r="E14" s="11">
        <v>18500</v>
      </c>
      <c r="F14" s="11">
        <v>18500</v>
      </c>
      <c r="G14" s="12">
        <v>0</v>
      </c>
      <c r="H14" s="13">
        <f t="shared" si="0"/>
        <v>0</v>
      </c>
      <c r="I14" s="13">
        <v>0</v>
      </c>
      <c r="J14" s="13">
        <v>0</v>
      </c>
      <c r="K14" s="14">
        <f t="shared" si="1"/>
        <v>0</v>
      </c>
      <c r="L14" s="13">
        <v>0</v>
      </c>
      <c r="M14" s="13">
        <v>0</v>
      </c>
      <c r="N14" s="14">
        <f t="shared" si="2"/>
        <v>0</v>
      </c>
      <c r="O14" s="14">
        <f t="shared" si="2"/>
        <v>0</v>
      </c>
      <c r="P14" s="4">
        <f t="shared" si="2"/>
        <v>0</v>
      </c>
      <c r="Q14" s="4"/>
    </row>
    <row r="15" spans="2:17" x14ac:dyDescent="0.4">
      <c r="B15" s="26" t="s">
        <v>44</v>
      </c>
      <c r="C15" s="11">
        <v>18500</v>
      </c>
      <c r="D15" s="11">
        <v>18500</v>
      </c>
      <c r="E15" s="11">
        <v>18500</v>
      </c>
      <c r="F15" s="11">
        <v>18500</v>
      </c>
      <c r="G15" s="12">
        <v>0</v>
      </c>
      <c r="H15" s="13">
        <f t="shared" si="0"/>
        <v>0</v>
      </c>
      <c r="I15" s="13">
        <v>0</v>
      </c>
      <c r="J15" s="13">
        <v>0</v>
      </c>
      <c r="K15" s="14">
        <f t="shared" si="1"/>
        <v>0</v>
      </c>
      <c r="L15" s="13">
        <v>0</v>
      </c>
      <c r="M15" s="13">
        <v>0</v>
      </c>
      <c r="N15" s="14">
        <f t="shared" si="2"/>
        <v>0</v>
      </c>
      <c r="O15" s="14">
        <f t="shared" si="2"/>
        <v>0</v>
      </c>
      <c r="P15" s="4">
        <f t="shared" si="2"/>
        <v>0</v>
      </c>
      <c r="Q15" s="4"/>
    </row>
    <row r="16" spans="2:17" x14ac:dyDescent="0.4">
      <c r="B16" s="26" t="s">
        <v>45</v>
      </c>
      <c r="C16" s="11">
        <v>18500</v>
      </c>
      <c r="D16" s="11">
        <v>18500</v>
      </c>
      <c r="E16" s="11">
        <v>18500</v>
      </c>
      <c r="F16" s="11">
        <v>18500</v>
      </c>
      <c r="G16" s="12">
        <v>0</v>
      </c>
      <c r="H16" s="13">
        <f t="shared" si="0"/>
        <v>0</v>
      </c>
      <c r="I16" s="13">
        <v>0</v>
      </c>
      <c r="J16" s="13">
        <v>0</v>
      </c>
      <c r="K16" s="14">
        <f t="shared" si="1"/>
        <v>0</v>
      </c>
      <c r="L16" s="13">
        <v>0</v>
      </c>
      <c r="M16" s="13">
        <v>0</v>
      </c>
      <c r="N16" s="14">
        <f t="shared" si="2"/>
        <v>0</v>
      </c>
      <c r="O16" s="14">
        <f t="shared" si="2"/>
        <v>0</v>
      </c>
      <c r="P16" s="4">
        <f t="shared" si="2"/>
        <v>0</v>
      </c>
      <c r="Q16" s="4"/>
    </row>
    <row r="17" spans="2:17" x14ac:dyDescent="0.4">
      <c r="B17" s="26" t="s">
        <v>46</v>
      </c>
      <c r="C17" s="11">
        <v>18500</v>
      </c>
      <c r="D17" s="11">
        <v>18500</v>
      </c>
      <c r="E17" s="11">
        <v>18500</v>
      </c>
      <c r="F17" s="11">
        <v>18500</v>
      </c>
      <c r="G17" s="12">
        <v>0</v>
      </c>
      <c r="H17" s="13">
        <f t="shared" si="0"/>
        <v>0</v>
      </c>
      <c r="I17" s="13">
        <v>0</v>
      </c>
      <c r="J17" s="13">
        <v>0</v>
      </c>
      <c r="K17" s="14">
        <f t="shared" si="1"/>
        <v>0</v>
      </c>
      <c r="L17" s="13">
        <v>0</v>
      </c>
      <c r="M17" s="13">
        <v>0</v>
      </c>
      <c r="N17" s="14">
        <f t="shared" si="2"/>
        <v>0</v>
      </c>
      <c r="O17" s="14">
        <f t="shared" si="2"/>
        <v>0</v>
      </c>
      <c r="P17" s="4">
        <f t="shared" si="2"/>
        <v>0</v>
      </c>
      <c r="Q17" s="4"/>
    </row>
    <row r="18" spans="2:17" x14ac:dyDescent="0.4">
      <c r="B18" s="26" t="s">
        <v>47</v>
      </c>
      <c r="C18" s="11">
        <v>18500</v>
      </c>
      <c r="D18" s="11">
        <v>18500</v>
      </c>
      <c r="E18" s="11">
        <v>18500</v>
      </c>
      <c r="F18" s="11">
        <v>18500</v>
      </c>
      <c r="G18" s="12">
        <v>0</v>
      </c>
      <c r="H18" s="13">
        <f t="shared" si="0"/>
        <v>0</v>
      </c>
      <c r="I18" s="13">
        <v>0</v>
      </c>
      <c r="J18" s="13">
        <v>0</v>
      </c>
      <c r="K18" s="14">
        <f t="shared" si="1"/>
        <v>0</v>
      </c>
      <c r="L18" s="13">
        <v>0</v>
      </c>
      <c r="M18" s="13">
        <v>0</v>
      </c>
      <c r="N18" s="14">
        <f t="shared" si="2"/>
        <v>0</v>
      </c>
      <c r="O18" s="14">
        <f t="shared" si="2"/>
        <v>0</v>
      </c>
      <c r="P18" s="4">
        <f t="shared" si="2"/>
        <v>0</v>
      </c>
      <c r="Q18" s="4"/>
    </row>
    <row r="19" spans="2:17" x14ac:dyDescent="0.4">
      <c r="B19" s="26" t="s">
        <v>48</v>
      </c>
      <c r="C19" s="11">
        <v>18500</v>
      </c>
      <c r="D19" s="11">
        <v>18500</v>
      </c>
      <c r="E19" s="11">
        <v>18500</v>
      </c>
      <c r="F19" s="11">
        <v>18500</v>
      </c>
      <c r="G19" s="12">
        <v>0</v>
      </c>
      <c r="H19" s="13">
        <f t="shared" si="0"/>
        <v>0</v>
      </c>
      <c r="I19" s="13">
        <v>0</v>
      </c>
      <c r="J19" s="13">
        <v>0</v>
      </c>
      <c r="K19" s="14">
        <f t="shared" si="1"/>
        <v>0</v>
      </c>
      <c r="L19" s="13">
        <v>0</v>
      </c>
      <c r="M19" s="13">
        <v>0</v>
      </c>
      <c r="N19" s="14">
        <f t="shared" si="2"/>
        <v>0</v>
      </c>
      <c r="O19" s="14">
        <f t="shared" si="2"/>
        <v>0</v>
      </c>
      <c r="P19" s="4">
        <f t="shared" si="2"/>
        <v>0</v>
      </c>
      <c r="Q19" s="4"/>
    </row>
    <row r="20" spans="2:17" x14ac:dyDescent="0.4">
      <c r="B20" s="26" t="s">
        <v>49</v>
      </c>
      <c r="C20" s="11">
        <v>18500</v>
      </c>
      <c r="D20" s="11">
        <v>18500</v>
      </c>
      <c r="E20" s="11">
        <v>18500</v>
      </c>
      <c r="F20" s="11">
        <v>18500</v>
      </c>
      <c r="G20" s="12">
        <v>0</v>
      </c>
      <c r="H20" s="13">
        <f t="shared" si="0"/>
        <v>0</v>
      </c>
      <c r="I20" s="13">
        <v>0</v>
      </c>
      <c r="J20" s="13">
        <v>0</v>
      </c>
      <c r="K20" s="14">
        <f t="shared" si="1"/>
        <v>0</v>
      </c>
      <c r="L20" s="13">
        <v>0</v>
      </c>
      <c r="M20" s="13">
        <v>0</v>
      </c>
      <c r="N20" s="14">
        <f t="shared" si="2"/>
        <v>0</v>
      </c>
      <c r="O20" s="14">
        <f t="shared" si="2"/>
        <v>0</v>
      </c>
      <c r="P20" s="4">
        <f t="shared" si="2"/>
        <v>0</v>
      </c>
      <c r="Q20" s="4"/>
    </row>
    <row r="21" spans="2:17" x14ac:dyDescent="0.4">
      <c r="B21" s="26" t="s">
        <v>50</v>
      </c>
      <c r="C21" s="11">
        <v>18500</v>
      </c>
      <c r="D21" s="11">
        <v>18500</v>
      </c>
      <c r="E21" s="11">
        <v>18500</v>
      </c>
      <c r="F21" s="11">
        <v>18500</v>
      </c>
      <c r="G21" s="12">
        <v>0</v>
      </c>
      <c r="H21" s="13">
        <f t="shared" si="0"/>
        <v>0</v>
      </c>
      <c r="I21" s="13">
        <v>0</v>
      </c>
      <c r="J21" s="13">
        <v>0</v>
      </c>
      <c r="K21" s="14">
        <f t="shared" si="1"/>
        <v>0</v>
      </c>
      <c r="L21" s="13">
        <v>0</v>
      </c>
      <c r="M21" s="13">
        <v>0</v>
      </c>
      <c r="N21" s="14">
        <f t="shared" si="2"/>
        <v>0</v>
      </c>
      <c r="O21" s="14">
        <f t="shared" si="2"/>
        <v>0</v>
      </c>
      <c r="P21" s="4">
        <f t="shared" si="2"/>
        <v>0</v>
      </c>
      <c r="Q21" s="4"/>
    </row>
    <row r="22" spans="2:17" x14ac:dyDescent="0.4">
      <c r="B22" s="26" t="s">
        <v>51</v>
      </c>
      <c r="C22" s="11">
        <v>18500</v>
      </c>
      <c r="D22" s="11">
        <v>18500</v>
      </c>
      <c r="E22" s="11">
        <v>18500</v>
      </c>
      <c r="F22" s="11">
        <v>18500</v>
      </c>
      <c r="G22" s="12">
        <v>0</v>
      </c>
      <c r="H22" s="13">
        <f t="shared" si="0"/>
        <v>0</v>
      </c>
      <c r="I22" s="13">
        <v>0</v>
      </c>
      <c r="J22" s="13">
        <v>0</v>
      </c>
      <c r="K22" s="14">
        <f t="shared" si="1"/>
        <v>0</v>
      </c>
      <c r="L22" s="13">
        <v>0</v>
      </c>
      <c r="M22" s="13">
        <v>0</v>
      </c>
      <c r="N22" s="14">
        <f t="shared" si="2"/>
        <v>0</v>
      </c>
      <c r="O22" s="14">
        <f t="shared" si="2"/>
        <v>0</v>
      </c>
      <c r="P22" s="4">
        <f t="shared" si="2"/>
        <v>0</v>
      </c>
      <c r="Q22" s="4"/>
    </row>
    <row r="23" spans="2:17" x14ac:dyDescent="0.4">
      <c r="B23" s="26" t="s">
        <v>52</v>
      </c>
      <c r="C23" s="11">
        <v>18500</v>
      </c>
      <c r="D23" s="11">
        <v>18500</v>
      </c>
      <c r="E23" s="11">
        <v>18500</v>
      </c>
      <c r="F23" s="11">
        <v>18500</v>
      </c>
      <c r="G23" s="12">
        <v>0</v>
      </c>
      <c r="H23" s="13">
        <f t="shared" si="0"/>
        <v>0</v>
      </c>
      <c r="I23" s="13">
        <v>0</v>
      </c>
      <c r="J23" s="13">
        <v>0</v>
      </c>
      <c r="K23" s="14">
        <f t="shared" si="1"/>
        <v>0</v>
      </c>
      <c r="L23" s="13">
        <v>0</v>
      </c>
      <c r="M23" s="13">
        <v>0</v>
      </c>
      <c r="N23" s="14">
        <f t="shared" si="2"/>
        <v>0</v>
      </c>
      <c r="O23" s="14">
        <f t="shared" si="2"/>
        <v>0</v>
      </c>
      <c r="P23" s="4">
        <f t="shared" si="2"/>
        <v>0</v>
      </c>
      <c r="Q23" s="4"/>
    </row>
    <row r="24" spans="2:17" x14ac:dyDescent="0.4">
      <c r="B24" s="26" t="s">
        <v>53</v>
      </c>
      <c r="C24" s="11">
        <v>18500</v>
      </c>
      <c r="D24" s="11">
        <v>18500</v>
      </c>
      <c r="E24" s="11">
        <v>18500</v>
      </c>
      <c r="F24" s="11">
        <v>18500</v>
      </c>
      <c r="G24" s="12">
        <v>0</v>
      </c>
      <c r="H24" s="13">
        <f t="shared" si="0"/>
        <v>0</v>
      </c>
      <c r="I24" s="13">
        <v>0</v>
      </c>
      <c r="J24" s="13">
        <v>0</v>
      </c>
      <c r="K24" s="14">
        <f t="shared" si="1"/>
        <v>0</v>
      </c>
      <c r="L24" s="13">
        <v>0</v>
      </c>
      <c r="M24" s="13">
        <v>0</v>
      </c>
      <c r="N24" s="14">
        <f t="shared" si="2"/>
        <v>0</v>
      </c>
      <c r="O24" s="14">
        <f t="shared" si="2"/>
        <v>0</v>
      </c>
      <c r="P24" s="4">
        <f t="shared" si="2"/>
        <v>0</v>
      </c>
      <c r="Q24" s="4"/>
    </row>
    <row r="25" spans="2:17" x14ac:dyDescent="0.4">
      <c r="B25" s="26" t="s">
        <v>54</v>
      </c>
      <c r="C25" s="11">
        <v>18500</v>
      </c>
      <c r="D25" s="11">
        <v>18500</v>
      </c>
      <c r="E25" s="11">
        <v>18500</v>
      </c>
      <c r="F25" s="11">
        <v>18500</v>
      </c>
      <c r="G25" s="12">
        <v>0</v>
      </c>
      <c r="H25" s="13">
        <f t="shared" si="0"/>
        <v>0</v>
      </c>
      <c r="I25" s="13">
        <v>0</v>
      </c>
      <c r="J25" s="13">
        <v>0</v>
      </c>
      <c r="K25" s="14">
        <f t="shared" si="1"/>
        <v>0</v>
      </c>
      <c r="L25" s="13">
        <v>0</v>
      </c>
      <c r="M25" s="13">
        <v>0</v>
      </c>
      <c r="N25" s="14">
        <f t="shared" si="2"/>
        <v>0</v>
      </c>
      <c r="O25" s="14">
        <f t="shared" si="2"/>
        <v>0</v>
      </c>
      <c r="P25" s="4">
        <f t="shared" si="2"/>
        <v>0</v>
      </c>
      <c r="Q25" s="4"/>
    </row>
    <row r="26" spans="2:17" x14ac:dyDescent="0.4">
      <c r="B26" s="26" t="s">
        <v>55</v>
      </c>
      <c r="C26" s="11">
        <v>18500</v>
      </c>
      <c r="D26" s="11">
        <v>18500</v>
      </c>
      <c r="E26" s="11">
        <v>18500</v>
      </c>
      <c r="F26" s="11">
        <v>18500</v>
      </c>
      <c r="G26" s="12">
        <v>0</v>
      </c>
      <c r="H26" s="13">
        <f t="shared" si="0"/>
        <v>0</v>
      </c>
      <c r="I26" s="13">
        <v>0</v>
      </c>
      <c r="J26" s="13">
        <v>0</v>
      </c>
      <c r="K26" s="14">
        <f t="shared" si="1"/>
        <v>0</v>
      </c>
      <c r="L26" s="13">
        <v>0</v>
      </c>
      <c r="M26" s="13">
        <v>0</v>
      </c>
      <c r="N26" s="14">
        <f t="shared" si="2"/>
        <v>0</v>
      </c>
      <c r="O26" s="14">
        <f t="shared" si="2"/>
        <v>0</v>
      </c>
      <c r="P26" s="4">
        <f t="shared" si="2"/>
        <v>0</v>
      </c>
      <c r="Q26" s="4"/>
    </row>
    <row r="27" spans="2:17" x14ac:dyDescent="0.4">
      <c r="B27" s="26" t="s">
        <v>56</v>
      </c>
      <c r="C27" s="11">
        <v>18500</v>
      </c>
      <c r="D27" s="11">
        <v>18500</v>
      </c>
      <c r="E27" s="11">
        <v>18500</v>
      </c>
      <c r="F27" s="11">
        <v>18500</v>
      </c>
      <c r="G27" s="12">
        <v>0</v>
      </c>
      <c r="H27" s="13">
        <f t="shared" si="0"/>
        <v>0</v>
      </c>
      <c r="I27" s="13">
        <v>0</v>
      </c>
      <c r="J27" s="13">
        <v>0</v>
      </c>
      <c r="K27" s="14">
        <f t="shared" si="1"/>
        <v>0</v>
      </c>
      <c r="L27" s="13">
        <v>0</v>
      </c>
      <c r="M27" s="13">
        <v>0</v>
      </c>
      <c r="N27" s="14">
        <f t="shared" si="2"/>
        <v>0</v>
      </c>
      <c r="O27" s="14">
        <f t="shared" si="2"/>
        <v>0</v>
      </c>
      <c r="P27" s="4">
        <f t="shared" si="2"/>
        <v>0</v>
      </c>
      <c r="Q27" s="4"/>
    </row>
    <row r="28" spans="2:17" x14ac:dyDescent="0.4">
      <c r="B28" s="26" t="s">
        <v>57</v>
      </c>
      <c r="C28" s="11">
        <v>18500</v>
      </c>
      <c r="D28" s="11">
        <v>18500</v>
      </c>
      <c r="E28" s="11">
        <v>18500</v>
      </c>
      <c r="F28" s="11">
        <v>18500</v>
      </c>
      <c r="G28" s="12">
        <v>0</v>
      </c>
      <c r="H28" s="13">
        <f t="shared" si="0"/>
        <v>0</v>
      </c>
      <c r="I28" s="13">
        <v>0</v>
      </c>
      <c r="J28" s="13">
        <v>0</v>
      </c>
      <c r="K28" s="14">
        <f t="shared" si="1"/>
        <v>0</v>
      </c>
      <c r="L28" s="13">
        <v>0</v>
      </c>
      <c r="M28" s="13">
        <v>0</v>
      </c>
      <c r="N28" s="14">
        <f t="shared" si="2"/>
        <v>0</v>
      </c>
      <c r="O28" s="14">
        <f t="shared" si="2"/>
        <v>0</v>
      </c>
      <c r="P28" s="4">
        <f t="shared" si="2"/>
        <v>0</v>
      </c>
      <c r="Q28" s="4"/>
    </row>
    <row r="29" spans="2:17" x14ac:dyDescent="0.4">
      <c r="B29" s="26" t="s">
        <v>58</v>
      </c>
      <c r="C29" s="11">
        <v>18500</v>
      </c>
      <c r="D29" s="11">
        <v>18500</v>
      </c>
      <c r="E29" s="11">
        <v>18500</v>
      </c>
      <c r="F29" s="11">
        <v>18500</v>
      </c>
      <c r="G29" s="12">
        <v>0</v>
      </c>
      <c r="H29" s="13">
        <f t="shared" si="0"/>
        <v>0</v>
      </c>
      <c r="I29" s="13">
        <v>0</v>
      </c>
      <c r="J29" s="13">
        <v>0</v>
      </c>
      <c r="K29" s="14">
        <f t="shared" si="1"/>
        <v>0</v>
      </c>
      <c r="L29" s="13">
        <v>0</v>
      </c>
      <c r="M29" s="13">
        <v>0</v>
      </c>
      <c r="N29" s="14">
        <f t="shared" si="2"/>
        <v>0</v>
      </c>
      <c r="O29" s="14">
        <f t="shared" si="2"/>
        <v>0</v>
      </c>
      <c r="P29" s="4">
        <f t="shared" si="2"/>
        <v>0</v>
      </c>
      <c r="Q29" s="4"/>
    </row>
    <row r="30" spans="2:17" x14ac:dyDescent="0.4">
      <c r="B30" s="26" t="s">
        <v>59</v>
      </c>
      <c r="C30" s="11">
        <v>18500</v>
      </c>
      <c r="D30" s="11">
        <v>18500</v>
      </c>
      <c r="E30" s="11">
        <v>18500</v>
      </c>
      <c r="F30" s="11">
        <v>18500</v>
      </c>
      <c r="G30" s="12">
        <v>0</v>
      </c>
      <c r="H30" s="13">
        <f t="shared" si="0"/>
        <v>0</v>
      </c>
      <c r="I30" s="13">
        <v>0</v>
      </c>
      <c r="J30" s="13">
        <v>0</v>
      </c>
      <c r="K30" s="14">
        <f t="shared" si="1"/>
        <v>0</v>
      </c>
      <c r="L30" s="13">
        <v>0</v>
      </c>
      <c r="M30" s="13">
        <v>0</v>
      </c>
      <c r="N30" s="14">
        <f t="shared" si="2"/>
        <v>0</v>
      </c>
      <c r="O30" s="14">
        <f t="shared" si="2"/>
        <v>0</v>
      </c>
      <c r="P30" s="4">
        <f t="shared" si="2"/>
        <v>0</v>
      </c>
      <c r="Q30" s="4"/>
    </row>
    <row r="31" spans="2:17" x14ac:dyDescent="0.4">
      <c r="B31" s="26" t="s">
        <v>60</v>
      </c>
      <c r="C31" s="11">
        <v>18500</v>
      </c>
      <c r="D31" s="11">
        <v>18500</v>
      </c>
      <c r="E31" s="11">
        <v>18500</v>
      </c>
      <c r="F31" s="11">
        <v>18500</v>
      </c>
      <c r="G31" s="12">
        <v>0</v>
      </c>
      <c r="H31" s="13">
        <f t="shared" si="0"/>
        <v>0</v>
      </c>
      <c r="I31" s="13">
        <v>0</v>
      </c>
      <c r="J31" s="13">
        <v>0</v>
      </c>
      <c r="K31" s="14">
        <f t="shared" si="1"/>
        <v>0</v>
      </c>
      <c r="L31" s="13">
        <v>0</v>
      </c>
      <c r="M31" s="13">
        <v>0</v>
      </c>
      <c r="N31" s="14">
        <f t="shared" si="2"/>
        <v>0</v>
      </c>
      <c r="O31" s="14">
        <f t="shared" si="2"/>
        <v>0</v>
      </c>
      <c r="P31" s="4">
        <f t="shared" si="2"/>
        <v>0</v>
      </c>
      <c r="Q31" s="4"/>
    </row>
    <row r="32" spans="2:17" x14ac:dyDescent="0.4">
      <c r="B32" s="26" t="s">
        <v>61</v>
      </c>
      <c r="C32" s="11">
        <v>18500</v>
      </c>
      <c r="D32" s="11">
        <v>18500</v>
      </c>
      <c r="E32" s="11">
        <v>18500</v>
      </c>
      <c r="F32" s="11">
        <v>18500</v>
      </c>
      <c r="G32" s="12">
        <v>0</v>
      </c>
      <c r="H32" s="13">
        <f t="shared" si="0"/>
        <v>0</v>
      </c>
      <c r="I32" s="13">
        <v>0</v>
      </c>
      <c r="J32" s="13">
        <v>0</v>
      </c>
      <c r="K32" s="14">
        <f t="shared" si="1"/>
        <v>0</v>
      </c>
      <c r="L32" s="13">
        <v>0</v>
      </c>
      <c r="M32" s="13">
        <v>0</v>
      </c>
      <c r="N32" s="14">
        <f t="shared" si="2"/>
        <v>0</v>
      </c>
      <c r="O32" s="14">
        <f t="shared" si="2"/>
        <v>0</v>
      </c>
      <c r="P32" s="4">
        <f t="shared" si="2"/>
        <v>0</v>
      </c>
      <c r="Q32" s="4"/>
    </row>
    <row r="33" spans="2:17" x14ac:dyDescent="0.4">
      <c r="B33" s="26" t="s">
        <v>62</v>
      </c>
      <c r="C33" s="11">
        <v>18500</v>
      </c>
      <c r="D33" s="11">
        <v>18500</v>
      </c>
      <c r="E33" s="11">
        <v>18500</v>
      </c>
      <c r="F33" s="11">
        <v>18500</v>
      </c>
      <c r="G33" s="12">
        <v>0</v>
      </c>
      <c r="H33" s="13">
        <f t="shared" si="0"/>
        <v>0</v>
      </c>
      <c r="I33" s="13">
        <v>0</v>
      </c>
      <c r="J33" s="13">
        <v>0</v>
      </c>
      <c r="K33" s="14">
        <f t="shared" si="1"/>
        <v>0</v>
      </c>
      <c r="L33" s="13">
        <v>0</v>
      </c>
      <c r="M33" s="13">
        <v>0</v>
      </c>
      <c r="N33" s="14">
        <f t="shared" si="2"/>
        <v>0</v>
      </c>
      <c r="O33" s="14">
        <f t="shared" si="2"/>
        <v>0</v>
      </c>
      <c r="P33" s="4">
        <f t="shared" si="2"/>
        <v>0</v>
      </c>
      <c r="Q33" s="4"/>
    </row>
    <row r="34" spans="2:17" x14ac:dyDescent="0.4">
      <c r="B34" s="26" t="s">
        <v>63</v>
      </c>
      <c r="C34" s="11">
        <v>18500</v>
      </c>
      <c r="D34" s="11">
        <v>18500</v>
      </c>
      <c r="E34" s="11">
        <v>18500</v>
      </c>
      <c r="F34" s="11">
        <v>18500</v>
      </c>
      <c r="G34" s="12">
        <v>0</v>
      </c>
      <c r="H34" s="13">
        <f t="shared" si="0"/>
        <v>0</v>
      </c>
      <c r="I34" s="13">
        <v>0</v>
      </c>
      <c r="J34" s="13">
        <v>0</v>
      </c>
      <c r="K34" s="14">
        <f t="shared" si="1"/>
        <v>0</v>
      </c>
      <c r="L34" s="13">
        <v>0</v>
      </c>
      <c r="M34" s="13">
        <v>0</v>
      </c>
      <c r="N34" s="14">
        <f t="shared" si="2"/>
        <v>0</v>
      </c>
      <c r="O34" s="14">
        <f t="shared" si="2"/>
        <v>0</v>
      </c>
      <c r="P34" s="4">
        <f t="shared" si="2"/>
        <v>0</v>
      </c>
      <c r="Q34" s="4"/>
    </row>
    <row r="35" spans="2:17" x14ac:dyDescent="0.4">
      <c r="B35" s="26" t="s">
        <v>64</v>
      </c>
      <c r="C35" s="11">
        <v>18500</v>
      </c>
      <c r="D35" s="11">
        <v>18500</v>
      </c>
      <c r="E35" s="11">
        <v>18500</v>
      </c>
      <c r="F35" s="11">
        <v>18500</v>
      </c>
      <c r="G35" s="12">
        <v>0</v>
      </c>
      <c r="H35" s="13">
        <f t="shared" si="0"/>
        <v>0</v>
      </c>
      <c r="I35" s="13">
        <v>0</v>
      </c>
      <c r="J35" s="13">
        <v>0</v>
      </c>
      <c r="K35" s="14">
        <f t="shared" si="1"/>
        <v>0</v>
      </c>
      <c r="L35" s="13">
        <v>0</v>
      </c>
      <c r="M35" s="13">
        <v>0</v>
      </c>
      <c r="N35" s="14">
        <f t="shared" si="2"/>
        <v>0</v>
      </c>
      <c r="O35" s="14">
        <f t="shared" si="2"/>
        <v>0</v>
      </c>
      <c r="P35" s="4">
        <f t="shared" si="2"/>
        <v>0</v>
      </c>
      <c r="Q35" s="4"/>
    </row>
    <row r="36" spans="2:17" x14ac:dyDescent="0.4">
      <c r="B36" s="26" t="s">
        <v>65</v>
      </c>
      <c r="C36" s="11">
        <v>18500</v>
      </c>
      <c r="D36" s="11">
        <v>18500</v>
      </c>
      <c r="E36" s="11">
        <v>18500</v>
      </c>
      <c r="F36" s="11">
        <v>18500</v>
      </c>
      <c r="G36" s="12">
        <v>0</v>
      </c>
      <c r="H36" s="13">
        <f t="shared" si="0"/>
        <v>0</v>
      </c>
      <c r="I36" s="13">
        <v>0</v>
      </c>
      <c r="J36" s="13">
        <v>0</v>
      </c>
      <c r="K36" s="14">
        <f t="shared" si="1"/>
        <v>0</v>
      </c>
      <c r="L36" s="13">
        <v>0</v>
      </c>
      <c r="M36" s="13">
        <v>0</v>
      </c>
      <c r="N36" s="14">
        <f t="shared" si="2"/>
        <v>0</v>
      </c>
      <c r="O36" s="14">
        <f t="shared" si="2"/>
        <v>0</v>
      </c>
      <c r="P36" s="4">
        <f t="shared" si="2"/>
        <v>0</v>
      </c>
      <c r="Q36" s="4"/>
    </row>
    <row r="37" spans="2:17" x14ac:dyDescent="0.4">
      <c r="B37" s="26" t="s">
        <v>66</v>
      </c>
      <c r="C37" s="11">
        <v>18500</v>
      </c>
      <c r="D37" s="11">
        <v>18500</v>
      </c>
      <c r="E37" s="11">
        <v>18500</v>
      </c>
      <c r="F37" s="11">
        <v>18500</v>
      </c>
      <c r="G37" s="12">
        <v>0</v>
      </c>
      <c r="H37" s="13">
        <f t="shared" si="0"/>
        <v>0</v>
      </c>
      <c r="I37" s="13">
        <v>0</v>
      </c>
      <c r="J37" s="13">
        <v>0</v>
      </c>
      <c r="K37" s="14">
        <f t="shared" si="1"/>
        <v>0</v>
      </c>
      <c r="L37" s="13">
        <v>0</v>
      </c>
      <c r="M37" s="13">
        <v>0</v>
      </c>
      <c r="N37" s="14">
        <f t="shared" si="2"/>
        <v>0</v>
      </c>
      <c r="O37" s="14">
        <f t="shared" si="2"/>
        <v>0</v>
      </c>
      <c r="P37" s="4">
        <f t="shared" si="2"/>
        <v>0</v>
      </c>
      <c r="Q37" s="4"/>
    </row>
    <row r="38" spans="2:17" x14ac:dyDescent="0.4">
      <c r="B38" s="26" t="s">
        <v>67</v>
      </c>
      <c r="C38" s="11">
        <v>18500</v>
      </c>
      <c r="D38" s="11">
        <v>18500</v>
      </c>
      <c r="E38" s="11">
        <v>18500</v>
      </c>
      <c r="F38" s="11">
        <v>18500</v>
      </c>
      <c r="G38" s="12">
        <v>0</v>
      </c>
      <c r="H38" s="13">
        <f t="shared" si="0"/>
        <v>0</v>
      </c>
      <c r="I38" s="13">
        <v>0</v>
      </c>
      <c r="J38" s="13">
        <v>0</v>
      </c>
      <c r="K38" s="14">
        <f t="shared" si="1"/>
        <v>0</v>
      </c>
      <c r="L38" s="13">
        <v>0</v>
      </c>
      <c r="M38" s="13">
        <v>0</v>
      </c>
      <c r="N38" s="14">
        <f t="shared" si="2"/>
        <v>0</v>
      </c>
      <c r="O38" s="14">
        <f t="shared" si="2"/>
        <v>0</v>
      </c>
      <c r="P38" s="4">
        <f t="shared" si="2"/>
        <v>0</v>
      </c>
      <c r="Q38" s="4"/>
    </row>
    <row r="39" spans="2:17" x14ac:dyDescent="0.4">
      <c r="B39" s="26" t="s">
        <v>68</v>
      </c>
      <c r="C39" s="11">
        <v>18500</v>
      </c>
      <c r="D39" s="11">
        <v>18500</v>
      </c>
      <c r="E39" s="11">
        <v>18500</v>
      </c>
      <c r="F39" s="11">
        <v>18500</v>
      </c>
      <c r="G39" s="12">
        <v>0</v>
      </c>
      <c r="H39" s="13">
        <f t="shared" si="0"/>
        <v>0</v>
      </c>
      <c r="I39" s="13">
        <v>0</v>
      </c>
      <c r="J39" s="13">
        <v>0</v>
      </c>
      <c r="K39" s="14">
        <f t="shared" si="1"/>
        <v>0</v>
      </c>
      <c r="L39" s="13">
        <v>0</v>
      </c>
      <c r="M39" s="13">
        <v>0</v>
      </c>
      <c r="N39" s="14">
        <f t="shared" si="2"/>
        <v>0</v>
      </c>
      <c r="O39" s="14">
        <f t="shared" si="2"/>
        <v>0</v>
      </c>
      <c r="P39" s="4">
        <f t="shared" si="2"/>
        <v>0</v>
      </c>
      <c r="Q39" s="4"/>
    </row>
    <row r="40" spans="2:17" x14ac:dyDescent="0.4">
      <c r="B40" s="26" t="s">
        <v>69</v>
      </c>
      <c r="C40" s="11">
        <v>18500</v>
      </c>
      <c r="D40" s="11">
        <v>18500</v>
      </c>
      <c r="E40" s="11">
        <v>18500</v>
      </c>
      <c r="F40" s="11">
        <v>18500</v>
      </c>
      <c r="G40" s="12">
        <v>0</v>
      </c>
      <c r="H40" s="13">
        <f t="shared" si="0"/>
        <v>0</v>
      </c>
      <c r="I40" s="13">
        <v>0</v>
      </c>
      <c r="J40" s="13">
        <v>0</v>
      </c>
      <c r="K40" s="14">
        <f t="shared" si="1"/>
        <v>0</v>
      </c>
      <c r="L40" s="13">
        <v>0</v>
      </c>
      <c r="M40" s="13">
        <v>0</v>
      </c>
      <c r="N40" s="14">
        <f t="shared" si="2"/>
        <v>0</v>
      </c>
      <c r="O40" s="14">
        <f t="shared" si="2"/>
        <v>0</v>
      </c>
      <c r="P40" s="4">
        <f t="shared" si="2"/>
        <v>0</v>
      </c>
      <c r="Q40" s="4"/>
    </row>
    <row r="41" spans="2:17" x14ac:dyDescent="0.4">
      <c r="B41" s="26" t="s">
        <v>70</v>
      </c>
      <c r="C41" s="11">
        <v>18500</v>
      </c>
      <c r="D41" s="11">
        <v>18500</v>
      </c>
      <c r="E41" s="11">
        <v>18500</v>
      </c>
      <c r="F41" s="11">
        <v>18500</v>
      </c>
      <c r="G41" s="12">
        <v>0</v>
      </c>
      <c r="H41" s="13">
        <f t="shared" si="0"/>
        <v>0</v>
      </c>
      <c r="I41" s="13">
        <v>0</v>
      </c>
      <c r="J41" s="13">
        <v>0</v>
      </c>
      <c r="K41" s="14">
        <f t="shared" si="1"/>
        <v>0</v>
      </c>
      <c r="L41" s="13">
        <v>0</v>
      </c>
      <c r="M41" s="13">
        <v>0</v>
      </c>
      <c r="N41" s="14">
        <f t="shared" si="2"/>
        <v>0</v>
      </c>
      <c r="O41" s="14">
        <f t="shared" si="2"/>
        <v>0</v>
      </c>
      <c r="P41" s="4">
        <f t="shared" si="2"/>
        <v>0</v>
      </c>
      <c r="Q41" s="4"/>
    </row>
    <row r="42" spans="2:17" x14ac:dyDescent="0.4">
      <c r="B42" s="26" t="s">
        <v>71</v>
      </c>
      <c r="C42" s="11">
        <v>18500</v>
      </c>
      <c r="D42" s="11">
        <v>18500</v>
      </c>
      <c r="E42" s="11">
        <v>18500</v>
      </c>
      <c r="F42" s="11">
        <v>18500</v>
      </c>
      <c r="G42" s="12">
        <v>0</v>
      </c>
      <c r="H42" s="13">
        <f t="shared" si="0"/>
        <v>0</v>
      </c>
      <c r="I42" s="13">
        <v>0</v>
      </c>
      <c r="J42" s="13">
        <v>0</v>
      </c>
      <c r="K42" s="14">
        <f t="shared" si="1"/>
        <v>0</v>
      </c>
      <c r="L42" s="13">
        <v>0</v>
      </c>
      <c r="M42" s="13">
        <v>0</v>
      </c>
      <c r="N42" s="14">
        <f t="shared" si="2"/>
        <v>0</v>
      </c>
      <c r="O42" s="14">
        <f t="shared" si="2"/>
        <v>0</v>
      </c>
      <c r="P42" s="4">
        <f t="shared" si="2"/>
        <v>0</v>
      </c>
      <c r="Q42" s="4"/>
    </row>
    <row r="43" spans="2:17" x14ac:dyDescent="0.4">
      <c r="B43" s="26" t="s">
        <v>72</v>
      </c>
      <c r="C43" s="11">
        <v>18500</v>
      </c>
      <c r="D43" s="11">
        <v>18500</v>
      </c>
      <c r="E43" s="11">
        <v>18500</v>
      </c>
      <c r="F43" s="11">
        <v>18500</v>
      </c>
      <c r="G43" s="12">
        <v>0</v>
      </c>
      <c r="H43" s="13">
        <f t="shared" si="0"/>
        <v>0</v>
      </c>
      <c r="I43" s="13">
        <v>0</v>
      </c>
      <c r="J43" s="13">
        <v>0</v>
      </c>
      <c r="K43" s="14">
        <f t="shared" si="1"/>
        <v>0</v>
      </c>
      <c r="L43" s="13">
        <v>0</v>
      </c>
      <c r="M43" s="13">
        <v>0</v>
      </c>
      <c r="N43" s="14">
        <f t="shared" si="2"/>
        <v>0</v>
      </c>
      <c r="O43" s="14">
        <f t="shared" si="2"/>
        <v>0</v>
      </c>
      <c r="P43" s="4">
        <f t="shared" si="2"/>
        <v>0</v>
      </c>
      <c r="Q43" s="4"/>
    </row>
    <row r="44" spans="2:17" x14ac:dyDescent="0.4">
      <c r="B44" s="26" t="s">
        <v>73</v>
      </c>
      <c r="C44" s="11">
        <v>18500</v>
      </c>
      <c r="D44" s="11">
        <v>18500</v>
      </c>
      <c r="E44" s="11">
        <v>18500</v>
      </c>
      <c r="F44" s="11">
        <v>18500</v>
      </c>
      <c r="G44" s="12">
        <v>0</v>
      </c>
      <c r="H44" s="13">
        <f t="shared" si="0"/>
        <v>0</v>
      </c>
      <c r="I44" s="13">
        <v>0</v>
      </c>
      <c r="J44" s="13">
        <v>0</v>
      </c>
      <c r="K44" s="14">
        <f t="shared" si="1"/>
        <v>0</v>
      </c>
      <c r="L44" s="13">
        <v>0</v>
      </c>
      <c r="M44" s="13">
        <v>0</v>
      </c>
      <c r="N44" s="14">
        <f t="shared" si="2"/>
        <v>0</v>
      </c>
      <c r="O44" s="14">
        <f t="shared" si="2"/>
        <v>0</v>
      </c>
      <c r="P44" s="4">
        <f t="shared" si="2"/>
        <v>0</v>
      </c>
      <c r="Q44" s="4"/>
    </row>
    <row r="45" spans="2:17" x14ac:dyDescent="0.4">
      <c r="B45" s="26" t="s">
        <v>74</v>
      </c>
      <c r="C45" s="11">
        <v>18500</v>
      </c>
      <c r="D45" s="11">
        <v>18500</v>
      </c>
      <c r="E45" s="11">
        <v>18500</v>
      </c>
      <c r="F45" s="11">
        <v>18500</v>
      </c>
      <c r="G45" s="12">
        <v>0</v>
      </c>
      <c r="H45" s="13">
        <f t="shared" si="0"/>
        <v>0</v>
      </c>
      <c r="I45" s="13">
        <v>0</v>
      </c>
      <c r="J45" s="13">
        <v>0</v>
      </c>
      <c r="K45" s="14">
        <f t="shared" si="1"/>
        <v>0</v>
      </c>
      <c r="L45" s="13">
        <v>0</v>
      </c>
      <c r="M45" s="13">
        <v>0</v>
      </c>
      <c r="N45" s="14">
        <f t="shared" si="2"/>
        <v>0</v>
      </c>
      <c r="O45" s="14">
        <f t="shared" si="2"/>
        <v>0</v>
      </c>
      <c r="P45" s="4">
        <f t="shared" si="2"/>
        <v>0</v>
      </c>
      <c r="Q45" s="4"/>
    </row>
    <row r="46" spans="2:17" x14ac:dyDescent="0.4">
      <c r="B46" s="26" t="s">
        <v>75</v>
      </c>
      <c r="C46" s="11">
        <v>18500</v>
      </c>
      <c r="D46" s="11">
        <v>18500</v>
      </c>
      <c r="E46" s="11">
        <v>18500</v>
      </c>
      <c r="F46" s="11">
        <v>18500</v>
      </c>
      <c r="G46" s="12">
        <v>0</v>
      </c>
      <c r="H46" s="13">
        <f t="shared" si="0"/>
        <v>0</v>
      </c>
      <c r="I46" s="13">
        <v>0</v>
      </c>
      <c r="J46" s="13">
        <v>0</v>
      </c>
      <c r="K46" s="14">
        <f t="shared" si="1"/>
        <v>0</v>
      </c>
      <c r="L46" s="13">
        <v>0</v>
      </c>
      <c r="M46" s="13">
        <v>0</v>
      </c>
      <c r="N46" s="14">
        <f t="shared" si="2"/>
        <v>0</v>
      </c>
      <c r="O46" s="14">
        <f t="shared" si="2"/>
        <v>0</v>
      </c>
      <c r="P46" s="4">
        <f t="shared" si="2"/>
        <v>0</v>
      </c>
      <c r="Q46" s="4"/>
    </row>
    <row r="47" spans="2:17" x14ac:dyDescent="0.4">
      <c r="B47" s="26" t="s">
        <v>76</v>
      </c>
      <c r="C47" s="11">
        <v>18500</v>
      </c>
      <c r="D47" s="11">
        <v>18500</v>
      </c>
      <c r="E47" s="11">
        <v>18500</v>
      </c>
      <c r="F47" s="11">
        <v>18500</v>
      </c>
      <c r="G47" s="12">
        <v>0</v>
      </c>
      <c r="H47" s="13">
        <f t="shared" si="0"/>
        <v>0</v>
      </c>
      <c r="I47" s="13">
        <v>0</v>
      </c>
      <c r="J47" s="13">
        <v>0</v>
      </c>
      <c r="K47" s="14">
        <f t="shared" si="1"/>
        <v>0</v>
      </c>
      <c r="L47" s="13">
        <v>0</v>
      </c>
      <c r="M47" s="13">
        <v>0</v>
      </c>
      <c r="N47" s="14">
        <f t="shared" si="2"/>
        <v>0</v>
      </c>
      <c r="O47" s="14">
        <f t="shared" si="2"/>
        <v>0</v>
      </c>
      <c r="P47" s="4">
        <f t="shared" si="2"/>
        <v>0</v>
      </c>
      <c r="Q47" s="4"/>
    </row>
    <row r="48" spans="2:17" x14ac:dyDescent="0.4">
      <c r="B48" s="26" t="s">
        <v>77</v>
      </c>
      <c r="C48" s="11">
        <v>18500</v>
      </c>
      <c r="D48" s="11">
        <v>18500</v>
      </c>
      <c r="E48" s="11">
        <v>18500</v>
      </c>
      <c r="F48" s="11">
        <v>18500</v>
      </c>
      <c r="G48" s="12">
        <v>0</v>
      </c>
      <c r="H48" s="13">
        <f t="shared" si="0"/>
        <v>0</v>
      </c>
      <c r="I48" s="13">
        <v>0</v>
      </c>
      <c r="J48" s="13">
        <v>0</v>
      </c>
      <c r="K48" s="14">
        <f t="shared" si="1"/>
        <v>0</v>
      </c>
      <c r="L48" s="13">
        <v>0</v>
      </c>
      <c r="M48" s="13">
        <v>0</v>
      </c>
      <c r="N48" s="14">
        <f t="shared" si="2"/>
        <v>0</v>
      </c>
      <c r="O48" s="14">
        <f t="shared" si="2"/>
        <v>0</v>
      </c>
      <c r="P48" s="4">
        <f t="shared" si="2"/>
        <v>0</v>
      </c>
      <c r="Q48" s="4"/>
    </row>
    <row r="49" spans="2:17" x14ac:dyDescent="0.4">
      <c r="B49" s="26" t="s">
        <v>78</v>
      </c>
      <c r="C49" s="11">
        <v>18500</v>
      </c>
      <c r="D49" s="11">
        <v>18500</v>
      </c>
      <c r="E49" s="11">
        <v>18500</v>
      </c>
      <c r="F49" s="11">
        <v>18500</v>
      </c>
      <c r="G49" s="12">
        <v>0</v>
      </c>
      <c r="H49" s="13">
        <f t="shared" si="0"/>
        <v>0</v>
      </c>
      <c r="I49" s="13">
        <v>0</v>
      </c>
      <c r="J49" s="13">
        <v>0</v>
      </c>
      <c r="K49" s="14">
        <f t="shared" si="1"/>
        <v>0</v>
      </c>
      <c r="L49" s="13">
        <v>0</v>
      </c>
      <c r="M49" s="13">
        <v>0</v>
      </c>
      <c r="N49" s="14">
        <f t="shared" si="2"/>
        <v>0</v>
      </c>
      <c r="O49" s="14">
        <f t="shared" si="2"/>
        <v>0</v>
      </c>
      <c r="P49" s="4">
        <f t="shared" si="2"/>
        <v>0</v>
      </c>
      <c r="Q49" s="4"/>
    </row>
    <row r="50" spans="2:17" x14ac:dyDescent="0.4">
      <c r="B50" s="26" t="s">
        <v>79</v>
      </c>
      <c r="C50" s="11">
        <v>18500</v>
      </c>
      <c r="D50" s="11">
        <v>18500</v>
      </c>
      <c r="E50" s="11">
        <v>18500</v>
      </c>
      <c r="F50" s="11">
        <v>18500</v>
      </c>
      <c r="G50" s="12">
        <v>0</v>
      </c>
      <c r="H50" s="13">
        <f t="shared" si="0"/>
        <v>0</v>
      </c>
      <c r="I50" s="13">
        <v>0</v>
      </c>
      <c r="J50" s="13">
        <v>0</v>
      </c>
      <c r="K50" s="14">
        <f t="shared" si="1"/>
        <v>0</v>
      </c>
      <c r="L50" s="13">
        <v>0</v>
      </c>
      <c r="M50" s="13">
        <v>0</v>
      </c>
      <c r="N50" s="14">
        <f t="shared" si="2"/>
        <v>0</v>
      </c>
      <c r="O50" s="14">
        <f t="shared" si="2"/>
        <v>0</v>
      </c>
      <c r="P50" s="4">
        <f t="shared" si="2"/>
        <v>0</v>
      </c>
      <c r="Q50" s="4"/>
    </row>
    <row r="51" spans="2:17" x14ac:dyDescent="0.4">
      <c r="B51" s="26" t="s">
        <v>80</v>
      </c>
      <c r="C51" s="11">
        <v>18500</v>
      </c>
      <c r="D51" s="11">
        <v>18500</v>
      </c>
      <c r="E51" s="11">
        <v>18500</v>
      </c>
      <c r="F51" s="11">
        <v>18500</v>
      </c>
      <c r="G51" s="12">
        <v>0</v>
      </c>
      <c r="H51" s="13">
        <f t="shared" si="0"/>
        <v>0</v>
      </c>
      <c r="I51" s="13">
        <v>0</v>
      </c>
      <c r="J51" s="13">
        <v>0</v>
      </c>
      <c r="K51" s="14">
        <f t="shared" si="1"/>
        <v>0</v>
      </c>
      <c r="L51" s="13">
        <v>0</v>
      </c>
      <c r="M51" s="13">
        <v>0</v>
      </c>
      <c r="N51" s="14">
        <f t="shared" si="2"/>
        <v>0</v>
      </c>
      <c r="O51" s="14">
        <f t="shared" si="2"/>
        <v>0</v>
      </c>
      <c r="P51" s="4">
        <f t="shared" si="2"/>
        <v>0</v>
      </c>
      <c r="Q51" s="4"/>
    </row>
    <row r="52" spans="2:17" x14ac:dyDescent="0.4">
      <c r="B52" s="26" t="s">
        <v>81</v>
      </c>
      <c r="C52" s="11">
        <v>18500</v>
      </c>
      <c r="D52" s="11">
        <v>18500</v>
      </c>
      <c r="E52" s="11">
        <v>18500</v>
      </c>
      <c r="F52" s="11">
        <v>18500</v>
      </c>
      <c r="G52" s="12">
        <v>0</v>
      </c>
      <c r="H52" s="13">
        <f t="shared" si="0"/>
        <v>0</v>
      </c>
      <c r="I52" s="13">
        <v>0</v>
      </c>
      <c r="J52" s="13">
        <v>0</v>
      </c>
      <c r="K52" s="14">
        <f t="shared" si="1"/>
        <v>0</v>
      </c>
      <c r="L52" s="13">
        <v>0</v>
      </c>
      <c r="M52" s="13">
        <v>0</v>
      </c>
      <c r="N52" s="14">
        <f t="shared" si="2"/>
        <v>0</v>
      </c>
      <c r="O52" s="14">
        <f t="shared" si="2"/>
        <v>0</v>
      </c>
      <c r="P52" s="4">
        <f t="shared" si="2"/>
        <v>0</v>
      </c>
      <c r="Q52" s="4"/>
    </row>
    <row r="53" spans="2:17" x14ac:dyDescent="0.4">
      <c r="B53" s="26" t="s">
        <v>82</v>
      </c>
      <c r="C53" s="11">
        <v>18500</v>
      </c>
      <c r="D53" s="11">
        <v>18500</v>
      </c>
      <c r="E53" s="11">
        <v>18500</v>
      </c>
      <c r="F53" s="11">
        <v>18500</v>
      </c>
      <c r="G53" s="12">
        <v>0</v>
      </c>
      <c r="H53" s="13">
        <f t="shared" si="0"/>
        <v>0</v>
      </c>
      <c r="I53" s="13">
        <v>0</v>
      </c>
      <c r="J53" s="13">
        <v>0</v>
      </c>
      <c r="K53" s="14">
        <f t="shared" si="1"/>
        <v>0</v>
      </c>
      <c r="L53" s="13">
        <v>0</v>
      </c>
      <c r="M53" s="13">
        <v>0</v>
      </c>
      <c r="N53" s="14">
        <f t="shared" si="2"/>
        <v>0</v>
      </c>
      <c r="O53" s="14">
        <f t="shared" si="2"/>
        <v>0</v>
      </c>
      <c r="P53" s="4">
        <f t="shared" si="2"/>
        <v>0</v>
      </c>
      <c r="Q53" s="4"/>
    </row>
    <row r="54" spans="2:17" x14ac:dyDescent="0.4">
      <c r="B54" s="26" t="s">
        <v>83</v>
      </c>
      <c r="C54" s="11">
        <v>18500</v>
      </c>
      <c r="D54" s="11">
        <v>18500</v>
      </c>
      <c r="E54" s="11">
        <v>18500</v>
      </c>
      <c r="F54" s="11">
        <v>18500</v>
      </c>
      <c r="G54" s="12">
        <v>0</v>
      </c>
      <c r="H54" s="13">
        <f t="shared" si="0"/>
        <v>0</v>
      </c>
      <c r="I54" s="13">
        <v>0</v>
      </c>
      <c r="J54" s="13">
        <v>0</v>
      </c>
      <c r="K54" s="14">
        <f t="shared" si="1"/>
        <v>0</v>
      </c>
      <c r="L54" s="13">
        <v>0</v>
      </c>
      <c r="M54" s="13">
        <v>0</v>
      </c>
      <c r="N54" s="14">
        <f t="shared" si="2"/>
        <v>0</v>
      </c>
      <c r="O54" s="14">
        <f t="shared" si="2"/>
        <v>0</v>
      </c>
      <c r="P54" s="4">
        <f t="shared" si="2"/>
        <v>0</v>
      </c>
      <c r="Q54" s="4"/>
    </row>
    <row r="55" spans="2:17" x14ac:dyDescent="0.4">
      <c r="B55" s="26" t="s">
        <v>84</v>
      </c>
      <c r="C55" s="11">
        <v>18500</v>
      </c>
      <c r="D55" s="11">
        <v>18500</v>
      </c>
      <c r="E55" s="11">
        <v>18500</v>
      </c>
      <c r="F55" s="11">
        <v>18500</v>
      </c>
      <c r="G55" s="12">
        <v>0</v>
      </c>
      <c r="H55" s="13">
        <f t="shared" si="0"/>
        <v>0</v>
      </c>
      <c r="I55" s="13">
        <v>0</v>
      </c>
      <c r="J55" s="13">
        <v>0</v>
      </c>
      <c r="K55" s="14">
        <f t="shared" si="1"/>
        <v>0</v>
      </c>
      <c r="L55" s="13">
        <v>0</v>
      </c>
      <c r="M55" s="13">
        <v>0</v>
      </c>
      <c r="N55" s="14">
        <f t="shared" si="2"/>
        <v>0</v>
      </c>
      <c r="O55" s="14">
        <f t="shared" si="2"/>
        <v>0</v>
      </c>
      <c r="P55" s="4">
        <f t="shared" si="2"/>
        <v>0</v>
      </c>
      <c r="Q55" s="4"/>
    </row>
    <row r="56" spans="2:17" x14ac:dyDescent="0.4">
      <c r="B56" s="26" t="s">
        <v>85</v>
      </c>
      <c r="C56" s="11">
        <v>18500</v>
      </c>
      <c r="D56" s="11">
        <v>18500</v>
      </c>
      <c r="E56" s="11">
        <v>18500</v>
      </c>
      <c r="F56" s="11">
        <v>18500</v>
      </c>
      <c r="G56" s="12">
        <v>0</v>
      </c>
      <c r="H56" s="13">
        <f t="shared" si="0"/>
        <v>0</v>
      </c>
      <c r="I56" s="13">
        <v>0</v>
      </c>
      <c r="J56" s="13">
        <v>0</v>
      </c>
      <c r="K56" s="14">
        <f t="shared" si="1"/>
        <v>0</v>
      </c>
      <c r="L56" s="13">
        <v>0</v>
      </c>
      <c r="M56" s="13">
        <v>0</v>
      </c>
      <c r="N56" s="14">
        <f t="shared" si="2"/>
        <v>0</v>
      </c>
      <c r="O56" s="14">
        <f t="shared" si="2"/>
        <v>0</v>
      </c>
      <c r="P56" s="4">
        <f t="shared" si="2"/>
        <v>0</v>
      </c>
      <c r="Q56" s="4"/>
    </row>
    <row r="57" spans="2:17" x14ac:dyDescent="0.4">
      <c r="B57" s="26" t="s">
        <v>86</v>
      </c>
      <c r="C57" s="11">
        <v>18500</v>
      </c>
      <c r="D57" s="11">
        <v>18500</v>
      </c>
      <c r="E57" s="11">
        <v>18500</v>
      </c>
      <c r="F57" s="11">
        <v>18500</v>
      </c>
      <c r="G57" s="12">
        <v>0</v>
      </c>
      <c r="H57" s="13">
        <f t="shared" si="0"/>
        <v>0</v>
      </c>
      <c r="I57" s="13">
        <v>0</v>
      </c>
      <c r="J57" s="13">
        <v>0</v>
      </c>
      <c r="K57" s="14">
        <f t="shared" si="1"/>
        <v>0</v>
      </c>
      <c r="L57" s="13">
        <v>0</v>
      </c>
      <c r="M57" s="13">
        <v>0</v>
      </c>
      <c r="N57" s="14">
        <f t="shared" si="2"/>
        <v>0</v>
      </c>
      <c r="O57" s="14">
        <f t="shared" si="2"/>
        <v>0</v>
      </c>
      <c r="P57" s="4">
        <f t="shared" si="2"/>
        <v>0</v>
      </c>
      <c r="Q57" s="4"/>
    </row>
    <row r="58" spans="2:17" x14ac:dyDescent="0.4">
      <c r="B58" s="26" t="s">
        <v>87</v>
      </c>
      <c r="C58" s="11">
        <v>18500</v>
      </c>
      <c r="D58" s="11">
        <v>18500</v>
      </c>
      <c r="E58" s="11">
        <v>18500</v>
      </c>
      <c r="F58" s="11">
        <v>18500</v>
      </c>
      <c r="G58" s="12">
        <v>0</v>
      </c>
      <c r="H58" s="13">
        <f t="shared" si="0"/>
        <v>0</v>
      </c>
      <c r="I58" s="13">
        <v>0</v>
      </c>
      <c r="J58" s="13">
        <v>0</v>
      </c>
      <c r="K58" s="14">
        <f t="shared" si="1"/>
        <v>0</v>
      </c>
      <c r="L58" s="13">
        <v>0</v>
      </c>
      <c r="M58" s="13">
        <v>0</v>
      </c>
      <c r="N58" s="14">
        <f t="shared" si="2"/>
        <v>0</v>
      </c>
      <c r="O58" s="14">
        <f t="shared" si="2"/>
        <v>0</v>
      </c>
      <c r="P58" s="4">
        <f t="shared" si="2"/>
        <v>0</v>
      </c>
      <c r="Q58" s="4"/>
    </row>
    <row r="59" spans="2:17" x14ac:dyDescent="0.4">
      <c r="B59" s="26" t="s">
        <v>88</v>
      </c>
      <c r="C59" s="11">
        <v>18500</v>
      </c>
      <c r="D59" s="11">
        <v>18500</v>
      </c>
      <c r="E59" s="11">
        <v>18500</v>
      </c>
      <c r="F59" s="11">
        <v>18500</v>
      </c>
      <c r="G59" s="12">
        <v>0</v>
      </c>
      <c r="H59" s="13">
        <f t="shared" si="0"/>
        <v>0</v>
      </c>
      <c r="I59" s="13">
        <v>0</v>
      </c>
      <c r="J59" s="13">
        <v>0</v>
      </c>
      <c r="K59" s="14">
        <f t="shared" si="1"/>
        <v>0</v>
      </c>
      <c r="L59" s="13">
        <v>0</v>
      </c>
      <c r="M59" s="13">
        <v>0</v>
      </c>
      <c r="N59" s="14">
        <f t="shared" si="2"/>
        <v>0</v>
      </c>
      <c r="O59" s="14">
        <f t="shared" si="2"/>
        <v>0</v>
      </c>
      <c r="P59" s="4">
        <f t="shared" si="2"/>
        <v>0</v>
      </c>
      <c r="Q59" s="4"/>
    </row>
    <row r="60" spans="2:17" x14ac:dyDescent="0.4">
      <c r="B60" s="26" t="s">
        <v>89</v>
      </c>
      <c r="C60" s="11">
        <v>18500</v>
      </c>
      <c r="D60" s="11">
        <v>18500</v>
      </c>
      <c r="E60" s="11">
        <v>18500</v>
      </c>
      <c r="F60" s="11">
        <v>18500</v>
      </c>
      <c r="G60" s="12">
        <v>0</v>
      </c>
      <c r="H60" s="13">
        <f t="shared" si="0"/>
        <v>0</v>
      </c>
      <c r="I60" s="13">
        <v>0</v>
      </c>
      <c r="J60" s="13">
        <v>0</v>
      </c>
      <c r="K60" s="14">
        <f t="shared" si="1"/>
        <v>0</v>
      </c>
      <c r="L60" s="13">
        <v>0</v>
      </c>
      <c r="M60" s="13">
        <v>0</v>
      </c>
      <c r="N60" s="14">
        <f t="shared" si="2"/>
        <v>0</v>
      </c>
      <c r="O60" s="14">
        <f t="shared" si="2"/>
        <v>0</v>
      </c>
      <c r="P60" s="4">
        <f t="shared" si="2"/>
        <v>0</v>
      </c>
      <c r="Q60" s="4"/>
    </row>
    <row r="61" spans="2:17" x14ac:dyDescent="0.4">
      <c r="B61" s="26" t="s">
        <v>90</v>
      </c>
      <c r="C61" s="11">
        <v>18500</v>
      </c>
      <c r="D61" s="11">
        <v>18500</v>
      </c>
      <c r="E61" s="11">
        <v>18500</v>
      </c>
      <c r="F61" s="11">
        <v>18500</v>
      </c>
      <c r="G61" s="12">
        <v>0</v>
      </c>
      <c r="H61" s="13">
        <f t="shared" si="0"/>
        <v>0</v>
      </c>
      <c r="I61" s="13">
        <v>0</v>
      </c>
      <c r="J61" s="13">
        <v>0</v>
      </c>
      <c r="K61" s="14">
        <f t="shared" si="1"/>
        <v>0</v>
      </c>
      <c r="L61" s="13">
        <v>0</v>
      </c>
      <c r="M61" s="13">
        <v>0</v>
      </c>
      <c r="N61" s="14">
        <f t="shared" si="2"/>
        <v>0</v>
      </c>
      <c r="O61" s="14">
        <f t="shared" si="2"/>
        <v>0</v>
      </c>
      <c r="P61" s="4">
        <f t="shared" si="2"/>
        <v>0</v>
      </c>
      <c r="Q61" s="4"/>
    </row>
    <row r="62" spans="2:17" x14ac:dyDescent="0.4">
      <c r="B62" s="26" t="s">
        <v>91</v>
      </c>
      <c r="C62" s="11">
        <v>18500</v>
      </c>
      <c r="D62" s="11">
        <v>18500</v>
      </c>
      <c r="E62" s="11">
        <v>18500</v>
      </c>
      <c r="F62" s="11">
        <v>18500</v>
      </c>
      <c r="G62" s="12">
        <v>0</v>
      </c>
      <c r="H62" s="13">
        <f t="shared" si="0"/>
        <v>0</v>
      </c>
      <c r="I62" s="13">
        <v>0</v>
      </c>
      <c r="J62" s="13">
        <v>0</v>
      </c>
      <c r="K62" s="14">
        <f t="shared" si="1"/>
        <v>0</v>
      </c>
      <c r="L62" s="13">
        <v>0</v>
      </c>
      <c r="M62" s="13">
        <v>0</v>
      </c>
      <c r="N62" s="14">
        <f t="shared" si="2"/>
        <v>0</v>
      </c>
      <c r="O62" s="14">
        <f t="shared" si="2"/>
        <v>0</v>
      </c>
      <c r="P62" s="4">
        <f t="shared" si="2"/>
        <v>0</v>
      </c>
      <c r="Q62" s="4"/>
    </row>
    <row r="63" spans="2:17" x14ac:dyDescent="0.4">
      <c r="B63" s="26" t="s">
        <v>92</v>
      </c>
      <c r="C63" s="11">
        <v>18500</v>
      </c>
      <c r="D63" s="11">
        <v>18500</v>
      </c>
      <c r="E63" s="11">
        <v>18500</v>
      </c>
      <c r="F63" s="11">
        <v>18500</v>
      </c>
      <c r="G63" s="12">
        <v>0</v>
      </c>
      <c r="H63" s="13">
        <f t="shared" si="0"/>
        <v>0</v>
      </c>
      <c r="I63" s="13">
        <v>0</v>
      </c>
      <c r="J63" s="13">
        <v>0</v>
      </c>
      <c r="K63" s="14">
        <f t="shared" si="1"/>
        <v>0</v>
      </c>
      <c r="L63" s="13">
        <v>0</v>
      </c>
      <c r="M63" s="13">
        <v>0</v>
      </c>
      <c r="N63" s="14">
        <f t="shared" si="2"/>
        <v>0</v>
      </c>
      <c r="O63" s="14">
        <f t="shared" si="2"/>
        <v>0</v>
      </c>
      <c r="P63" s="4">
        <f t="shared" si="2"/>
        <v>0</v>
      </c>
      <c r="Q63" s="4"/>
    </row>
    <row r="64" spans="2:17" x14ac:dyDescent="0.4">
      <c r="B64" s="26" t="s">
        <v>93</v>
      </c>
      <c r="C64" s="11">
        <v>18500</v>
      </c>
      <c r="D64" s="11">
        <v>18500</v>
      </c>
      <c r="E64" s="11">
        <v>18500</v>
      </c>
      <c r="F64" s="11">
        <v>18500</v>
      </c>
      <c r="G64" s="12">
        <v>0</v>
      </c>
      <c r="H64" s="13">
        <f t="shared" si="0"/>
        <v>0</v>
      </c>
      <c r="I64" s="13">
        <v>0</v>
      </c>
      <c r="J64" s="13">
        <v>0</v>
      </c>
      <c r="K64" s="14">
        <f t="shared" si="1"/>
        <v>0</v>
      </c>
      <c r="L64" s="13">
        <v>0</v>
      </c>
      <c r="M64" s="13">
        <v>0</v>
      </c>
      <c r="N64" s="14">
        <f t="shared" si="2"/>
        <v>0</v>
      </c>
      <c r="O64" s="14">
        <f t="shared" si="2"/>
        <v>0</v>
      </c>
      <c r="P64" s="4">
        <f t="shared" si="2"/>
        <v>0</v>
      </c>
      <c r="Q64" s="4"/>
    </row>
    <row r="65" spans="2:17" x14ac:dyDescent="0.4">
      <c r="B65" s="26" t="s">
        <v>94</v>
      </c>
      <c r="C65" s="11">
        <v>18500</v>
      </c>
      <c r="D65" s="11">
        <v>18500</v>
      </c>
      <c r="E65" s="11">
        <v>18500</v>
      </c>
      <c r="F65" s="11">
        <v>18500</v>
      </c>
      <c r="G65" s="12">
        <v>0</v>
      </c>
      <c r="H65" s="13">
        <f t="shared" si="0"/>
        <v>0</v>
      </c>
      <c r="I65" s="13">
        <v>0</v>
      </c>
      <c r="J65" s="13">
        <v>0</v>
      </c>
      <c r="K65" s="14">
        <f t="shared" si="1"/>
        <v>0</v>
      </c>
      <c r="L65" s="13">
        <v>0</v>
      </c>
      <c r="M65" s="13">
        <v>0</v>
      </c>
      <c r="N65" s="14">
        <f t="shared" si="2"/>
        <v>0</v>
      </c>
      <c r="O65" s="14">
        <f t="shared" si="2"/>
        <v>0</v>
      </c>
      <c r="P65" s="4">
        <f t="shared" si="2"/>
        <v>0</v>
      </c>
      <c r="Q65" s="4"/>
    </row>
    <row r="66" spans="2:17" x14ac:dyDescent="0.4">
      <c r="B66" s="26" t="s">
        <v>95</v>
      </c>
      <c r="C66" s="11">
        <v>18500</v>
      </c>
      <c r="D66" s="11">
        <v>18500</v>
      </c>
      <c r="E66" s="11">
        <v>18500</v>
      </c>
      <c r="F66" s="11">
        <v>18500</v>
      </c>
      <c r="G66" s="12">
        <v>0</v>
      </c>
      <c r="H66" s="13">
        <f t="shared" si="0"/>
        <v>0</v>
      </c>
      <c r="I66" s="13">
        <v>0</v>
      </c>
      <c r="J66" s="13">
        <v>0</v>
      </c>
      <c r="K66" s="14">
        <f t="shared" si="1"/>
        <v>0</v>
      </c>
      <c r="L66" s="13">
        <v>0</v>
      </c>
      <c r="M66" s="13">
        <v>0</v>
      </c>
      <c r="N66" s="14">
        <f t="shared" si="2"/>
        <v>0</v>
      </c>
      <c r="O66" s="14">
        <f t="shared" si="2"/>
        <v>0</v>
      </c>
      <c r="P66" s="4">
        <f t="shared" si="2"/>
        <v>0</v>
      </c>
      <c r="Q66" s="4"/>
    </row>
    <row r="67" spans="2:17" x14ac:dyDescent="0.4">
      <c r="B67" s="26" t="s">
        <v>96</v>
      </c>
      <c r="C67" s="11">
        <v>18500</v>
      </c>
      <c r="D67" s="11">
        <v>18500</v>
      </c>
      <c r="E67" s="11">
        <v>18500</v>
      </c>
      <c r="F67" s="11">
        <v>18500</v>
      </c>
      <c r="G67" s="12">
        <v>0</v>
      </c>
      <c r="H67" s="13">
        <f t="shared" si="0"/>
        <v>0</v>
      </c>
      <c r="I67" s="13">
        <v>0</v>
      </c>
      <c r="J67" s="13">
        <v>0</v>
      </c>
      <c r="K67" s="14">
        <f t="shared" si="1"/>
        <v>0</v>
      </c>
      <c r="L67" s="13">
        <v>0</v>
      </c>
      <c r="M67" s="13">
        <v>0</v>
      </c>
      <c r="N67" s="14">
        <f t="shared" si="2"/>
        <v>0</v>
      </c>
      <c r="O67" s="14">
        <f t="shared" si="2"/>
        <v>0</v>
      </c>
      <c r="P67" s="4">
        <f t="shared" si="2"/>
        <v>0</v>
      </c>
      <c r="Q67" s="4"/>
    </row>
    <row r="68" spans="2:17" x14ac:dyDescent="0.4">
      <c r="B68" s="26" t="s">
        <v>97</v>
      </c>
      <c r="C68" s="11">
        <v>18500</v>
      </c>
      <c r="D68" s="11">
        <v>18500</v>
      </c>
      <c r="E68" s="11">
        <v>18500</v>
      </c>
      <c r="F68" s="11">
        <v>18500</v>
      </c>
      <c r="G68" s="12">
        <v>0</v>
      </c>
      <c r="H68" s="13">
        <f t="shared" si="0"/>
        <v>0</v>
      </c>
      <c r="I68" s="13">
        <v>0</v>
      </c>
      <c r="J68" s="13">
        <v>0</v>
      </c>
      <c r="K68" s="14">
        <f t="shared" si="1"/>
        <v>0</v>
      </c>
      <c r="L68" s="13">
        <v>0</v>
      </c>
      <c r="M68" s="13">
        <v>0</v>
      </c>
      <c r="N68" s="14">
        <f t="shared" si="2"/>
        <v>0</v>
      </c>
      <c r="O68" s="14">
        <f t="shared" si="2"/>
        <v>0</v>
      </c>
      <c r="P68" s="4">
        <f t="shared" si="2"/>
        <v>0</v>
      </c>
      <c r="Q68" s="4"/>
    </row>
    <row r="69" spans="2:17" x14ac:dyDescent="0.4">
      <c r="B69" s="26" t="s">
        <v>98</v>
      </c>
      <c r="C69" s="11">
        <v>16650</v>
      </c>
      <c r="D69" s="11">
        <v>16650</v>
      </c>
      <c r="E69" s="11">
        <v>16650</v>
      </c>
      <c r="F69" s="11">
        <v>16650</v>
      </c>
      <c r="G69" s="12">
        <v>-10</v>
      </c>
      <c r="H69" s="13">
        <f t="shared" si="0"/>
        <v>0</v>
      </c>
      <c r="I69" s="13">
        <v>0</v>
      </c>
      <c r="J69" s="13">
        <v>0</v>
      </c>
      <c r="K69" s="14">
        <f t="shared" si="1"/>
        <v>0</v>
      </c>
      <c r="L69" s="13">
        <v>0</v>
      </c>
      <c r="M69" s="13">
        <v>0</v>
      </c>
      <c r="N69" s="14">
        <f t="shared" si="2"/>
        <v>0</v>
      </c>
      <c r="O69" s="14">
        <f t="shared" si="2"/>
        <v>0</v>
      </c>
      <c r="P69" s="4">
        <f t="shared" si="2"/>
        <v>0</v>
      </c>
      <c r="Q69" s="4"/>
    </row>
    <row r="70" spans="2:17" x14ac:dyDescent="0.4">
      <c r="B70" s="26" t="s">
        <v>99</v>
      </c>
      <c r="C70" s="11">
        <v>16650</v>
      </c>
      <c r="D70" s="11">
        <v>16650</v>
      </c>
      <c r="E70" s="11">
        <v>16650</v>
      </c>
      <c r="F70" s="11">
        <v>16650</v>
      </c>
      <c r="G70" s="12">
        <v>0</v>
      </c>
      <c r="H70" s="13">
        <f t="shared" si="0"/>
        <v>0</v>
      </c>
      <c r="I70" s="13">
        <v>0</v>
      </c>
      <c r="J70" s="13">
        <v>0</v>
      </c>
      <c r="K70" s="14">
        <f t="shared" si="1"/>
        <v>0</v>
      </c>
      <c r="L70" s="13">
        <v>0</v>
      </c>
      <c r="M70" s="13">
        <v>0</v>
      </c>
      <c r="N70" s="14">
        <f t="shared" si="2"/>
        <v>0</v>
      </c>
      <c r="O70" s="14">
        <f t="shared" si="2"/>
        <v>0</v>
      </c>
      <c r="P70" s="4">
        <f t="shared" si="2"/>
        <v>0</v>
      </c>
      <c r="Q70" s="4"/>
    </row>
    <row r="71" spans="2:17" x14ac:dyDescent="0.4">
      <c r="B71" s="26" t="s">
        <v>100</v>
      </c>
      <c r="C71" s="11">
        <v>15000</v>
      </c>
      <c r="D71" s="11">
        <v>15000</v>
      </c>
      <c r="E71" s="11">
        <v>15000</v>
      </c>
      <c r="F71" s="11">
        <v>15000</v>
      </c>
      <c r="G71" s="12">
        <v>-9.91</v>
      </c>
      <c r="H71" s="13">
        <f t="shared" ref="H71:H327" si="3">J71-I71</f>
        <v>0</v>
      </c>
      <c r="I71" s="13">
        <v>0</v>
      </c>
      <c r="J71" s="13">
        <v>0</v>
      </c>
      <c r="K71" s="14">
        <f t="shared" ref="K71:K96" si="4">M71-L71</f>
        <v>0</v>
      </c>
      <c r="L71" s="13">
        <v>0</v>
      </c>
      <c r="M71" s="13">
        <v>0</v>
      </c>
      <c r="N71" s="14">
        <f t="shared" ref="N71:P96" si="5">IFERROR(K71/H71,0)</f>
        <v>0</v>
      </c>
      <c r="O71" s="14">
        <f t="shared" si="5"/>
        <v>0</v>
      </c>
      <c r="P71" s="4">
        <f t="shared" si="5"/>
        <v>0</v>
      </c>
      <c r="Q71" s="4"/>
    </row>
    <row r="72" spans="2:17" x14ac:dyDescent="0.4">
      <c r="B72" s="26" t="s">
        <v>101</v>
      </c>
      <c r="C72" s="11">
        <v>16500</v>
      </c>
      <c r="D72" s="11">
        <v>16500</v>
      </c>
      <c r="E72" s="11">
        <v>16500</v>
      </c>
      <c r="F72" s="11">
        <v>16500</v>
      </c>
      <c r="G72" s="12">
        <v>10</v>
      </c>
      <c r="H72" s="13">
        <f t="shared" si="3"/>
        <v>0</v>
      </c>
      <c r="I72" s="13">
        <v>0</v>
      </c>
      <c r="J72" s="13">
        <v>0</v>
      </c>
      <c r="K72" s="14">
        <f t="shared" si="4"/>
        <v>0</v>
      </c>
      <c r="L72" s="13">
        <v>0</v>
      </c>
      <c r="M72" s="13">
        <v>0</v>
      </c>
      <c r="N72" s="14">
        <f t="shared" si="5"/>
        <v>0</v>
      </c>
      <c r="O72" s="14">
        <f t="shared" si="5"/>
        <v>0</v>
      </c>
      <c r="P72" s="4">
        <f t="shared" si="5"/>
        <v>0</v>
      </c>
      <c r="Q72" s="4"/>
    </row>
    <row r="73" spans="2:17" x14ac:dyDescent="0.4">
      <c r="B73" s="26" t="s">
        <v>102</v>
      </c>
      <c r="C73" s="11">
        <v>17000</v>
      </c>
      <c r="D73" s="11">
        <v>17000</v>
      </c>
      <c r="E73" s="11">
        <v>17000</v>
      </c>
      <c r="F73" s="11">
        <v>17000</v>
      </c>
      <c r="G73" s="12">
        <v>3.03</v>
      </c>
      <c r="H73" s="13">
        <f t="shared" si="3"/>
        <v>0</v>
      </c>
      <c r="I73" s="13">
        <v>0</v>
      </c>
      <c r="J73" s="13">
        <v>0</v>
      </c>
      <c r="K73" s="14">
        <f t="shared" si="4"/>
        <v>0</v>
      </c>
      <c r="L73" s="13">
        <v>0</v>
      </c>
      <c r="M73" s="13">
        <v>0</v>
      </c>
      <c r="N73" s="14">
        <f t="shared" si="5"/>
        <v>0</v>
      </c>
      <c r="O73" s="14">
        <f t="shared" si="5"/>
        <v>0</v>
      </c>
      <c r="P73" s="4">
        <f t="shared" si="5"/>
        <v>0</v>
      </c>
      <c r="Q73" s="4"/>
    </row>
    <row r="74" spans="2:17" x14ac:dyDescent="0.4">
      <c r="B74" s="26" t="s">
        <v>103</v>
      </c>
      <c r="C74" s="11">
        <v>17000</v>
      </c>
      <c r="D74" s="11">
        <v>17000</v>
      </c>
      <c r="E74" s="11">
        <v>17000</v>
      </c>
      <c r="F74" s="11">
        <v>17000</v>
      </c>
      <c r="G74" s="12">
        <v>0</v>
      </c>
      <c r="H74" s="13">
        <f t="shared" si="3"/>
        <v>0</v>
      </c>
      <c r="I74" s="13">
        <v>0</v>
      </c>
      <c r="J74" s="13">
        <v>0</v>
      </c>
      <c r="K74" s="14">
        <f t="shared" si="4"/>
        <v>0</v>
      </c>
      <c r="L74" s="13">
        <v>0</v>
      </c>
      <c r="M74" s="13">
        <v>0</v>
      </c>
      <c r="N74" s="14">
        <f t="shared" si="5"/>
        <v>0</v>
      </c>
      <c r="O74" s="14">
        <f t="shared" si="5"/>
        <v>0</v>
      </c>
      <c r="P74" s="4">
        <f t="shared" si="5"/>
        <v>0</v>
      </c>
      <c r="Q74" s="4"/>
    </row>
    <row r="75" spans="2:17" x14ac:dyDescent="0.4">
      <c r="B75" s="26" t="s">
        <v>104</v>
      </c>
      <c r="C75" s="11">
        <v>17000</v>
      </c>
      <c r="D75" s="11">
        <v>17000</v>
      </c>
      <c r="E75" s="11">
        <v>17000</v>
      </c>
      <c r="F75" s="11">
        <v>17000</v>
      </c>
      <c r="G75" s="12">
        <v>0</v>
      </c>
      <c r="H75" s="13">
        <f t="shared" si="3"/>
        <v>0</v>
      </c>
      <c r="I75" s="13">
        <v>0</v>
      </c>
      <c r="J75" s="13">
        <v>0</v>
      </c>
      <c r="K75" s="14">
        <f t="shared" si="4"/>
        <v>0</v>
      </c>
      <c r="L75" s="13">
        <v>0</v>
      </c>
      <c r="M75" s="13">
        <v>0</v>
      </c>
      <c r="N75" s="14">
        <f t="shared" si="5"/>
        <v>0</v>
      </c>
      <c r="O75" s="14">
        <f t="shared" si="5"/>
        <v>0</v>
      </c>
      <c r="P75" s="4">
        <f t="shared" si="5"/>
        <v>0</v>
      </c>
      <c r="Q75" s="4"/>
    </row>
    <row r="76" spans="2:17" x14ac:dyDescent="0.4">
      <c r="B76" s="26" t="s">
        <v>105</v>
      </c>
      <c r="C76" s="11">
        <v>17000</v>
      </c>
      <c r="D76" s="11">
        <v>17000</v>
      </c>
      <c r="E76" s="11">
        <v>17000</v>
      </c>
      <c r="F76" s="11">
        <v>17000</v>
      </c>
      <c r="G76" s="12">
        <v>0</v>
      </c>
      <c r="H76" s="13">
        <f t="shared" si="3"/>
        <v>0</v>
      </c>
      <c r="I76" s="13">
        <v>0</v>
      </c>
      <c r="J76" s="13">
        <v>0</v>
      </c>
      <c r="K76" s="14">
        <f t="shared" si="4"/>
        <v>0</v>
      </c>
      <c r="L76" s="13">
        <v>0</v>
      </c>
      <c r="M76" s="13">
        <v>0</v>
      </c>
      <c r="N76" s="14">
        <f t="shared" si="5"/>
        <v>0</v>
      </c>
      <c r="O76" s="14">
        <f t="shared" si="5"/>
        <v>0</v>
      </c>
      <c r="P76" s="4">
        <f t="shared" si="5"/>
        <v>0</v>
      </c>
      <c r="Q76" s="4"/>
    </row>
    <row r="77" spans="2:17" s="18" customFormat="1" ht="15.6" x14ac:dyDescent="0.4">
      <c r="B77" s="41" t="s">
        <v>106</v>
      </c>
      <c r="C77" s="11">
        <v>17000</v>
      </c>
      <c r="D77" s="11">
        <v>17000</v>
      </c>
      <c r="E77" s="11">
        <v>17000</v>
      </c>
      <c r="F77" s="13">
        <v>17000</v>
      </c>
      <c r="G77" s="19">
        <v>0</v>
      </c>
      <c r="H77" s="13">
        <f t="shared" si="3"/>
        <v>0</v>
      </c>
      <c r="I77" s="13">
        <v>0</v>
      </c>
      <c r="J77" s="13">
        <v>0</v>
      </c>
      <c r="K77" s="14">
        <f t="shared" si="4"/>
        <v>0</v>
      </c>
      <c r="L77" s="13">
        <v>0</v>
      </c>
      <c r="M77" s="13">
        <v>0</v>
      </c>
      <c r="N77" s="14">
        <f t="shared" si="5"/>
        <v>0</v>
      </c>
      <c r="O77" s="14">
        <f t="shared" si="5"/>
        <v>0</v>
      </c>
      <c r="P77" s="4">
        <f t="shared" si="5"/>
        <v>0</v>
      </c>
      <c r="Q77" s="4"/>
    </row>
    <row r="78" spans="2:17" s="18" customFormat="1" ht="15.6" x14ac:dyDescent="0.4">
      <c r="B78" s="41" t="s">
        <v>107</v>
      </c>
      <c r="C78" s="11">
        <v>17000</v>
      </c>
      <c r="D78" s="11">
        <v>17000</v>
      </c>
      <c r="E78" s="11">
        <v>17000</v>
      </c>
      <c r="F78" s="13">
        <v>17000</v>
      </c>
      <c r="G78" s="19">
        <v>0</v>
      </c>
      <c r="H78" s="13">
        <f t="shared" si="3"/>
        <v>0</v>
      </c>
      <c r="I78" s="13">
        <v>0</v>
      </c>
      <c r="J78" s="13">
        <v>0</v>
      </c>
      <c r="K78" s="14">
        <f t="shared" si="4"/>
        <v>0</v>
      </c>
      <c r="L78" s="13">
        <v>0</v>
      </c>
      <c r="M78" s="13">
        <v>0</v>
      </c>
      <c r="N78" s="14">
        <f t="shared" si="5"/>
        <v>0</v>
      </c>
      <c r="O78" s="14">
        <f t="shared" si="5"/>
        <v>0</v>
      </c>
      <c r="P78" s="4">
        <f t="shared" si="5"/>
        <v>0</v>
      </c>
      <c r="Q78" s="4"/>
    </row>
    <row r="79" spans="2:17" s="18" customFormat="1" ht="15.6" x14ac:dyDescent="0.4">
      <c r="B79" s="41" t="s">
        <v>108</v>
      </c>
      <c r="C79" s="11">
        <v>17000</v>
      </c>
      <c r="D79" s="11">
        <v>17000</v>
      </c>
      <c r="E79" s="11">
        <v>17000</v>
      </c>
      <c r="F79" s="13">
        <v>17000</v>
      </c>
      <c r="G79" s="19">
        <v>0</v>
      </c>
      <c r="H79" s="13">
        <f t="shared" si="3"/>
        <v>0</v>
      </c>
      <c r="I79" s="13">
        <v>0</v>
      </c>
      <c r="J79" s="13">
        <v>0</v>
      </c>
      <c r="K79" s="14">
        <f t="shared" si="4"/>
        <v>0</v>
      </c>
      <c r="L79" s="13">
        <v>0</v>
      </c>
      <c r="M79" s="13">
        <v>0</v>
      </c>
      <c r="N79" s="14">
        <f t="shared" si="5"/>
        <v>0</v>
      </c>
      <c r="O79" s="14">
        <f t="shared" si="5"/>
        <v>0</v>
      </c>
      <c r="P79" s="4">
        <f t="shared" si="5"/>
        <v>0</v>
      </c>
      <c r="Q79" s="4"/>
    </row>
    <row r="80" spans="2:17" s="18" customFormat="1" ht="15.6" x14ac:dyDescent="0.4">
      <c r="B80" s="41" t="s">
        <v>109</v>
      </c>
      <c r="C80" s="13">
        <v>18000</v>
      </c>
      <c r="D80" s="20">
        <v>18000</v>
      </c>
      <c r="E80" s="13">
        <v>18000</v>
      </c>
      <c r="F80" s="13">
        <v>18000</v>
      </c>
      <c r="G80" s="19">
        <v>5.88</v>
      </c>
      <c r="H80" s="13">
        <f t="shared" si="3"/>
        <v>20000</v>
      </c>
      <c r="I80" s="13">
        <v>0</v>
      </c>
      <c r="J80" s="13">
        <v>20000</v>
      </c>
      <c r="K80" s="14">
        <f t="shared" si="4"/>
        <v>360000000</v>
      </c>
      <c r="L80" s="13">
        <v>0</v>
      </c>
      <c r="M80" s="13">
        <v>360000000</v>
      </c>
      <c r="N80" s="14">
        <f t="shared" si="5"/>
        <v>18000</v>
      </c>
      <c r="O80" s="14">
        <f t="shared" si="5"/>
        <v>0</v>
      </c>
      <c r="P80" s="4">
        <f t="shared" si="5"/>
        <v>18000</v>
      </c>
      <c r="Q80" s="4"/>
    </row>
    <row r="81" spans="2:17" s="18" customFormat="1" ht="15.6" x14ac:dyDescent="0.4">
      <c r="B81" s="41" t="s">
        <v>110</v>
      </c>
      <c r="C81" s="11">
        <v>18000</v>
      </c>
      <c r="D81" s="25">
        <v>18000</v>
      </c>
      <c r="E81" s="11">
        <v>18000</v>
      </c>
      <c r="F81" s="13">
        <v>18000</v>
      </c>
      <c r="G81" s="19">
        <v>0</v>
      </c>
      <c r="H81" s="13">
        <f t="shared" si="3"/>
        <v>0</v>
      </c>
      <c r="I81" s="13">
        <v>0</v>
      </c>
      <c r="J81" s="13">
        <v>0</v>
      </c>
      <c r="K81" s="14">
        <f t="shared" si="4"/>
        <v>0</v>
      </c>
      <c r="L81" s="13">
        <v>0</v>
      </c>
      <c r="M81" s="13">
        <v>0</v>
      </c>
      <c r="N81" s="14">
        <f t="shared" si="5"/>
        <v>0</v>
      </c>
      <c r="O81" s="14">
        <f t="shared" si="5"/>
        <v>0</v>
      </c>
      <c r="P81" s="4">
        <f t="shared" si="5"/>
        <v>0</v>
      </c>
      <c r="Q81" s="4"/>
    </row>
    <row r="82" spans="2:17" s="18" customFormat="1" ht="15.6" x14ac:dyDescent="0.4">
      <c r="B82" s="41" t="s">
        <v>111</v>
      </c>
      <c r="C82" s="11">
        <v>18000</v>
      </c>
      <c r="D82" s="25">
        <v>18000</v>
      </c>
      <c r="E82" s="11">
        <v>18000</v>
      </c>
      <c r="F82" s="13">
        <v>18000</v>
      </c>
      <c r="G82" s="19">
        <v>0</v>
      </c>
      <c r="H82" s="13">
        <f t="shared" si="3"/>
        <v>0</v>
      </c>
      <c r="I82" s="13">
        <v>0</v>
      </c>
      <c r="J82" s="13">
        <v>0</v>
      </c>
      <c r="K82" s="14">
        <f t="shared" si="4"/>
        <v>0</v>
      </c>
      <c r="L82" s="13">
        <v>0</v>
      </c>
      <c r="M82" s="13">
        <v>0</v>
      </c>
      <c r="N82" s="14">
        <f t="shared" si="5"/>
        <v>0</v>
      </c>
      <c r="O82" s="14">
        <f t="shared" si="5"/>
        <v>0</v>
      </c>
      <c r="P82" s="4">
        <f t="shared" si="5"/>
        <v>0</v>
      </c>
      <c r="Q82" s="4"/>
    </row>
    <row r="83" spans="2:17" s="18" customFormat="1" ht="15.6" x14ac:dyDescent="0.4">
      <c r="B83" s="41" t="s">
        <v>112</v>
      </c>
      <c r="C83" s="11">
        <v>18000</v>
      </c>
      <c r="D83" s="25">
        <v>18000</v>
      </c>
      <c r="E83" s="11">
        <v>18000</v>
      </c>
      <c r="F83" s="13">
        <v>18000</v>
      </c>
      <c r="G83" s="19">
        <v>0</v>
      </c>
      <c r="H83" s="13">
        <f t="shared" si="3"/>
        <v>0</v>
      </c>
      <c r="I83" s="13">
        <v>0</v>
      </c>
      <c r="J83" s="13">
        <v>0</v>
      </c>
      <c r="K83" s="14">
        <f t="shared" si="4"/>
        <v>0</v>
      </c>
      <c r="L83" s="13">
        <v>0</v>
      </c>
      <c r="M83" s="13">
        <v>0</v>
      </c>
      <c r="N83" s="14">
        <f t="shared" si="5"/>
        <v>0</v>
      </c>
      <c r="O83" s="14">
        <f t="shared" si="5"/>
        <v>0</v>
      </c>
      <c r="P83" s="4">
        <f t="shared" si="5"/>
        <v>0</v>
      </c>
      <c r="Q83" s="4"/>
    </row>
    <row r="84" spans="2:17" s="18" customFormat="1" ht="15.6" x14ac:dyDescent="0.4">
      <c r="B84" s="41" t="s">
        <v>113</v>
      </c>
      <c r="C84" s="11">
        <v>18000</v>
      </c>
      <c r="D84" s="25">
        <v>18000</v>
      </c>
      <c r="E84" s="11">
        <v>18000</v>
      </c>
      <c r="F84" s="13">
        <v>18000</v>
      </c>
      <c r="G84" s="19">
        <v>0</v>
      </c>
      <c r="H84" s="13">
        <f t="shared" si="3"/>
        <v>0</v>
      </c>
      <c r="I84" s="13">
        <v>0</v>
      </c>
      <c r="J84" s="13">
        <v>0</v>
      </c>
      <c r="K84" s="14">
        <f t="shared" si="4"/>
        <v>0</v>
      </c>
      <c r="L84" s="13">
        <v>0</v>
      </c>
      <c r="M84" s="13">
        <v>0</v>
      </c>
      <c r="N84" s="14">
        <f t="shared" si="5"/>
        <v>0</v>
      </c>
      <c r="O84" s="14">
        <f t="shared" si="5"/>
        <v>0</v>
      </c>
      <c r="P84" s="4">
        <f t="shared" si="5"/>
        <v>0</v>
      </c>
      <c r="Q84" s="4"/>
    </row>
    <row r="85" spans="2:17" s="18" customFormat="1" ht="15.6" x14ac:dyDescent="0.4">
      <c r="B85" s="41" t="s">
        <v>114</v>
      </c>
      <c r="C85" s="11">
        <v>18000</v>
      </c>
      <c r="D85" s="25">
        <v>18000</v>
      </c>
      <c r="E85" s="11">
        <v>18000</v>
      </c>
      <c r="F85" s="13">
        <v>18000</v>
      </c>
      <c r="G85" s="19">
        <v>0</v>
      </c>
      <c r="H85" s="13">
        <f t="shared" si="3"/>
        <v>0</v>
      </c>
      <c r="I85" s="13">
        <v>0</v>
      </c>
      <c r="J85" s="13">
        <v>0</v>
      </c>
      <c r="K85" s="14">
        <f t="shared" si="4"/>
        <v>0</v>
      </c>
      <c r="L85" s="13">
        <v>0</v>
      </c>
      <c r="M85" s="13">
        <v>0</v>
      </c>
      <c r="N85" s="14">
        <f t="shared" si="5"/>
        <v>0</v>
      </c>
      <c r="O85" s="14">
        <f t="shared" si="5"/>
        <v>0</v>
      </c>
      <c r="P85" s="4">
        <f t="shared" si="5"/>
        <v>0</v>
      </c>
      <c r="Q85" s="4"/>
    </row>
    <row r="86" spans="2:17" s="18" customFormat="1" ht="15.6" customHeight="1" x14ac:dyDescent="0.4">
      <c r="B86" s="41" t="s">
        <v>115</v>
      </c>
      <c r="C86" s="11">
        <v>18000</v>
      </c>
      <c r="D86" s="25">
        <v>18000</v>
      </c>
      <c r="E86" s="11">
        <v>18000</v>
      </c>
      <c r="F86" s="13">
        <v>18000</v>
      </c>
      <c r="G86" s="19">
        <v>0</v>
      </c>
      <c r="H86" s="13">
        <f t="shared" si="3"/>
        <v>0</v>
      </c>
      <c r="I86" s="13">
        <v>0</v>
      </c>
      <c r="J86" s="13">
        <v>0</v>
      </c>
      <c r="K86" s="14">
        <f t="shared" si="4"/>
        <v>0</v>
      </c>
      <c r="L86" s="13">
        <v>0</v>
      </c>
      <c r="M86" s="13">
        <v>0</v>
      </c>
      <c r="N86" s="14">
        <f t="shared" si="5"/>
        <v>0</v>
      </c>
      <c r="O86" s="14">
        <f t="shared" si="5"/>
        <v>0</v>
      </c>
      <c r="P86" s="4">
        <f t="shared" si="5"/>
        <v>0</v>
      </c>
      <c r="Q86" s="4"/>
    </row>
    <row r="87" spans="2:17" s="18" customFormat="1" ht="15.6" customHeight="1" x14ac:dyDescent="0.4">
      <c r="B87" s="41" t="s">
        <v>116</v>
      </c>
      <c r="C87" s="11">
        <v>18000</v>
      </c>
      <c r="D87" s="25">
        <v>18000</v>
      </c>
      <c r="E87" s="11">
        <v>18000</v>
      </c>
      <c r="F87" s="13">
        <v>18000</v>
      </c>
      <c r="G87" s="19">
        <v>0</v>
      </c>
      <c r="H87" s="13">
        <f t="shared" si="3"/>
        <v>0</v>
      </c>
      <c r="I87" s="13">
        <v>0</v>
      </c>
      <c r="J87" s="13">
        <v>0</v>
      </c>
      <c r="K87" s="14">
        <f t="shared" si="4"/>
        <v>0</v>
      </c>
      <c r="L87" s="13">
        <v>0</v>
      </c>
      <c r="M87" s="13">
        <v>0</v>
      </c>
      <c r="N87" s="14">
        <f t="shared" si="5"/>
        <v>0</v>
      </c>
      <c r="O87" s="14">
        <f t="shared" si="5"/>
        <v>0</v>
      </c>
      <c r="P87" s="4">
        <f t="shared" si="5"/>
        <v>0</v>
      </c>
      <c r="Q87" s="4"/>
    </row>
    <row r="88" spans="2:17" s="18" customFormat="1" ht="15.6" customHeight="1" x14ac:dyDescent="0.4">
      <c r="B88" s="41" t="s">
        <v>117</v>
      </c>
      <c r="C88" s="11">
        <v>18000</v>
      </c>
      <c r="D88" s="25">
        <v>18000</v>
      </c>
      <c r="E88" s="11">
        <v>18000</v>
      </c>
      <c r="F88" s="13">
        <v>18000</v>
      </c>
      <c r="G88" s="19">
        <v>0</v>
      </c>
      <c r="H88" s="13">
        <f t="shared" si="3"/>
        <v>0</v>
      </c>
      <c r="I88" s="13">
        <v>0</v>
      </c>
      <c r="J88" s="13">
        <v>0</v>
      </c>
      <c r="K88" s="14">
        <f t="shared" si="4"/>
        <v>0</v>
      </c>
      <c r="L88" s="13">
        <v>0</v>
      </c>
      <c r="M88" s="13">
        <v>0</v>
      </c>
      <c r="N88" s="14">
        <f t="shared" si="5"/>
        <v>0</v>
      </c>
      <c r="O88" s="14">
        <f t="shared" si="5"/>
        <v>0</v>
      </c>
      <c r="P88" s="4">
        <f t="shared" si="5"/>
        <v>0</v>
      </c>
      <c r="Q88" s="4"/>
    </row>
    <row r="89" spans="2:17" s="18" customFormat="1" ht="15.6" customHeight="1" x14ac:dyDescent="0.4">
      <c r="B89" s="41" t="s">
        <v>118</v>
      </c>
      <c r="C89" s="11">
        <v>18000</v>
      </c>
      <c r="D89" s="25">
        <v>18000</v>
      </c>
      <c r="E89" s="11">
        <v>18000</v>
      </c>
      <c r="F89" s="13">
        <v>18000</v>
      </c>
      <c r="G89" s="19">
        <v>0</v>
      </c>
      <c r="H89" s="13">
        <f t="shared" si="3"/>
        <v>0</v>
      </c>
      <c r="I89" s="13">
        <v>0</v>
      </c>
      <c r="J89" s="13">
        <v>0</v>
      </c>
      <c r="K89" s="14">
        <f t="shared" si="4"/>
        <v>0</v>
      </c>
      <c r="L89" s="13">
        <v>0</v>
      </c>
      <c r="M89" s="13">
        <v>0</v>
      </c>
      <c r="N89" s="14">
        <f t="shared" si="5"/>
        <v>0</v>
      </c>
      <c r="O89" s="14">
        <f t="shared" si="5"/>
        <v>0</v>
      </c>
      <c r="P89" s="4">
        <f t="shared" si="5"/>
        <v>0</v>
      </c>
      <c r="Q89" s="4"/>
    </row>
    <row r="90" spans="2:17" s="18" customFormat="1" ht="15.6" customHeight="1" x14ac:dyDescent="0.4">
      <c r="B90" s="41" t="s">
        <v>119</v>
      </c>
      <c r="C90" s="11">
        <v>18000</v>
      </c>
      <c r="D90" s="25">
        <v>18000</v>
      </c>
      <c r="E90" s="11">
        <v>18000</v>
      </c>
      <c r="F90" s="13">
        <v>18000</v>
      </c>
      <c r="G90" s="19">
        <v>0</v>
      </c>
      <c r="H90" s="13">
        <f t="shared" si="3"/>
        <v>0</v>
      </c>
      <c r="I90" s="13">
        <v>0</v>
      </c>
      <c r="J90" s="13">
        <v>0</v>
      </c>
      <c r="K90" s="14">
        <f t="shared" si="4"/>
        <v>0</v>
      </c>
      <c r="L90" s="13">
        <v>0</v>
      </c>
      <c r="M90" s="13">
        <v>0</v>
      </c>
      <c r="N90" s="14">
        <f t="shared" si="5"/>
        <v>0</v>
      </c>
      <c r="O90" s="14">
        <f t="shared" si="5"/>
        <v>0</v>
      </c>
      <c r="P90" s="4">
        <f t="shared" si="5"/>
        <v>0</v>
      </c>
      <c r="Q90" s="4"/>
    </row>
    <row r="91" spans="2:17" s="18" customFormat="1" ht="15.6" x14ac:dyDescent="0.4">
      <c r="B91" s="41" t="s">
        <v>120</v>
      </c>
      <c r="C91" s="11">
        <v>18000</v>
      </c>
      <c r="D91" s="25">
        <v>18000</v>
      </c>
      <c r="E91" s="11">
        <v>18000</v>
      </c>
      <c r="F91" s="13">
        <v>18000</v>
      </c>
      <c r="G91" s="19">
        <v>0</v>
      </c>
      <c r="H91" s="13">
        <f t="shared" si="3"/>
        <v>0</v>
      </c>
      <c r="I91" s="13">
        <v>0</v>
      </c>
      <c r="J91" s="13">
        <v>0</v>
      </c>
      <c r="K91" s="14">
        <f t="shared" si="4"/>
        <v>0</v>
      </c>
      <c r="L91" s="13">
        <v>0</v>
      </c>
      <c r="M91" s="13">
        <v>0</v>
      </c>
      <c r="N91" s="14">
        <f t="shared" si="5"/>
        <v>0</v>
      </c>
      <c r="O91" s="14">
        <f t="shared" si="5"/>
        <v>0</v>
      </c>
      <c r="P91" s="4">
        <f t="shared" si="5"/>
        <v>0</v>
      </c>
      <c r="Q91" s="4"/>
    </row>
    <row r="92" spans="2:17" s="18" customFormat="1" ht="15.6" x14ac:dyDescent="0.4">
      <c r="B92" s="41" t="s">
        <v>121</v>
      </c>
      <c r="C92" s="11">
        <v>18000</v>
      </c>
      <c r="D92" s="25">
        <v>18000</v>
      </c>
      <c r="E92" s="11">
        <v>18000</v>
      </c>
      <c r="F92" s="13">
        <v>18000</v>
      </c>
      <c r="G92" s="19">
        <v>0</v>
      </c>
      <c r="H92" s="13">
        <f t="shared" si="3"/>
        <v>0</v>
      </c>
      <c r="I92" s="13">
        <v>0</v>
      </c>
      <c r="J92" s="13">
        <v>0</v>
      </c>
      <c r="K92" s="14">
        <f t="shared" si="4"/>
        <v>0</v>
      </c>
      <c r="L92" s="13">
        <v>0</v>
      </c>
      <c r="M92" s="13">
        <v>0</v>
      </c>
      <c r="N92" s="14">
        <f t="shared" si="5"/>
        <v>0</v>
      </c>
      <c r="O92" s="14">
        <f t="shared" si="5"/>
        <v>0</v>
      </c>
      <c r="P92" s="4">
        <f t="shared" si="5"/>
        <v>0</v>
      </c>
      <c r="Q92" s="4"/>
    </row>
    <row r="93" spans="2:17" s="18" customFormat="1" ht="15.6" x14ac:dyDescent="0.4">
      <c r="B93" s="41" t="s">
        <v>122</v>
      </c>
      <c r="C93" s="11">
        <v>18000</v>
      </c>
      <c r="D93" s="25">
        <v>18000</v>
      </c>
      <c r="E93" s="11">
        <v>18000</v>
      </c>
      <c r="F93" s="13">
        <v>18000</v>
      </c>
      <c r="G93" s="19">
        <v>0</v>
      </c>
      <c r="H93" s="13">
        <f t="shared" si="3"/>
        <v>0</v>
      </c>
      <c r="I93" s="13">
        <v>0</v>
      </c>
      <c r="J93" s="13">
        <v>0</v>
      </c>
      <c r="K93" s="14">
        <f t="shared" si="4"/>
        <v>0</v>
      </c>
      <c r="L93" s="13">
        <v>0</v>
      </c>
      <c r="M93" s="13">
        <v>0</v>
      </c>
      <c r="N93" s="14">
        <f t="shared" si="5"/>
        <v>0</v>
      </c>
      <c r="O93" s="14">
        <f t="shared" si="5"/>
        <v>0</v>
      </c>
      <c r="P93" s="4">
        <f t="shared" si="5"/>
        <v>0</v>
      </c>
      <c r="Q93" s="4"/>
    </row>
    <row r="94" spans="2:17" s="18" customFormat="1" ht="15.6" customHeight="1" x14ac:dyDescent="0.4">
      <c r="B94" s="41" t="s">
        <v>123</v>
      </c>
      <c r="C94" s="13">
        <v>18000</v>
      </c>
      <c r="D94" s="20">
        <v>18000</v>
      </c>
      <c r="E94" s="13">
        <v>18000</v>
      </c>
      <c r="F94" s="13">
        <v>18000</v>
      </c>
      <c r="G94" s="19">
        <v>0</v>
      </c>
      <c r="H94" s="13">
        <f t="shared" si="3"/>
        <v>100000</v>
      </c>
      <c r="I94" s="13">
        <v>0</v>
      </c>
      <c r="J94" s="13">
        <v>100000</v>
      </c>
      <c r="K94" s="14">
        <f t="shared" si="4"/>
        <v>1800000000</v>
      </c>
      <c r="L94" s="13">
        <v>0</v>
      </c>
      <c r="M94" s="13">
        <v>1800000000</v>
      </c>
      <c r="N94" s="14">
        <f t="shared" si="5"/>
        <v>18000</v>
      </c>
      <c r="O94" s="14">
        <f t="shared" si="5"/>
        <v>0</v>
      </c>
      <c r="P94" s="4">
        <f t="shared" si="5"/>
        <v>18000</v>
      </c>
      <c r="Q94" s="4"/>
    </row>
    <row r="95" spans="2:17" s="18" customFormat="1" ht="15.6" x14ac:dyDescent="0.4">
      <c r="B95" s="41" t="s">
        <v>124</v>
      </c>
      <c r="C95" s="13">
        <v>18000</v>
      </c>
      <c r="D95" s="20">
        <v>18000</v>
      </c>
      <c r="E95" s="13">
        <v>18000</v>
      </c>
      <c r="F95" s="13">
        <v>18000</v>
      </c>
      <c r="G95" s="19">
        <v>0</v>
      </c>
      <c r="H95" s="13">
        <f t="shared" si="3"/>
        <v>80000</v>
      </c>
      <c r="I95" s="13">
        <v>0</v>
      </c>
      <c r="J95" s="13">
        <v>80000</v>
      </c>
      <c r="K95" s="14">
        <f t="shared" si="4"/>
        <v>1440000000</v>
      </c>
      <c r="L95" s="13">
        <v>0</v>
      </c>
      <c r="M95" s="13">
        <v>1440000000</v>
      </c>
      <c r="N95" s="14">
        <f t="shared" si="5"/>
        <v>18000</v>
      </c>
      <c r="O95" s="14">
        <f t="shared" si="5"/>
        <v>0</v>
      </c>
      <c r="P95" s="4">
        <f t="shared" si="5"/>
        <v>18000</v>
      </c>
      <c r="Q95" s="4"/>
    </row>
    <row r="96" spans="2:17" ht="15.6" customHeight="1" x14ac:dyDescent="0.4">
      <c r="B96" s="26" t="s">
        <v>125</v>
      </c>
      <c r="C96" s="11">
        <v>18000</v>
      </c>
      <c r="D96" s="23">
        <v>18000</v>
      </c>
      <c r="E96" s="11">
        <v>18000</v>
      </c>
      <c r="F96" s="11">
        <v>18000</v>
      </c>
      <c r="G96" s="12">
        <v>0</v>
      </c>
      <c r="H96" s="13">
        <f t="shared" si="3"/>
        <v>1496</v>
      </c>
      <c r="I96" s="13">
        <v>0</v>
      </c>
      <c r="J96" s="13">
        <v>1496</v>
      </c>
      <c r="K96" s="14">
        <f t="shared" si="4"/>
        <v>26928000</v>
      </c>
      <c r="L96" s="13">
        <v>0</v>
      </c>
      <c r="M96" s="13">
        <v>26928000</v>
      </c>
      <c r="N96" s="14">
        <f t="shared" si="5"/>
        <v>18000</v>
      </c>
      <c r="O96" s="14">
        <f t="shared" si="5"/>
        <v>0</v>
      </c>
      <c r="P96" s="4">
        <f t="shared" si="5"/>
        <v>18000</v>
      </c>
      <c r="Q96" s="4"/>
    </row>
    <row r="97" spans="2:20" x14ac:dyDescent="0.4">
      <c r="B97" s="26" t="s">
        <v>126</v>
      </c>
      <c r="C97" s="11">
        <v>18000</v>
      </c>
      <c r="D97" s="25">
        <v>18000</v>
      </c>
      <c r="E97" s="11">
        <v>18000</v>
      </c>
      <c r="F97" s="11">
        <v>18000</v>
      </c>
      <c r="G97" s="12">
        <v>0</v>
      </c>
      <c r="H97" s="13">
        <f t="shared" si="3"/>
        <v>0</v>
      </c>
      <c r="I97" s="13">
        <v>0</v>
      </c>
      <c r="J97" s="13">
        <v>0</v>
      </c>
      <c r="K97" s="14">
        <f>M97-L97</f>
        <v>0</v>
      </c>
      <c r="L97" s="13">
        <v>0</v>
      </c>
      <c r="M97" s="13">
        <v>0</v>
      </c>
      <c r="N97" s="13">
        <v>0</v>
      </c>
      <c r="O97" s="13">
        <v>0</v>
      </c>
      <c r="P97" s="13">
        <v>0</v>
      </c>
      <c r="Q97" s="4"/>
    </row>
    <row r="98" spans="2:20" x14ac:dyDescent="0.4">
      <c r="B98" s="26" t="s">
        <v>127</v>
      </c>
      <c r="C98" s="11">
        <v>18000</v>
      </c>
      <c r="D98" s="25">
        <v>18000</v>
      </c>
      <c r="E98" s="11">
        <v>18000</v>
      </c>
      <c r="F98" s="11">
        <v>18000</v>
      </c>
      <c r="G98" s="12">
        <v>0</v>
      </c>
      <c r="H98" s="13">
        <f t="shared" si="3"/>
        <v>0</v>
      </c>
      <c r="I98" s="13">
        <v>0</v>
      </c>
      <c r="J98" s="13">
        <v>0</v>
      </c>
      <c r="K98" s="14">
        <f>M98-L98</f>
        <v>0</v>
      </c>
      <c r="L98" s="13">
        <v>0</v>
      </c>
      <c r="M98" s="13">
        <v>0</v>
      </c>
      <c r="N98" s="13">
        <v>0</v>
      </c>
      <c r="O98" s="13">
        <v>0</v>
      </c>
      <c r="P98" s="13">
        <v>0</v>
      </c>
      <c r="Q98" s="4"/>
    </row>
    <row r="99" spans="2:20" x14ac:dyDescent="0.4">
      <c r="B99" s="26" t="s">
        <v>128</v>
      </c>
      <c r="C99" s="11">
        <v>18000</v>
      </c>
      <c r="D99" s="25">
        <v>18000</v>
      </c>
      <c r="E99" s="11">
        <v>18000</v>
      </c>
      <c r="F99" s="11">
        <v>18000</v>
      </c>
      <c r="G99" s="12">
        <v>0</v>
      </c>
      <c r="H99" s="13">
        <v>50000</v>
      </c>
      <c r="I99" s="13">
        <v>0</v>
      </c>
      <c r="J99" s="13">
        <v>50000</v>
      </c>
      <c r="K99" s="14">
        <v>900000000</v>
      </c>
      <c r="L99" s="13">
        <v>0</v>
      </c>
      <c r="M99" s="13">
        <v>900000000</v>
      </c>
      <c r="N99" s="14">
        <f>IFERROR(K99/H99,0)</f>
        <v>18000</v>
      </c>
      <c r="O99" s="14">
        <f>IFERROR(L99/I99,0)</f>
        <v>0</v>
      </c>
      <c r="P99" s="4">
        <f>IFERROR(M99/J99,0)</f>
        <v>18000</v>
      </c>
      <c r="Q99" s="4"/>
    </row>
    <row r="100" spans="2:20" ht="15.6" customHeight="1" x14ac:dyDescent="0.4">
      <c r="B100" s="26" t="s">
        <v>129</v>
      </c>
      <c r="C100" s="11">
        <v>18000</v>
      </c>
      <c r="D100" s="25">
        <v>18000</v>
      </c>
      <c r="E100" s="11">
        <v>18000</v>
      </c>
      <c r="F100" s="11">
        <v>18000</v>
      </c>
      <c r="G100" s="12">
        <v>0</v>
      </c>
      <c r="H100" s="13">
        <f t="shared" si="3"/>
        <v>0</v>
      </c>
      <c r="I100" s="13">
        <v>0</v>
      </c>
      <c r="J100" s="13">
        <v>0</v>
      </c>
      <c r="K100" s="14">
        <f>M100-L100</f>
        <v>0</v>
      </c>
      <c r="L100" s="13">
        <v>0</v>
      </c>
      <c r="M100" s="13">
        <v>0</v>
      </c>
      <c r="N100" s="13">
        <v>0</v>
      </c>
      <c r="O100" s="13">
        <v>0</v>
      </c>
      <c r="P100" s="13">
        <v>0</v>
      </c>
      <c r="Q100" s="4"/>
    </row>
    <row r="101" spans="2:20" x14ac:dyDescent="0.4">
      <c r="B101" s="26" t="s">
        <v>130</v>
      </c>
      <c r="C101" s="11">
        <v>18000</v>
      </c>
      <c r="D101" s="25">
        <v>18000</v>
      </c>
      <c r="E101" s="11">
        <v>18000</v>
      </c>
      <c r="F101" s="11">
        <v>18000</v>
      </c>
      <c r="G101" s="12">
        <v>0</v>
      </c>
      <c r="H101" s="13">
        <f t="shared" si="3"/>
        <v>0</v>
      </c>
      <c r="I101" s="13">
        <v>0</v>
      </c>
      <c r="J101" s="13">
        <v>0</v>
      </c>
      <c r="K101" s="14">
        <f>M101-L101</f>
        <v>0</v>
      </c>
      <c r="L101" s="13">
        <v>0</v>
      </c>
      <c r="M101" s="13">
        <v>0</v>
      </c>
      <c r="N101" s="13">
        <v>0</v>
      </c>
      <c r="O101" s="13">
        <v>0</v>
      </c>
      <c r="P101" s="13">
        <v>0</v>
      </c>
      <c r="Q101" s="4"/>
    </row>
    <row r="102" spans="2:20" x14ac:dyDescent="0.4">
      <c r="B102" s="26" t="s">
        <v>131</v>
      </c>
      <c r="C102" s="11">
        <v>18000</v>
      </c>
      <c r="D102" s="25">
        <v>18000</v>
      </c>
      <c r="E102" s="11">
        <v>18000</v>
      </c>
      <c r="F102" s="11">
        <v>18000</v>
      </c>
      <c r="G102" s="12">
        <v>0</v>
      </c>
      <c r="H102" s="13">
        <f t="shared" si="3"/>
        <v>0</v>
      </c>
      <c r="I102" s="13">
        <v>0</v>
      </c>
      <c r="J102" s="13">
        <v>0</v>
      </c>
      <c r="K102" s="14">
        <f>M102-L102</f>
        <v>0</v>
      </c>
      <c r="L102" s="13">
        <v>0</v>
      </c>
      <c r="M102" s="13">
        <v>0</v>
      </c>
      <c r="N102" s="13">
        <v>0</v>
      </c>
      <c r="O102" s="13">
        <v>0</v>
      </c>
      <c r="P102" s="13">
        <v>0</v>
      </c>
      <c r="Q102" s="4"/>
    </row>
    <row r="103" spans="2:20" x14ac:dyDescent="0.4">
      <c r="B103" s="26" t="s">
        <v>132</v>
      </c>
      <c r="C103" s="11">
        <v>18000</v>
      </c>
      <c r="D103" s="25">
        <v>18000</v>
      </c>
      <c r="E103" s="11">
        <v>18000</v>
      </c>
      <c r="F103" s="11">
        <v>18000</v>
      </c>
      <c r="G103" s="12">
        <v>0</v>
      </c>
      <c r="H103" s="13">
        <v>30000</v>
      </c>
      <c r="I103" s="13">
        <v>0</v>
      </c>
      <c r="J103" s="13">
        <v>30000</v>
      </c>
      <c r="K103" s="14">
        <v>540000000</v>
      </c>
      <c r="L103" s="13">
        <v>0</v>
      </c>
      <c r="M103" s="13">
        <v>540000000</v>
      </c>
      <c r="N103" s="14">
        <f>IFERROR(K103/H103,0)</f>
        <v>18000</v>
      </c>
      <c r="O103" s="14">
        <f>IFERROR(L103/I103,0)</f>
        <v>0</v>
      </c>
      <c r="P103" s="4">
        <f t="shared" ref="P103:P110" si="6">IFERROR(M103/J103,0)</f>
        <v>18000</v>
      </c>
      <c r="Q103" s="4"/>
    </row>
    <row r="104" spans="2:20" x14ac:dyDescent="0.4">
      <c r="B104" s="26" t="s">
        <v>133</v>
      </c>
      <c r="C104" s="11">
        <v>18000</v>
      </c>
      <c r="D104" s="25">
        <v>18000</v>
      </c>
      <c r="E104" s="11">
        <v>18000</v>
      </c>
      <c r="F104" s="11">
        <v>18000</v>
      </c>
      <c r="G104" s="12">
        <v>0</v>
      </c>
      <c r="H104" s="13">
        <f t="shared" si="3"/>
        <v>0</v>
      </c>
      <c r="I104" s="13">
        <v>0</v>
      </c>
      <c r="J104" s="13">
        <v>0</v>
      </c>
      <c r="K104" s="14">
        <f>M104-L104</f>
        <v>0</v>
      </c>
      <c r="L104" s="13">
        <v>0</v>
      </c>
      <c r="M104" s="13">
        <v>0</v>
      </c>
      <c r="N104" s="13">
        <v>0</v>
      </c>
      <c r="O104" s="13">
        <v>0</v>
      </c>
      <c r="P104" s="4">
        <f t="shared" si="6"/>
        <v>0</v>
      </c>
      <c r="Q104" s="4"/>
    </row>
    <row r="105" spans="2:20" x14ac:dyDescent="0.4">
      <c r="B105" s="42">
        <v>42660</v>
      </c>
      <c r="C105" s="11">
        <v>18000</v>
      </c>
      <c r="D105" s="25">
        <v>18000</v>
      </c>
      <c r="E105" s="11">
        <v>18000</v>
      </c>
      <c r="F105" s="11">
        <v>18000</v>
      </c>
      <c r="G105" s="12">
        <v>0</v>
      </c>
      <c r="H105" s="13">
        <f t="shared" si="3"/>
        <v>50000</v>
      </c>
      <c r="I105" s="13">
        <v>0</v>
      </c>
      <c r="J105" s="13">
        <v>50000</v>
      </c>
      <c r="K105" s="14">
        <v>900000000</v>
      </c>
      <c r="L105" s="13">
        <v>0</v>
      </c>
      <c r="M105" s="13">
        <f t="shared" ref="M105:M110" si="7">K105+L105</f>
        <v>900000000</v>
      </c>
      <c r="N105" s="14">
        <v>18000</v>
      </c>
      <c r="O105" s="14">
        <v>0</v>
      </c>
      <c r="P105" s="4">
        <f t="shared" si="6"/>
        <v>18000</v>
      </c>
      <c r="Q105" s="4"/>
    </row>
    <row r="106" spans="2:20" x14ac:dyDescent="0.4">
      <c r="B106" s="42">
        <v>42661</v>
      </c>
      <c r="C106" s="11">
        <v>18100</v>
      </c>
      <c r="D106" s="11">
        <v>18100</v>
      </c>
      <c r="E106" s="11">
        <v>18100</v>
      </c>
      <c r="F106" s="11">
        <v>18100</v>
      </c>
      <c r="G106" s="12">
        <v>0.56000000000000005</v>
      </c>
      <c r="H106" s="13">
        <f t="shared" si="3"/>
        <v>10000</v>
      </c>
      <c r="I106" s="13">
        <v>0</v>
      </c>
      <c r="J106" s="13">
        <v>10000</v>
      </c>
      <c r="K106" s="14">
        <v>181000000</v>
      </c>
      <c r="L106" s="13">
        <v>0</v>
      </c>
      <c r="M106" s="13">
        <f t="shared" si="7"/>
        <v>181000000</v>
      </c>
      <c r="N106" s="14">
        <v>18100</v>
      </c>
      <c r="O106" s="14">
        <v>0</v>
      </c>
      <c r="P106" s="4">
        <f t="shared" si="6"/>
        <v>18100</v>
      </c>
      <c r="Q106" s="4"/>
      <c r="T106" s="17"/>
    </row>
    <row r="107" spans="2:20" x14ac:dyDescent="0.4">
      <c r="B107" s="42">
        <v>42662</v>
      </c>
      <c r="C107" s="11">
        <v>18100</v>
      </c>
      <c r="D107" s="11">
        <v>18100</v>
      </c>
      <c r="E107" s="11">
        <v>18100</v>
      </c>
      <c r="F107" s="11">
        <v>18100</v>
      </c>
      <c r="G107" s="12">
        <v>0</v>
      </c>
      <c r="H107" s="13">
        <f t="shared" si="3"/>
        <v>0</v>
      </c>
      <c r="I107" s="13">
        <v>0</v>
      </c>
      <c r="J107" s="13">
        <v>0</v>
      </c>
      <c r="K107" s="14">
        <v>0</v>
      </c>
      <c r="L107" s="13">
        <v>0</v>
      </c>
      <c r="M107" s="13">
        <f t="shared" si="7"/>
        <v>0</v>
      </c>
      <c r="N107" s="14">
        <v>0</v>
      </c>
      <c r="O107" s="14">
        <v>0</v>
      </c>
      <c r="P107" s="4">
        <f t="shared" si="6"/>
        <v>0</v>
      </c>
      <c r="Q107" s="4"/>
      <c r="T107" s="17"/>
    </row>
    <row r="108" spans="2:20" x14ac:dyDescent="0.4">
      <c r="B108" s="42">
        <v>42663</v>
      </c>
      <c r="C108" s="11">
        <v>18100</v>
      </c>
      <c r="D108" s="11">
        <v>18100</v>
      </c>
      <c r="E108" s="11">
        <v>18100</v>
      </c>
      <c r="F108" s="11">
        <v>18100</v>
      </c>
      <c r="G108" s="12">
        <v>0</v>
      </c>
      <c r="H108" s="13">
        <f t="shared" si="3"/>
        <v>0</v>
      </c>
      <c r="I108" s="13">
        <v>0</v>
      </c>
      <c r="J108" s="13">
        <v>0</v>
      </c>
      <c r="K108" s="14">
        <v>0</v>
      </c>
      <c r="L108" s="13">
        <v>0</v>
      </c>
      <c r="M108" s="13">
        <f t="shared" si="7"/>
        <v>0</v>
      </c>
      <c r="N108" s="14">
        <v>0</v>
      </c>
      <c r="O108" s="14">
        <v>0</v>
      </c>
      <c r="P108" s="4">
        <f t="shared" si="6"/>
        <v>0</v>
      </c>
      <c r="Q108" s="4"/>
      <c r="T108" s="17"/>
    </row>
    <row r="109" spans="2:20" x14ac:dyDescent="0.4">
      <c r="B109" s="42">
        <v>42664</v>
      </c>
      <c r="C109" s="11">
        <v>18100</v>
      </c>
      <c r="D109" s="11">
        <v>18100</v>
      </c>
      <c r="E109" s="11">
        <v>18100</v>
      </c>
      <c r="F109" s="11">
        <v>18100</v>
      </c>
      <c r="G109" s="12">
        <v>0</v>
      </c>
      <c r="H109" s="13">
        <f t="shared" si="3"/>
        <v>0</v>
      </c>
      <c r="I109" s="13">
        <v>0</v>
      </c>
      <c r="J109" s="13">
        <v>0</v>
      </c>
      <c r="K109" s="14">
        <v>0</v>
      </c>
      <c r="L109" s="13">
        <v>0</v>
      </c>
      <c r="M109" s="13">
        <f t="shared" si="7"/>
        <v>0</v>
      </c>
      <c r="N109" s="14">
        <v>0</v>
      </c>
      <c r="O109" s="14">
        <v>0</v>
      </c>
      <c r="P109" s="4">
        <f t="shared" si="6"/>
        <v>0</v>
      </c>
      <c r="Q109" s="4">
        <f>IFERROR(SUM(M105:M109)/SUM(J105:J109),"")</f>
        <v>18016.666666666668</v>
      </c>
      <c r="T109" s="17"/>
    </row>
    <row r="110" spans="2:20" x14ac:dyDescent="0.4">
      <c r="B110" s="26">
        <v>42667</v>
      </c>
      <c r="C110" s="11">
        <v>18100</v>
      </c>
      <c r="D110" s="11">
        <v>18100</v>
      </c>
      <c r="E110" s="11">
        <v>18100</v>
      </c>
      <c r="F110" s="11">
        <v>18100</v>
      </c>
      <c r="G110" s="12">
        <v>0</v>
      </c>
      <c r="H110" s="13">
        <f t="shared" si="3"/>
        <v>0</v>
      </c>
      <c r="I110" s="13">
        <v>0</v>
      </c>
      <c r="J110" s="13">
        <v>0</v>
      </c>
      <c r="K110" s="14">
        <v>0</v>
      </c>
      <c r="L110" s="13">
        <v>0</v>
      </c>
      <c r="M110" s="13">
        <f t="shared" si="7"/>
        <v>0</v>
      </c>
      <c r="N110" s="14">
        <v>0</v>
      </c>
      <c r="O110" s="14">
        <v>0</v>
      </c>
      <c r="P110" s="4">
        <f t="shared" si="6"/>
        <v>0</v>
      </c>
      <c r="Q110" s="4"/>
      <c r="T110" s="17"/>
    </row>
    <row r="111" spans="2:20" x14ac:dyDescent="0.4">
      <c r="B111" s="26">
        <v>42668</v>
      </c>
      <c r="C111" s="11">
        <v>18100</v>
      </c>
      <c r="D111" s="25">
        <v>18100</v>
      </c>
      <c r="E111" s="11">
        <v>18100</v>
      </c>
      <c r="F111" s="11">
        <v>18100</v>
      </c>
      <c r="G111" s="12">
        <v>0</v>
      </c>
      <c r="H111" s="13">
        <f t="shared" si="3"/>
        <v>100000</v>
      </c>
      <c r="I111" s="13">
        <v>0</v>
      </c>
      <c r="J111" s="13">
        <v>100000</v>
      </c>
      <c r="K111" s="14">
        <v>1810000000</v>
      </c>
      <c r="L111" s="13">
        <v>0</v>
      </c>
      <c r="M111" s="13">
        <v>1810000000</v>
      </c>
      <c r="N111" s="14">
        <v>18100</v>
      </c>
      <c r="O111" s="14">
        <v>0</v>
      </c>
      <c r="P111" s="4">
        <v>18100</v>
      </c>
      <c r="Q111" s="4"/>
      <c r="T111" s="17"/>
    </row>
    <row r="112" spans="2:20" x14ac:dyDescent="0.4">
      <c r="B112" s="26">
        <v>42669</v>
      </c>
      <c r="C112" s="11">
        <v>18100</v>
      </c>
      <c r="D112" s="25">
        <v>18100</v>
      </c>
      <c r="E112" s="11">
        <v>18100</v>
      </c>
      <c r="F112" s="11">
        <v>18100</v>
      </c>
      <c r="G112" s="12">
        <v>0</v>
      </c>
      <c r="H112" s="13">
        <f t="shared" si="3"/>
        <v>0</v>
      </c>
      <c r="I112" s="13">
        <v>0</v>
      </c>
      <c r="J112" s="13">
        <v>0</v>
      </c>
      <c r="K112" s="14">
        <v>0</v>
      </c>
      <c r="L112" s="13">
        <v>0</v>
      </c>
      <c r="M112" s="13">
        <v>0</v>
      </c>
      <c r="N112" s="14">
        <v>0</v>
      </c>
      <c r="O112" s="14">
        <v>0</v>
      </c>
      <c r="P112" s="4">
        <v>0</v>
      </c>
      <c r="Q112" s="4"/>
      <c r="T112" s="17"/>
    </row>
    <row r="113" spans="2:20" x14ac:dyDescent="0.4">
      <c r="B113" s="26">
        <v>42670</v>
      </c>
      <c r="C113" s="11">
        <v>18100</v>
      </c>
      <c r="D113" s="25">
        <v>18100</v>
      </c>
      <c r="E113" s="11">
        <v>18100</v>
      </c>
      <c r="F113" s="11">
        <v>18100</v>
      </c>
      <c r="G113" s="12">
        <v>0</v>
      </c>
      <c r="H113" s="13">
        <f t="shared" si="3"/>
        <v>100000</v>
      </c>
      <c r="I113" s="13">
        <v>0</v>
      </c>
      <c r="J113" s="13">
        <v>100000</v>
      </c>
      <c r="K113" s="14">
        <f>M113-L113</f>
        <v>1810000000</v>
      </c>
      <c r="L113" s="13">
        <v>0</v>
      </c>
      <c r="M113" s="13">
        <v>1810000000</v>
      </c>
      <c r="N113" s="14">
        <f t="shared" ref="N113:P128" si="8">IFERROR(K113/H113,0)</f>
        <v>18100</v>
      </c>
      <c r="O113" s="14">
        <f t="shared" si="8"/>
        <v>0</v>
      </c>
      <c r="P113" s="4">
        <f t="shared" si="8"/>
        <v>18100</v>
      </c>
      <c r="Q113" s="4"/>
      <c r="T113" s="17"/>
    </row>
    <row r="114" spans="2:20" x14ac:dyDescent="0.4">
      <c r="B114" s="26">
        <v>42671</v>
      </c>
      <c r="C114" s="11">
        <v>18100</v>
      </c>
      <c r="D114" s="25">
        <v>18100</v>
      </c>
      <c r="E114" s="11">
        <v>18100</v>
      </c>
      <c r="F114" s="11">
        <v>18100</v>
      </c>
      <c r="G114" s="12">
        <v>0</v>
      </c>
      <c r="H114" s="13">
        <f t="shared" si="3"/>
        <v>0</v>
      </c>
      <c r="I114" s="13">
        <v>0</v>
      </c>
      <c r="J114" s="13">
        <v>0</v>
      </c>
      <c r="K114" s="14">
        <f>M114-L114</f>
        <v>0</v>
      </c>
      <c r="L114" s="13">
        <v>0</v>
      </c>
      <c r="M114" s="13">
        <v>0</v>
      </c>
      <c r="N114" s="14">
        <f t="shared" si="8"/>
        <v>0</v>
      </c>
      <c r="O114" s="14">
        <f t="shared" si="8"/>
        <v>0</v>
      </c>
      <c r="P114" s="4">
        <f t="shared" si="8"/>
        <v>0</v>
      </c>
      <c r="Q114" s="4">
        <f>IFERROR(SUM(M110:M114)/SUM(J110:J114),"")</f>
        <v>18100</v>
      </c>
      <c r="T114" s="17"/>
    </row>
    <row r="115" spans="2:20" x14ac:dyDescent="0.4">
      <c r="B115" s="26">
        <v>42674</v>
      </c>
      <c r="C115" s="11">
        <v>18100</v>
      </c>
      <c r="D115" s="25">
        <v>18100</v>
      </c>
      <c r="E115" s="11">
        <v>18100</v>
      </c>
      <c r="F115" s="11">
        <v>18100</v>
      </c>
      <c r="G115" s="12">
        <v>0</v>
      </c>
      <c r="H115" s="13">
        <f t="shared" si="3"/>
        <v>0</v>
      </c>
      <c r="I115" s="13">
        <v>0</v>
      </c>
      <c r="J115" s="13">
        <v>0</v>
      </c>
      <c r="K115" s="14">
        <f>M115-L115</f>
        <v>0</v>
      </c>
      <c r="L115" s="13">
        <v>0</v>
      </c>
      <c r="M115" s="13">
        <v>0</v>
      </c>
      <c r="N115" s="14">
        <f t="shared" si="8"/>
        <v>0</v>
      </c>
      <c r="O115" s="14">
        <f t="shared" si="8"/>
        <v>0</v>
      </c>
      <c r="P115" s="4">
        <f t="shared" si="8"/>
        <v>0</v>
      </c>
      <c r="Q115" s="4"/>
      <c r="T115" s="17"/>
    </row>
    <row r="116" spans="2:20" x14ac:dyDescent="0.4">
      <c r="B116" s="26">
        <v>42675</v>
      </c>
      <c r="C116" s="11">
        <v>18100</v>
      </c>
      <c r="D116" s="25">
        <v>18100</v>
      </c>
      <c r="E116" s="11">
        <v>18100</v>
      </c>
      <c r="F116" s="11">
        <v>18100</v>
      </c>
      <c r="G116" s="12">
        <v>0</v>
      </c>
      <c r="H116" s="13">
        <f t="shared" si="3"/>
        <v>0</v>
      </c>
      <c r="I116" s="13">
        <v>0</v>
      </c>
      <c r="J116" s="13">
        <v>0</v>
      </c>
      <c r="K116" s="14">
        <f t="shared" ref="K116:K343" si="9">M116-L116</f>
        <v>0</v>
      </c>
      <c r="L116" s="13">
        <v>0</v>
      </c>
      <c r="M116" s="13">
        <v>0</v>
      </c>
      <c r="N116" s="14">
        <f t="shared" si="8"/>
        <v>0</v>
      </c>
      <c r="O116" s="14">
        <f t="shared" si="8"/>
        <v>0</v>
      </c>
      <c r="P116" s="4">
        <f t="shared" si="8"/>
        <v>0</v>
      </c>
      <c r="Q116" s="4"/>
      <c r="T116" s="17"/>
    </row>
    <row r="117" spans="2:20" x14ac:dyDescent="0.4">
      <c r="B117" s="26">
        <v>42676</v>
      </c>
      <c r="C117" s="11">
        <v>18100</v>
      </c>
      <c r="D117" s="25">
        <v>18100</v>
      </c>
      <c r="E117" s="11">
        <v>18100</v>
      </c>
      <c r="F117" s="11">
        <v>18100</v>
      </c>
      <c r="G117" s="12">
        <v>0</v>
      </c>
      <c r="H117" s="13">
        <f t="shared" si="3"/>
        <v>0</v>
      </c>
      <c r="I117" s="13">
        <v>0</v>
      </c>
      <c r="J117" s="13">
        <v>0</v>
      </c>
      <c r="K117" s="14">
        <f t="shared" si="9"/>
        <v>0</v>
      </c>
      <c r="L117" s="13">
        <v>0</v>
      </c>
      <c r="M117" s="13">
        <v>0</v>
      </c>
      <c r="N117" s="14">
        <f t="shared" si="8"/>
        <v>0</v>
      </c>
      <c r="O117" s="14">
        <f t="shared" si="8"/>
        <v>0</v>
      </c>
      <c r="P117" s="4">
        <f t="shared" si="8"/>
        <v>0</v>
      </c>
      <c r="Q117" s="4"/>
      <c r="T117" s="17"/>
    </row>
    <row r="118" spans="2:20" x14ac:dyDescent="0.4">
      <c r="B118" s="26">
        <v>42677</v>
      </c>
      <c r="C118" s="11">
        <v>18100</v>
      </c>
      <c r="D118" s="25">
        <v>18100</v>
      </c>
      <c r="E118" s="11">
        <v>18100</v>
      </c>
      <c r="F118" s="11">
        <v>18100</v>
      </c>
      <c r="G118" s="12">
        <v>0</v>
      </c>
      <c r="H118" s="13">
        <f t="shared" si="3"/>
        <v>0</v>
      </c>
      <c r="I118" s="13">
        <v>0</v>
      </c>
      <c r="J118" s="13">
        <v>0</v>
      </c>
      <c r="K118" s="14">
        <f t="shared" si="9"/>
        <v>0</v>
      </c>
      <c r="L118" s="13">
        <v>0</v>
      </c>
      <c r="M118" s="13">
        <v>0</v>
      </c>
      <c r="N118" s="14">
        <f t="shared" si="8"/>
        <v>0</v>
      </c>
      <c r="O118" s="14">
        <f t="shared" si="8"/>
        <v>0</v>
      </c>
      <c r="P118" s="4">
        <f t="shared" si="8"/>
        <v>0</v>
      </c>
      <c r="Q118" s="4"/>
      <c r="T118" s="17"/>
    </row>
    <row r="119" spans="2:20" x14ac:dyDescent="0.4">
      <c r="B119" s="26">
        <v>42678</v>
      </c>
      <c r="C119" s="11">
        <v>18100</v>
      </c>
      <c r="D119" s="25">
        <v>18100</v>
      </c>
      <c r="E119" s="11">
        <v>18100</v>
      </c>
      <c r="F119" s="11">
        <v>18100</v>
      </c>
      <c r="G119" s="12">
        <v>0</v>
      </c>
      <c r="H119" s="13">
        <f t="shared" si="3"/>
        <v>0</v>
      </c>
      <c r="I119" s="13">
        <v>0</v>
      </c>
      <c r="J119" s="13">
        <v>0</v>
      </c>
      <c r="K119" s="14">
        <f t="shared" si="9"/>
        <v>0</v>
      </c>
      <c r="L119" s="13">
        <v>0</v>
      </c>
      <c r="M119" s="13">
        <v>0</v>
      </c>
      <c r="N119" s="14">
        <f t="shared" si="8"/>
        <v>0</v>
      </c>
      <c r="O119" s="14">
        <f t="shared" si="8"/>
        <v>0</v>
      </c>
      <c r="P119" s="4">
        <f t="shared" si="8"/>
        <v>0</v>
      </c>
      <c r="Q119" s="4" t="str">
        <f>IFERROR(SUM(M115:M119)/SUM(J115:J119),"")</f>
        <v/>
      </c>
      <c r="T119" s="17"/>
    </row>
    <row r="120" spans="2:20" x14ac:dyDescent="0.4">
      <c r="B120" s="26">
        <v>42681</v>
      </c>
      <c r="C120" s="11">
        <v>18100</v>
      </c>
      <c r="D120" s="25">
        <v>18100</v>
      </c>
      <c r="E120" s="11">
        <v>18100</v>
      </c>
      <c r="F120" s="11">
        <v>18100</v>
      </c>
      <c r="G120" s="12">
        <v>0</v>
      </c>
      <c r="H120" s="13">
        <f t="shared" si="3"/>
        <v>0</v>
      </c>
      <c r="I120" s="13">
        <v>0</v>
      </c>
      <c r="J120" s="13">
        <v>0</v>
      </c>
      <c r="K120" s="14">
        <f t="shared" si="9"/>
        <v>0</v>
      </c>
      <c r="L120" s="13">
        <v>0</v>
      </c>
      <c r="M120" s="13">
        <v>0</v>
      </c>
      <c r="N120" s="14">
        <f t="shared" si="8"/>
        <v>0</v>
      </c>
      <c r="O120" s="14">
        <f t="shared" si="8"/>
        <v>0</v>
      </c>
      <c r="P120" s="4">
        <f t="shared" si="8"/>
        <v>0</v>
      </c>
      <c r="Q120" s="4"/>
      <c r="T120" s="17"/>
    </row>
    <row r="121" spans="2:20" x14ac:dyDescent="0.4">
      <c r="B121" s="16">
        <v>42682</v>
      </c>
      <c r="C121" s="11">
        <v>18100</v>
      </c>
      <c r="D121" s="25">
        <v>18100</v>
      </c>
      <c r="E121" s="11">
        <v>18100</v>
      </c>
      <c r="F121" s="11">
        <v>18100</v>
      </c>
      <c r="G121" s="12">
        <v>0</v>
      </c>
      <c r="H121" s="13">
        <f t="shared" si="3"/>
        <v>0</v>
      </c>
      <c r="I121" s="13">
        <v>0</v>
      </c>
      <c r="J121" s="13">
        <v>0</v>
      </c>
      <c r="K121" s="14">
        <f t="shared" si="9"/>
        <v>0</v>
      </c>
      <c r="L121" s="13">
        <v>0</v>
      </c>
      <c r="M121" s="13">
        <v>0</v>
      </c>
      <c r="N121" s="14">
        <f t="shared" si="8"/>
        <v>0</v>
      </c>
      <c r="O121" s="14">
        <f t="shared" si="8"/>
        <v>0</v>
      </c>
      <c r="P121" s="4">
        <f t="shared" si="8"/>
        <v>0</v>
      </c>
      <c r="Q121" s="4"/>
      <c r="T121" s="17"/>
    </row>
    <row r="122" spans="2:20" x14ac:dyDescent="0.4">
      <c r="B122" s="16">
        <v>42683</v>
      </c>
      <c r="C122" s="11">
        <v>18500</v>
      </c>
      <c r="D122" s="25">
        <v>18500</v>
      </c>
      <c r="E122" s="11">
        <v>18500</v>
      </c>
      <c r="F122" s="11">
        <v>18500</v>
      </c>
      <c r="G122" s="12">
        <v>2.21</v>
      </c>
      <c r="H122" s="13">
        <f t="shared" si="3"/>
        <v>106913</v>
      </c>
      <c r="I122" s="13">
        <v>0</v>
      </c>
      <c r="J122" s="13">
        <v>106913</v>
      </c>
      <c r="K122" s="14">
        <f t="shared" si="9"/>
        <v>1977891000</v>
      </c>
      <c r="L122" s="13">
        <v>0</v>
      </c>
      <c r="M122" s="13">
        <v>1977891000</v>
      </c>
      <c r="N122" s="14">
        <f t="shared" si="8"/>
        <v>18500.004676699748</v>
      </c>
      <c r="O122" s="14">
        <f t="shared" si="8"/>
        <v>0</v>
      </c>
      <c r="P122" s="4">
        <f t="shared" si="8"/>
        <v>18500.004676699748</v>
      </c>
      <c r="Q122" s="4"/>
      <c r="T122" s="17"/>
    </row>
    <row r="123" spans="2:20" x14ac:dyDescent="0.4">
      <c r="B123" s="16">
        <v>42684</v>
      </c>
      <c r="C123" s="11">
        <v>18500</v>
      </c>
      <c r="D123" s="25">
        <v>18500</v>
      </c>
      <c r="E123" s="11">
        <v>18500</v>
      </c>
      <c r="F123" s="11">
        <v>18500</v>
      </c>
      <c r="G123" s="12">
        <v>0</v>
      </c>
      <c r="H123" s="13">
        <f t="shared" si="3"/>
        <v>0</v>
      </c>
      <c r="I123" s="13">
        <v>0</v>
      </c>
      <c r="J123" s="13">
        <v>0</v>
      </c>
      <c r="K123" s="14">
        <f t="shared" si="9"/>
        <v>0</v>
      </c>
      <c r="L123" s="13">
        <v>0</v>
      </c>
      <c r="M123" s="13">
        <v>0</v>
      </c>
      <c r="N123" s="14">
        <f t="shared" si="8"/>
        <v>0</v>
      </c>
      <c r="O123" s="14">
        <f t="shared" si="8"/>
        <v>0</v>
      </c>
      <c r="P123" s="4">
        <f t="shared" si="8"/>
        <v>0</v>
      </c>
      <c r="Q123" s="4"/>
      <c r="T123" s="17"/>
    </row>
    <row r="124" spans="2:20" x14ac:dyDescent="0.4">
      <c r="B124" s="16">
        <v>42685</v>
      </c>
      <c r="C124" s="11">
        <v>18500</v>
      </c>
      <c r="D124" s="25">
        <v>18500</v>
      </c>
      <c r="E124" s="11">
        <v>18500</v>
      </c>
      <c r="F124" s="11">
        <v>18500</v>
      </c>
      <c r="G124" s="12">
        <v>0</v>
      </c>
      <c r="H124" s="13">
        <f t="shared" si="3"/>
        <v>0</v>
      </c>
      <c r="I124" s="13">
        <v>0</v>
      </c>
      <c r="J124" s="13">
        <v>0</v>
      </c>
      <c r="K124" s="14">
        <f t="shared" si="9"/>
        <v>0</v>
      </c>
      <c r="L124" s="13">
        <v>0</v>
      </c>
      <c r="M124" s="13">
        <v>0</v>
      </c>
      <c r="N124" s="14">
        <f t="shared" si="8"/>
        <v>0</v>
      </c>
      <c r="O124" s="14">
        <f t="shared" si="8"/>
        <v>0</v>
      </c>
      <c r="P124" s="4">
        <f t="shared" si="8"/>
        <v>0</v>
      </c>
      <c r="Q124" s="4">
        <f>IFERROR(SUM(M120:M124)/SUM(J120:J124),"")</f>
        <v>18500.004676699748</v>
      </c>
      <c r="T124" s="17"/>
    </row>
    <row r="125" spans="2:20" x14ac:dyDescent="0.4">
      <c r="B125" s="16">
        <v>42688</v>
      </c>
      <c r="C125" s="21">
        <v>18500</v>
      </c>
      <c r="D125" s="23">
        <v>18500</v>
      </c>
      <c r="E125" s="23">
        <v>18500</v>
      </c>
      <c r="F125" s="23">
        <v>18500</v>
      </c>
      <c r="G125" s="12">
        <v>0</v>
      </c>
      <c r="H125" s="13">
        <f t="shared" si="3"/>
        <v>0</v>
      </c>
      <c r="I125" s="13">
        <v>0</v>
      </c>
      <c r="J125" s="13">
        <v>0</v>
      </c>
      <c r="K125" s="14">
        <f t="shared" si="9"/>
        <v>0</v>
      </c>
      <c r="L125" s="13">
        <v>0</v>
      </c>
      <c r="M125" s="13">
        <v>0</v>
      </c>
      <c r="N125" s="14">
        <f t="shared" si="8"/>
        <v>0</v>
      </c>
      <c r="O125" s="14">
        <f t="shared" si="8"/>
        <v>0</v>
      </c>
      <c r="P125" s="4">
        <f t="shared" si="8"/>
        <v>0</v>
      </c>
      <c r="Q125" s="4"/>
      <c r="T125" s="17"/>
    </row>
    <row r="126" spans="2:20" x14ac:dyDescent="0.4">
      <c r="B126" s="16">
        <v>42689</v>
      </c>
      <c r="C126" s="21">
        <v>18500</v>
      </c>
      <c r="D126" s="23">
        <v>18500</v>
      </c>
      <c r="E126" s="23">
        <v>18500</v>
      </c>
      <c r="F126" s="23">
        <v>18500</v>
      </c>
      <c r="G126" s="12">
        <v>0</v>
      </c>
      <c r="H126" s="13">
        <f t="shared" si="3"/>
        <v>0</v>
      </c>
      <c r="I126" s="13">
        <v>0</v>
      </c>
      <c r="J126" s="13">
        <v>0</v>
      </c>
      <c r="K126" s="14">
        <f t="shared" si="9"/>
        <v>0</v>
      </c>
      <c r="L126" s="13">
        <v>0</v>
      </c>
      <c r="M126" s="13">
        <v>0</v>
      </c>
      <c r="N126" s="14">
        <f t="shared" si="8"/>
        <v>0</v>
      </c>
      <c r="O126" s="14">
        <f t="shared" si="8"/>
        <v>0</v>
      </c>
      <c r="P126" s="4">
        <f t="shared" si="8"/>
        <v>0</v>
      </c>
      <c r="Q126" s="4"/>
      <c r="T126" s="17"/>
    </row>
    <row r="127" spans="2:20" x14ac:dyDescent="0.4">
      <c r="B127" s="16">
        <v>42690</v>
      </c>
      <c r="C127" s="21">
        <v>18500</v>
      </c>
      <c r="D127" s="23">
        <v>18500</v>
      </c>
      <c r="E127" s="23">
        <v>18500</v>
      </c>
      <c r="F127" s="23">
        <v>18500</v>
      </c>
      <c r="G127" s="12">
        <v>0</v>
      </c>
      <c r="H127" s="13">
        <f t="shared" si="3"/>
        <v>0</v>
      </c>
      <c r="I127" s="13">
        <v>0</v>
      </c>
      <c r="J127" s="13">
        <v>0</v>
      </c>
      <c r="K127" s="14">
        <f t="shared" si="9"/>
        <v>0</v>
      </c>
      <c r="L127" s="13">
        <v>0</v>
      </c>
      <c r="M127" s="13">
        <v>0</v>
      </c>
      <c r="N127" s="14">
        <f t="shared" si="8"/>
        <v>0</v>
      </c>
      <c r="O127" s="14">
        <f t="shared" si="8"/>
        <v>0</v>
      </c>
      <c r="P127" s="4">
        <f t="shared" si="8"/>
        <v>0</v>
      </c>
      <c r="Q127" s="4"/>
      <c r="T127" s="17"/>
    </row>
    <row r="128" spans="2:20" ht="15" customHeight="1" x14ac:dyDescent="0.4">
      <c r="B128" s="16">
        <v>42691</v>
      </c>
      <c r="C128" s="21">
        <v>18500</v>
      </c>
      <c r="D128" s="23">
        <v>18500</v>
      </c>
      <c r="E128" s="23">
        <v>18500</v>
      </c>
      <c r="F128" s="23">
        <v>18500</v>
      </c>
      <c r="G128" s="12">
        <v>0</v>
      </c>
      <c r="H128" s="13">
        <f t="shared" si="3"/>
        <v>0</v>
      </c>
      <c r="I128" s="13">
        <v>0</v>
      </c>
      <c r="J128" s="13">
        <v>0</v>
      </c>
      <c r="K128" s="14">
        <f t="shared" si="9"/>
        <v>0</v>
      </c>
      <c r="L128" s="13">
        <v>0</v>
      </c>
      <c r="M128" s="13">
        <v>0</v>
      </c>
      <c r="N128" s="14">
        <f t="shared" si="8"/>
        <v>0</v>
      </c>
      <c r="O128" s="14">
        <f t="shared" si="8"/>
        <v>0</v>
      </c>
      <c r="P128" s="4">
        <f t="shared" si="8"/>
        <v>0</v>
      </c>
      <c r="Q128" s="4"/>
      <c r="T128" s="17"/>
    </row>
    <row r="129" spans="2:20" x14ac:dyDescent="0.4">
      <c r="B129" s="16">
        <v>42692</v>
      </c>
      <c r="C129" s="21">
        <v>18500</v>
      </c>
      <c r="D129" s="23">
        <v>18500</v>
      </c>
      <c r="E129" s="23">
        <v>18500</v>
      </c>
      <c r="F129" s="23">
        <v>18500</v>
      </c>
      <c r="G129" s="12">
        <v>0</v>
      </c>
      <c r="H129" s="13">
        <f t="shared" si="3"/>
        <v>0</v>
      </c>
      <c r="I129" s="13">
        <v>0</v>
      </c>
      <c r="J129" s="13">
        <v>0</v>
      </c>
      <c r="K129" s="14">
        <f t="shared" si="9"/>
        <v>0</v>
      </c>
      <c r="L129" s="13">
        <v>0</v>
      </c>
      <c r="M129" s="13">
        <v>0</v>
      </c>
      <c r="N129" s="14">
        <f t="shared" ref="N129:P356" si="10">IFERROR(K129/H129,0)</f>
        <v>0</v>
      </c>
      <c r="O129" s="14">
        <f t="shared" si="10"/>
        <v>0</v>
      </c>
      <c r="P129" s="4">
        <f t="shared" si="10"/>
        <v>0</v>
      </c>
      <c r="Q129" s="4" t="str">
        <f>IFERROR(SUM(M125:M129)/SUM(J125:J129),"")</f>
        <v/>
      </c>
      <c r="T129" s="17"/>
    </row>
    <row r="130" spans="2:20" x14ac:dyDescent="0.4">
      <c r="B130" s="16">
        <v>42695</v>
      </c>
      <c r="C130" s="11">
        <v>18700</v>
      </c>
      <c r="D130" s="11">
        <v>18700</v>
      </c>
      <c r="E130" s="11">
        <v>18700</v>
      </c>
      <c r="F130" s="11">
        <v>18700</v>
      </c>
      <c r="G130" s="12">
        <v>1.08</v>
      </c>
      <c r="H130" s="13">
        <f t="shared" si="3"/>
        <v>4000</v>
      </c>
      <c r="I130" s="13">
        <v>0</v>
      </c>
      <c r="J130" s="13">
        <v>4000</v>
      </c>
      <c r="K130" s="14">
        <f t="shared" si="9"/>
        <v>74800000</v>
      </c>
      <c r="L130" s="13">
        <v>0</v>
      </c>
      <c r="M130" s="13">
        <v>74800000</v>
      </c>
      <c r="N130" s="14">
        <f t="shared" si="10"/>
        <v>18700</v>
      </c>
      <c r="O130" s="14">
        <f t="shared" si="10"/>
        <v>0</v>
      </c>
      <c r="P130" s="4">
        <f t="shared" si="10"/>
        <v>18700</v>
      </c>
      <c r="Q130" s="4"/>
      <c r="T130" s="17"/>
    </row>
    <row r="131" spans="2:20" x14ac:dyDescent="0.4">
      <c r="B131" s="16">
        <v>42696</v>
      </c>
      <c r="C131" s="11">
        <v>18700</v>
      </c>
      <c r="D131" s="11">
        <v>18700</v>
      </c>
      <c r="E131" s="11">
        <v>18700</v>
      </c>
      <c r="F131" s="11">
        <v>18700</v>
      </c>
      <c r="G131" s="12">
        <v>0</v>
      </c>
      <c r="H131" s="13">
        <f t="shared" si="3"/>
        <v>0</v>
      </c>
      <c r="I131" s="13">
        <v>0</v>
      </c>
      <c r="J131" s="13">
        <v>0</v>
      </c>
      <c r="K131" s="14">
        <f t="shared" si="9"/>
        <v>0</v>
      </c>
      <c r="L131" s="13">
        <v>0</v>
      </c>
      <c r="M131" s="13">
        <v>0</v>
      </c>
      <c r="N131" s="14">
        <f t="shared" si="10"/>
        <v>0</v>
      </c>
      <c r="O131" s="14">
        <f t="shared" si="10"/>
        <v>0</v>
      </c>
      <c r="P131" s="4">
        <f t="shared" si="10"/>
        <v>0</v>
      </c>
      <c r="Q131" s="4"/>
      <c r="T131" s="17"/>
    </row>
    <row r="132" spans="2:20" x14ac:dyDescent="0.4">
      <c r="B132" s="16">
        <v>42697</v>
      </c>
      <c r="C132" s="11">
        <v>18700</v>
      </c>
      <c r="D132" s="11">
        <v>18700</v>
      </c>
      <c r="E132" s="11">
        <v>18700</v>
      </c>
      <c r="F132" s="11">
        <v>18700</v>
      </c>
      <c r="G132" s="12">
        <v>0</v>
      </c>
      <c r="H132" s="13">
        <f t="shared" si="3"/>
        <v>0</v>
      </c>
      <c r="I132" s="13">
        <v>0</v>
      </c>
      <c r="J132" s="13">
        <v>0</v>
      </c>
      <c r="K132" s="14">
        <f t="shared" si="9"/>
        <v>0</v>
      </c>
      <c r="L132" s="13">
        <v>0</v>
      </c>
      <c r="M132" s="13">
        <v>0</v>
      </c>
      <c r="N132" s="14">
        <f t="shared" si="10"/>
        <v>0</v>
      </c>
      <c r="O132" s="14">
        <f t="shared" si="10"/>
        <v>0</v>
      </c>
      <c r="P132" s="4">
        <f t="shared" si="10"/>
        <v>0</v>
      </c>
      <c r="Q132" s="4"/>
      <c r="T132" s="17"/>
    </row>
    <row r="133" spans="2:20" x14ac:dyDescent="0.4">
      <c r="B133" s="16">
        <v>42698</v>
      </c>
      <c r="C133" s="11">
        <v>18700</v>
      </c>
      <c r="D133" s="11">
        <v>18700</v>
      </c>
      <c r="E133" s="11">
        <v>18700</v>
      </c>
      <c r="F133" s="11">
        <v>18700</v>
      </c>
      <c r="G133" s="12">
        <v>0</v>
      </c>
      <c r="H133" s="13">
        <f t="shared" si="3"/>
        <v>0</v>
      </c>
      <c r="I133" s="13">
        <v>0</v>
      </c>
      <c r="J133" s="13">
        <v>0</v>
      </c>
      <c r="K133" s="14">
        <f t="shared" si="9"/>
        <v>0</v>
      </c>
      <c r="L133" s="13">
        <v>0</v>
      </c>
      <c r="M133" s="13">
        <v>0</v>
      </c>
      <c r="N133" s="14">
        <f t="shared" si="10"/>
        <v>0</v>
      </c>
      <c r="O133" s="14">
        <f t="shared" si="10"/>
        <v>0</v>
      </c>
      <c r="P133" s="4">
        <f t="shared" si="10"/>
        <v>0</v>
      </c>
      <c r="Q133" s="4"/>
      <c r="T133" s="17"/>
    </row>
    <row r="134" spans="2:20" x14ac:dyDescent="0.4">
      <c r="B134" s="16">
        <v>42699</v>
      </c>
      <c r="C134" s="11">
        <v>18700</v>
      </c>
      <c r="D134" s="11">
        <v>18700</v>
      </c>
      <c r="E134" s="11">
        <v>18700</v>
      </c>
      <c r="F134" s="11">
        <v>18700</v>
      </c>
      <c r="G134" s="12">
        <v>0</v>
      </c>
      <c r="H134" s="13">
        <f t="shared" si="3"/>
        <v>4000</v>
      </c>
      <c r="I134" s="13">
        <v>0</v>
      </c>
      <c r="J134" s="13">
        <v>4000</v>
      </c>
      <c r="K134" s="14">
        <f t="shared" si="9"/>
        <v>74800000</v>
      </c>
      <c r="L134" s="13">
        <v>0</v>
      </c>
      <c r="M134" s="13">
        <v>74800000</v>
      </c>
      <c r="N134" s="14">
        <f t="shared" si="10"/>
        <v>18700</v>
      </c>
      <c r="O134" s="14">
        <f t="shared" si="10"/>
        <v>0</v>
      </c>
      <c r="P134" s="4">
        <f t="shared" si="10"/>
        <v>18700</v>
      </c>
      <c r="Q134" s="4">
        <f>IFERROR(SUM(M130:M134)/SUM(J130:J134),"")</f>
        <v>18700</v>
      </c>
      <c r="T134" s="17"/>
    </row>
    <row r="135" spans="2:20" x14ac:dyDescent="0.4">
      <c r="B135" s="16">
        <v>42702</v>
      </c>
      <c r="C135" s="11">
        <v>18700</v>
      </c>
      <c r="D135" s="11">
        <v>18700</v>
      </c>
      <c r="E135" s="11">
        <v>18700</v>
      </c>
      <c r="F135" s="11">
        <v>18700</v>
      </c>
      <c r="G135" s="12">
        <v>0</v>
      </c>
      <c r="H135" s="13">
        <f t="shared" si="3"/>
        <v>0</v>
      </c>
      <c r="I135" s="13">
        <v>0</v>
      </c>
      <c r="J135" s="13">
        <v>0</v>
      </c>
      <c r="K135" s="14">
        <f t="shared" si="9"/>
        <v>0</v>
      </c>
      <c r="L135" s="13">
        <v>0</v>
      </c>
      <c r="M135" s="13">
        <v>0</v>
      </c>
      <c r="N135" s="14">
        <f t="shared" si="10"/>
        <v>0</v>
      </c>
      <c r="O135" s="14">
        <f t="shared" si="10"/>
        <v>0</v>
      </c>
      <c r="P135" s="4">
        <f t="shared" si="10"/>
        <v>0</v>
      </c>
      <c r="Q135" s="4"/>
      <c r="T135" s="17"/>
    </row>
    <row r="136" spans="2:20" x14ac:dyDescent="0.4">
      <c r="B136" s="16">
        <v>42703</v>
      </c>
      <c r="C136" s="11">
        <v>18700</v>
      </c>
      <c r="D136" s="11">
        <v>18700</v>
      </c>
      <c r="E136" s="11">
        <v>18700</v>
      </c>
      <c r="F136" s="11">
        <v>18700</v>
      </c>
      <c r="G136" s="12">
        <v>0</v>
      </c>
      <c r="H136" s="13">
        <f t="shared" si="3"/>
        <v>0</v>
      </c>
      <c r="I136" s="13">
        <v>0</v>
      </c>
      <c r="J136" s="13">
        <v>0</v>
      </c>
      <c r="K136" s="14">
        <f t="shared" si="9"/>
        <v>0</v>
      </c>
      <c r="L136" s="13">
        <v>0</v>
      </c>
      <c r="M136" s="13">
        <v>0</v>
      </c>
      <c r="N136" s="14">
        <f t="shared" si="10"/>
        <v>0</v>
      </c>
      <c r="O136" s="14">
        <f t="shared" si="10"/>
        <v>0</v>
      </c>
      <c r="P136" s="4">
        <f t="shared" si="10"/>
        <v>0</v>
      </c>
      <c r="Q136" s="4"/>
      <c r="T136" s="17"/>
    </row>
    <row r="137" spans="2:20" x14ac:dyDescent="0.4">
      <c r="B137" s="16">
        <v>42704</v>
      </c>
      <c r="C137" s="11">
        <v>18700</v>
      </c>
      <c r="D137" s="11">
        <v>18700</v>
      </c>
      <c r="E137" s="11">
        <v>18700</v>
      </c>
      <c r="F137" s="11">
        <v>18700</v>
      </c>
      <c r="G137" s="12">
        <v>0</v>
      </c>
      <c r="H137" s="13">
        <f t="shared" si="3"/>
        <v>0</v>
      </c>
      <c r="I137" s="13">
        <v>0</v>
      </c>
      <c r="J137" s="13">
        <v>0</v>
      </c>
      <c r="K137" s="14">
        <f t="shared" si="9"/>
        <v>0</v>
      </c>
      <c r="L137" s="13">
        <v>0</v>
      </c>
      <c r="M137" s="13">
        <v>0</v>
      </c>
      <c r="N137" s="14">
        <f t="shared" si="10"/>
        <v>0</v>
      </c>
      <c r="O137" s="14">
        <f t="shared" si="10"/>
        <v>0</v>
      </c>
      <c r="P137" s="4">
        <f t="shared" si="10"/>
        <v>0</v>
      </c>
      <c r="Q137" s="4"/>
      <c r="T137" s="17"/>
    </row>
    <row r="138" spans="2:20" x14ac:dyDescent="0.4">
      <c r="B138" s="16">
        <v>42705</v>
      </c>
      <c r="C138" s="11">
        <v>18700</v>
      </c>
      <c r="D138" s="11">
        <v>18700</v>
      </c>
      <c r="E138" s="11">
        <v>18700</v>
      </c>
      <c r="F138" s="11">
        <v>18700</v>
      </c>
      <c r="G138" s="12">
        <v>0</v>
      </c>
      <c r="H138" s="13">
        <f t="shared" si="3"/>
        <v>0</v>
      </c>
      <c r="I138" s="13">
        <v>0</v>
      </c>
      <c r="J138" s="13">
        <v>0</v>
      </c>
      <c r="K138" s="14">
        <f t="shared" si="9"/>
        <v>0</v>
      </c>
      <c r="L138" s="13">
        <v>0</v>
      </c>
      <c r="M138" s="13">
        <v>0</v>
      </c>
      <c r="N138" s="14">
        <f t="shared" si="10"/>
        <v>0</v>
      </c>
      <c r="O138" s="14">
        <f t="shared" si="10"/>
        <v>0</v>
      </c>
      <c r="P138" s="4">
        <f t="shared" si="10"/>
        <v>0</v>
      </c>
      <c r="Q138" s="4"/>
      <c r="T138" s="17"/>
    </row>
    <row r="139" spans="2:20" x14ac:dyDescent="0.4">
      <c r="B139" s="16">
        <v>42706</v>
      </c>
      <c r="C139" s="11">
        <v>18700</v>
      </c>
      <c r="D139" s="11">
        <v>18700</v>
      </c>
      <c r="E139" s="11">
        <v>18700</v>
      </c>
      <c r="F139" s="11">
        <v>18700</v>
      </c>
      <c r="G139" s="12">
        <v>0</v>
      </c>
      <c r="H139" s="13">
        <f t="shared" si="3"/>
        <v>0</v>
      </c>
      <c r="I139" s="13">
        <v>0</v>
      </c>
      <c r="J139" s="13">
        <v>0</v>
      </c>
      <c r="K139" s="14">
        <f t="shared" si="9"/>
        <v>0</v>
      </c>
      <c r="L139" s="13">
        <v>0</v>
      </c>
      <c r="M139" s="13">
        <v>0</v>
      </c>
      <c r="N139" s="14">
        <f t="shared" si="10"/>
        <v>0</v>
      </c>
      <c r="O139" s="14">
        <f t="shared" si="10"/>
        <v>0</v>
      </c>
      <c r="P139" s="4">
        <f t="shared" si="10"/>
        <v>0</v>
      </c>
      <c r="Q139" s="4" t="str">
        <f>IFERROR(SUM(M135:M139)/SUM(J135:J139),"")</f>
        <v/>
      </c>
      <c r="T139" s="17"/>
    </row>
    <row r="140" spans="2:20" x14ac:dyDescent="0.4">
      <c r="B140" s="16">
        <v>42709</v>
      </c>
      <c r="C140" s="11">
        <v>18700</v>
      </c>
      <c r="D140" s="11">
        <v>18700</v>
      </c>
      <c r="E140" s="11">
        <v>18700</v>
      </c>
      <c r="F140" s="11">
        <v>18700</v>
      </c>
      <c r="G140" s="12">
        <v>0</v>
      </c>
      <c r="H140" s="13">
        <f t="shared" si="3"/>
        <v>0</v>
      </c>
      <c r="I140" s="13">
        <v>0</v>
      </c>
      <c r="J140" s="13">
        <v>0</v>
      </c>
      <c r="K140" s="14">
        <f t="shared" si="9"/>
        <v>0</v>
      </c>
      <c r="L140" s="13">
        <v>0</v>
      </c>
      <c r="M140" s="13">
        <v>0</v>
      </c>
      <c r="N140" s="14">
        <f t="shared" si="10"/>
        <v>0</v>
      </c>
      <c r="O140" s="14">
        <f t="shared" si="10"/>
        <v>0</v>
      </c>
      <c r="P140" s="4">
        <f t="shared" si="10"/>
        <v>0</v>
      </c>
      <c r="Q140" s="4"/>
      <c r="T140" s="17"/>
    </row>
    <row r="141" spans="2:20" x14ac:dyDescent="0.4">
      <c r="B141" s="16">
        <v>42710</v>
      </c>
      <c r="C141" s="11">
        <v>18800</v>
      </c>
      <c r="D141" s="11">
        <v>18800</v>
      </c>
      <c r="E141" s="11">
        <v>18800</v>
      </c>
      <c r="F141" s="11">
        <v>18800</v>
      </c>
      <c r="G141" s="12">
        <v>0.53</v>
      </c>
      <c r="H141" s="13">
        <f t="shared" si="3"/>
        <v>0</v>
      </c>
      <c r="I141" s="13">
        <v>0</v>
      </c>
      <c r="J141" s="13">
        <v>0</v>
      </c>
      <c r="K141" s="14">
        <f t="shared" si="9"/>
        <v>0</v>
      </c>
      <c r="L141" s="13">
        <v>0</v>
      </c>
      <c r="M141" s="13">
        <v>0</v>
      </c>
      <c r="N141" s="14">
        <f t="shared" si="10"/>
        <v>0</v>
      </c>
      <c r="O141" s="14">
        <f t="shared" si="10"/>
        <v>0</v>
      </c>
      <c r="P141" s="4">
        <f t="shared" si="10"/>
        <v>0</v>
      </c>
      <c r="Q141" s="4"/>
      <c r="T141" s="17"/>
    </row>
    <row r="142" spans="2:20" x14ac:dyDescent="0.4">
      <c r="B142" s="16">
        <v>42711</v>
      </c>
      <c r="C142" s="11">
        <v>18800</v>
      </c>
      <c r="D142" s="11">
        <v>18800</v>
      </c>
      <c r="E142" s="11">
        <v>18800</v>
      </c>
      <c r="F142" s="11">
        <v>18800</v>
      </c>
      <c r="G142" s="12">
        <v>0</v>
      </c>
      <c r="H142" s="13">
        <f t="shared" si="3"/>
        <v>0</v>
      </c>
      <c r="I142" s="13">
        <v>0</v>
      </c>
      <c r="J142" s="13">
        <v>0</v>
      </c>
      <c r="K142" s="14">
        <f t="shared" si="9"/>
        <v>0</v>
      </c>
      <c r="L142" s="13">
        <v>0</v>
      </c>
      <c r="M142" s="13">
        <v>0</v>
      </c>
      <c r="N142" s="14">
        <f t="shared" si="10"/>
        <v>0</v>
      </c>
      <c r="O142" s="14">
        <f t="shared" si="10"/>
        <v>0</v>
      </c>
      <c r="P142" s="4">
        <f t="shared" si="10"/>
        <v>0</v>
      </c>
      <c r="Q142" s="4"/>
      <c r="T142" s="17"/>
    </row>
    <row r="143" spans="2:20" x14ac:dyDescent="0.4">
      <c r="B143" s="16">
        <v>42712</v>
      </c>
      <c r="C143" s="11">
        <v>18900</v>
      </c>
      <c r="D143" s="11">
        <v>18900</v>
      </c>
      <c r="E143" s="11">
        <v>18900</v>
      </c>
      <c r="F143" s="11">
        <v>18900</v>
      </c>
      <c r="G143" s="12">
        <v>0.53</v>
      </c>
      <c r="H143" s="13">
        <f t="shared" si="3"/>
        <v>3000</v>
      </c>
      <c r="I143" s="13">
        <v>0</v>
      </c>
      <c r="J143" s="13">
        <v>3000</v>
      </c>
      <c r="K143" s="14">
        <f t="shared" si="9"/>
        <v>56700000</v>
      </c>
      <c r="L143" s="13">
        <v>0</v>
      </c>
      <c r="M143" s="13">
        <v>56700000</v>
      </c>
      <c r="N143" s="14">
        <f t="shared" si="10"/>
        <v>18900</v>
      </c>
      <c r="O143" s="14">
        <f t="shared" si="10"/>
        <v>0</v>
      </c>
      <c r="P143" s="4">
        <f t="shared" si="10"/>
        <v>18900</v>
      </c>
      <c r="Q143" s="4"/>
      <c r="T143" s="17"/>
    </row>
    <row r="144" spans="2:20" x14ac:dyDescent="0.4">
      <c r="B144" s="16">
        <v>42713</v>
      </c>
      <c r="C144" s="11">
        <v>18900</v>
      </c>
      <c r="D144" s="11">
        <v>18900</v>
      </c>
      <c r="E144" s="11">
        <v>18900</v>
      </c>
      <c r="F144" s="11">
        <v>18900</v>
      </c>
      <c r="G144" s="12">
        <v>0</v>
      </c>
      <c r="H144" s="13">
        <f t="shared" si="3"/>
        <v>0</v>
      </c>
      <c r="I144" s="13">
        <v>0</v>
      </c>
      <c r="J144" s="13">
        <v>0</v>
      </c>
      <c r="K144" s="14">
        <f t="shared" si="9"/>
        <v>0</v>
      </c>
      <c r="L144" s="13">
        <v>0</v>
      </c>
      <c r="M144" s="13">
        <v>0</v>
      </c>
      <c r="N144" s="14">
        <f t="shared" si="10"/>
        <v>0</v>
      </c>
      <c r="O144" s="14">
        <f t="shared" si="10"/>
        <v>0</v>
      </c>
      <c r="P144" s="4">
        <f t="shared" si="10"/>
        <v>0</v>
      </c>
      <c r="Q144" s="4">
        <f>IFERROR(SUM(M140:M144)/SUM(J140:J144),"")</f>
        <v>18900</v>
      </c>
      <c r="T144" s="17"/>
    </row>
    <row r="145" spans="2:20" x14ac:dyDescent="0.4">
      <c r="B145" s="16">
        <v>42716</v>
      </c>
      <c r="C145" s="11">
        <v>18900</v>
      </c>
      <c r="D145" s="11">
        <v>18900</v>
      </c>
      <c r="E145" s="11">
        <v>18900</v>
      </c>
      <c r="F145" s="11">
        <v>18900</v>
      </c>
      <c r="G145" s="12">
        <v>0</v>
      </c>
      <c r="H145" s="13">
        <f t="shared" si="3"/>
        <v>0</v>
      </c>
      <c r="I145" s="13">
        <v>0</v>
      </c>
      <c r="J145" s="13">
        <v>0</v>
      </c>
      <c r="K145" s="14">
        <f t="shared" si="9"/>
        <v>0</v>
      </c>
      <c r="L145" s="13">
        <v>0</v>
      </c>
      <c r="M145" s="13">
        <v>0</v>
      </c>
      <c r="N145" s="14">
        <f t="shared" si="10"/>
        <v>0</v>
      </c>
      <c r="O145" s="14">
        <f t="shared" si="10"/>
        <v>0</v>
      </c>
      <c r="P145" s="4">
        <f t="shared" si="10"/>
        <v>0</v>
      </c>
      <c r="Q145" s="4"/>
      <c r="T145" s="17"/>
    </row>
    <row r="146" spans="2:20" x14ac:dyDescent="0.4">
      <c r="B146" s="16">
        <v>42717</v>
      </c>
      <c r="C146" s="11">
        <v>18900</v>
      </c>
      <c r="D146" s="11">
        <v>18900</v>
      </c>
      <c r="E146" s="11">
        <v>18900</v>
      </c>
      <c r="F146" s="11">
        <v>18900</v>
      </c>
      <c r="G146" s="12">
        <v>0</v>
      </c>
      <c r="H146" s="13">
        <f t="shared" si="3"/>
        <v>0</v>
      </c>
      <c r="I146" s="13">
        <v>0</v>
      </c>
      <c r="J146" s="13">
        <v>0</v>
      </c>
      <c r="K146" s="14">
        <f t="shared" si="9"/>
        <v>0</v>
      </c>
      <c r="L146" s="13">
        <v>0</v>
      </c>
      <c r="M146" s="13">
        <v>0</v>
      </c>
      <c r="N146" s="14">
        <f t="shared" si="10"/>
        <v>0</v>
      </c>
      <c r="O146" s="14">
        <f t="shared" si="10"/>
        <v>0</v>
      </c>
      <c r="P146" s="4">
        <f t="shared" si="10"/>
        <v>0</v>
      </c>
      <c r="Q146" s="4"/>
      <c r="T146" s="17"/>
    </row>
    <row r="147" spans="2:20" x14ac:dyDescent="0.4">
      <c r="B147" s="16">
        <v>42718</v>
      </c>
      <c r="C147" s="11">
        <v>18900</v>
      </c>
      <c r="D147" s="11">
        <v>18900</v>
      </c>
      <c r="E147" s="11">
        <v>18900</v>
      </c>
      <c r="F147" s="11">
        <v>18900</v>
      </c>
      <c r="G147" s="12">
        <v>0</v>
      </c>
      <c r="H147" s="13">
        <f t="shared" si="3"/>
        <v>0</v>
      </c>
      <c r="I147" s="13">
        <v>0</v>
      </c>
      <c r="J147" s="13">
        <v>0</v>
      </c>
      <c r="K147" s="14">
        <f t="shared" si="9"/>
        <v>0</v>
      </c>
      <c r="L147" s="13">
        <v>0</v>
      </c>
      <c r="M147" s="13">
        <v>0</v>
      </c>
      <c r="N147" s="14">
        <f t="shared" si="10"/>
        <v>0</v>
      </c>
      <c r="O147" s="14">
        <f t="shared" si="10"/>
        <v>0</v>
      </c>
      <c r="P147" s="4">
        <f t="shared" si="10"/>
        <v>0</v>
      </c>
      <c r="Q147" s="4"/>
      <c r="T147" s="17"/>
    </row>
    <row r="148" spans="2:20" x14ac:dyDescent="0.4">
      <c r="B148" s="16">
        <v>42719</v>
      </c>
      <c r="C148" s="11">
        <v>18900</v>
      </c>
      <c r="D148" s="11">
        <v>18900</v>
      </c>
      <c r="E148" s="11">
        <v>18900</v>
      </c>
      <c r="F148" s="11">
        <v>18900</v>
      </c>
      <c r="G148" s="12">
        <v>0</v>
      </c>
      <c r="H148" s="13">
        <f t="shared" si="3"/>
        <v>0</v>
      </c>
      <c r="I148" s="13">
        <v>0</v>
      </c>
      <c r="J148" s="13">
        <v>0</v>
      </c>
      <c r="K148" s="14">
        <f t="shared" si="9"/>
        <v>0</v>
      </c>
      <c r="L148" s="13">
        <v>0</v>
      </c>
      <c r="M148" s="13">
        <v>0</v>
      </c>
      <c r="N148" s="14">
        <f t="shared" si="10"/>
        <v>0</v>
      </c>
      <c r="O148" s="14">
        <f t="shared" si="10"/>
        <v>0</v>
      </c>
      <c r="P148" s="4">
        <f t="shared" si="10"/>
        <v>0</v>
      </c>
      <c r="Q148" s="4"/>
      <c r="T148" s="17"/>
    </row>
    <row r="149" spans="2:20" x14ac:dyDescent="0.4">
      <c r="B149" s="16">
        <v>42720</v>
      </c>
      <c r="C149" s="11">
        <v>18900</v>
      </c>
      <c r="D149" s="11">
        <v>18900</v>
      </c>
      <c r="E149" s="11">
        <v>18900</v>
      </c>
      <c r="F149" s="11">
        <v>18900</v>
      </c>
      <c r="G149" s="12">
        <v>0</v>
      </c>
      <c r="H149" s="13">
        <f t="shared" si="3"/>
        <v>0</v>
      </c>
      <c r="I149" s="13">
        <v>0</v>
      </c>
      <c r="J149" s="13">
        <v>0</v>
      </c>
      <c r="K149" s="14">
        <f t="shared" si="9"/>
        <v>0</v>
      </c>
      <c r="L149" s="13">
        <v>0</v>
      </c>
      <c r="M149" s="13">
        <v>0</v>
      </c>
      <c r="N149" s="14">
        <f t="shared" si="10"/>
        <v>0</v>
      </c>
      <c r="O149" s="14">
        <f t="shared" si="10"/>
        <v>0</v>
      </c>
      <c r="P149" s="4">
        <f t="shared" si="10"/>
        <v>0</v>
      </c>
      <c r="Q149" s="4" t="str">
        <f>IFERROR(SUM(M145:M149)/SUM(J145:J149),"")</f>
        <v/>
      </c>
      <c r="T149" s="17"/>
    </row>
    <row r="150" spans="2:20" x14ac:dyDescent="0.4">
      <c r="B150" s="16">
        <v>42723</v>
      </c>
      <c r="C150" s="11">
        <v>18900</v>
      </c>
      <c r="D150" s="11">
        <v>18900</v>
      </c>
      <c r="E150" s="11">
        <v>18900</v>
      </c>
      <c r="F150" s="11">
        <v>18900</v>
      </c>
      <c r="G150" s="12">
        <v>0</v>
      </c>
      <c r="H150" s="13">
        <f t="shared" si="3"/>
        <v>0</v>
      </c>
      <c r="I150" s="13">
        <v>0</v>
      </c>
      <c r="J150" s="13">
        <v>0</v>
      </c>
      <c r="K150" s="14">
        <f t="shared" si="9"/>
        <v>0</v>
      </c>
      <c r="L150" s="13">
        <v>0</v>
      </c>
      <c r="M150" s="13">
        <v>0</v>
      </c>
      <c r="N150" s="14">
        <f t="shared" si="10"/>
        <v>0</v>
      </c>
      <c r="O150" s="14">
        <f t="shared" si="10"/>
        <v>0</v>
      </c>
      <c r="P150" s="4">
        <f t="shared" si="10"/>
        <v>0</v>
      </c>
      <c r="Q150" s="4"/>
      <c r="T150" s="17"/>
    </row>
    <row r="151" spans="2:20" x14ac:dyDescent="0.4">
      <c r="B151" s="16">
        <v>42724</v>
      </c>
      <c r="C151" s="11">
        <v>18900</v>
      </c>
      <c r="D151" s="11">
        <v>18900</v>
      </c>
      <c r="E151" s="11">
        <v>18900</v>
      </c>
      <c r="F151" s="11">
        <v>18900</v>
      </c>
      <c r="G151" s="12">
        <v>0</v>
      </c>
      <c r="H151" s="13">
        <f t="shared" si="3"/>
        <v>0</v>
      </c>
      <c r="I151" s="13">
        <v>0</v>
      </c>
      <c r="J151" s="13">
        <v>0</v>
      </c>
      <c r="K151" s="14">
        <f t="shared" si="9"/>
        <v>0</v>
      </c>
      <c r="L151" s="13">
        <v>0</v>
      </c>
      <c r="M151" s="13">
        <v>0</v>
      </c>
      <c r="N151" s="14">
        <f t="shared" si="10"/>
        <v>0</v>
      </c>
      <c r="O151" s="14">
        <f t="shared" si="10"/>
        <v>0</v>
      </c>
      <c r="P151" s="4">
        <f t="shared" si="10"/>
        <v>0</v>
      </c>
      <c r="Q151" s="4"/>
      <c r="T151" s="17"/>
    </row>
    <row r="152" spans="2:20" x14ac:dyDescent="0.4">
      <c r="B152" s="16">
        <v>42725</v>
      </c>
      <c r="C152" s="11">
        <v>18900</v>
      </c>
      <c r="D152" s="11">
        <v>18900</v>
      </c>
      <c r="E152" s="11">
        <v>18900</v>
      </c>
      <c r="F152" s="11">
        <v>18900</v>
      </c>
      <c r="G152" s="12">
        <v>0</v>
      </c>
      <c r="H152" s="13">
        <f t="shared" si="3"/>
        <v>0</v>
      </c>
      <c r="I152" s="13">
        <v>0</v>
      </c>
      <c r="J152" s="13">
        <v>0</v>
      </c>
      <c r="K152" s="14">
        <f t="shared" si="9"/>
        <v>0</v>
      </c>
      <c r="L152" s="13">
        <v>0</v>
      </c>
      <c r="M152" s="13">
        <v>0</v>
      </c>
      <c r="N152" s="14">
        <f t="shared" si="10"/>
        <v>0</v>
      </c>
      <c r="O152" s="14">
        <f t="shared" si="10"/>
        <v>0</v>
      </c>
      <c r="P152" s="4">
        <f t="shared" si="10"/>
        <v>0</v>
      </c>
      <c r="Q152" s="4"/>
      <c r="T152" s="17"/>
    </row>
    <row r="153" spans="2:20" x14ac:dyDescent="0.4">
      <c r="B153" s="16">
        <v>42726</v>
      </c>
      <c r="C153" s="11">
        <v>18900</v>
      </c>
      <c r="D153" s="11">
        <v>18900</v>
      </c>
      <c r="E153" s="11">
        <v>18900</v>
      </c>
      <c r="F153" s="11">
        <v>18900</v>
      </c>
      <c r="G153" s="12">
        <v>0</v>
      </c>
      <c r="H153" s="13">
        <f t="shared" si="3"/>
        <v>0</v>
      </c>
      <c r="I153" s="13">
        <v>0</v>
      </c>
      <c r="J153" s="13">
        <v>0</v>
      </c>
      <c r="K153" s="14">
        <f t="shared" si="9"/>
        <v>0</v>
      </c>
      <c r="L153" s="13">
        <v>0</v>
      </c>
      <c r="M153" s="13">
        <v>0</v>
      </c>
      <c r="N153" s="14">
        <f t="shared" si="10"/>
        <v>0</v>
      </c>
      <c r="O153" s="14">
        <f t="shared" si="10"/>
        <v>0</v>
      </c>
      <c r="P153" s="4">
        <f t="shared" si="10"/>
        <v>0</v>
      </c>
      <c r="Q153" s="4"/>
      <c r="T153" s="17"/>
    </row>
    <row r="154" spans="2:20" x14ac:dyDescent="0.4">
      <c r="B154" s="16">
        <v>42727</v>
      </c>
      <c r="C154" s="11">
        <v>18900</v>
      </c>
      <c r="D154" s="11">
        <v>18900</v>
      </c>
      <c r="E154" s="11">
        <v>18900</v>
      </c>
      <c r="F154" s="11">
        <v>18900</v>
      </c>
      <c r="G154" s="12">
        <v>0</v>
      </c>
      <c r="H154" s="13">
        <f t="shared" si="3"/>
        <v>0</v>
      </c>
      <c r="I154" s="13">
        <v>0</v>
      </c>
      <c r="J154" s="13">
        <v>0</v>
      </c>
      <c r="K154" s="14">
        <f t="shared" si="9"/>
        <v>0</v>
      </c>
      <c r="L154" s="13">
        <v>0</v>
      </c>
      <c r="M154" s="13">
        <v>0</v>
      </c>
      <c r="N154" s="14">
        <f t="shared" si="10"/>
        <v>0</v>
      </c>
      <c r="O154" s="14">
        <f t="shared" si="10"/>
        <v>0</v>
      </c>
      <c r="P154" s="4">
        <f t="shared" si="10"/>
        <v>0</v>
      </c>
      <c r="Q154" s="4" t="str">
        <f>IFERROR(SUM(M150:M154)/SUM(J150:J154),"")</f>
        <v/>
      </c>
      <c r="T154" s="17"/>
    </row>
    <row r="155" spans="2:20" x14ac:dyDescent="0.4">
      <c r="B155" s="16">
        <v>42730</v>
      </c>
      <c r="C155" s="11">
        <v>18900</v>
      </c>
      <c r="D155" s="11">
        <v>18900</v>
      </c>
      <c r="E155" s="11">
        <v>18900</v>
      </c>
      <c r="F155" s="11">
        <v>18900</v>
      </c>
      <c r="G155" s="12">
        <v>0</v>
      </c>
      <c r="H155" s="13">
        <f t="shared" si="3"/>
        <v>0</v>
      </c>
      <c r="I155" s="13">
        <v>0</v>
      </c>
      <c r="J155" s="13">
        <v>0</v>
      </c>
      <c r="K155" s="14">
        <f t="shared" si="9"/>
        <v>0</v>
      </c>
      <c r="L155" s="13">
        <v>0</v>
      </c>
      <c r="M155" s="13">
        <v>0</v>
      </c>
      <c r="N155" s="14">
        <f t="shared" si="10"/>
        <v>0</v>
      </c>
      <c r="O155" s="14">
        <f t="shared" si="10"/>
        <v>0</v>
      </c>
      <c r="P155" s="4">
        <f t="shared" si="10"/>
        <v>0</v>
      </c>
      <c r="Q155" s="4"/>
      <c r="T155" s="17"/>
    </row>
    <row r="156" spans="2:20" x14ac:dyDescent="0.4">
      <c r="B156" s="16">
        <v>42731</v>
      </c>
      <c r="C156" s="11">
        <v>18900</v>
      </c>
      <c r="D156" s="11">
        <v>18900</v>
      </c>
      <c r="E156" s="11">
        <v>18900</v>
      </c>
      <c r="F156" s="11">
        <v>18900</v>
      </c>
      <c r="G156" s="12">
        <v>0</v>
      </c>
      <c r="H156" s="13">
        <f t="shared" si="3"/>
        <v>0</v>
      </c>
      <c r="I156" s="13">
        <v>0</v>
      </c>
      <c r="J156" s="13">
        <v>0</v>
      </c>
      <c r="K156" s="14">
        <f t="shared" si="9"/>
        <v>0</v>
      </c>
      <c r="L156" s="13">
        <v>0</v>
      </c>
      <c r="M156" s="13">
        <v>0</v>
      </c>
      <c r="N156" s="14">
        <f t="shared" si="10"/>
        <v>0</v>
      </c>
      <c r="O156" s="14">
        <f t="shared" si="10"/>
        <v>0</v>
      </c>
      <c r="P156" s="4">
        <f t="shared" si="10"/>
        <v>0</v>
      </c>
      <c r="Q156" s="4"/>
      <c r="T156" s="17"/>
    </row>
    <row r="157" spans="2:20" x14ac:dyDescent="0.4">
      <c r="B157" s="16">
        <v>42732</v>
      </c>
      <c r="C157" s="11">
        <v>18900</v>
      </c>
      <c r="D157" s="11">
        <v>18900</v>
      </c>
      <c r="E157" s="11">
        <v>18900</v>
      </c>
      <c r="F157" s="11">
        <v>18900</v>
      </c>
      <c r="G157" s="12">
        <v>0</v>
      </c>
      <c r="H157" s="13">
        <f t="shared" si="3"/>
        <v>0</v>
      </c>
      <c r="I157" s="13">
        <v>0</v>
      </c>
      <c r="J157" s="13">
        <v>0</v>
      </c>
      <c r="K157" s="14">
        <f t="shared" si="9"/>
        <v>0</v>
      </c>
      <c r="L157" s="13">
        <v>0</v>
      </c>
      <c r="M157" s="13">
        <v>0</v>
      </c>
      <c r="N157" s="14">
        <f t="shared" si="10"/>
        <v>0</v>
      </c>
      <c r="O157" s="14">
        <f t="shared" si="10"/>
        <v>0</v>
      </c>
      <c r="P157" s="4">
        <f t="shared" si="10"/>
        <v>0</v>
      </c>
      <c r="Q157" s="4"/>
      <c r="T157" s="17"/>
    </row>
    <row r="158" spans="2:20" x14ac:dyDescent="0.4">
      <c r="B158" s="16">
        <v>42733</v>
      </c>
      <c r="C158" s="11">
        <v>18900</v>
      </c>
      <c r="D158" s="11">
        <v>18900</v>
      </c>
      <c r="E158" s="11">
        <v>18900</v>
      </c>
      <c r="F158" s="11">
        <v>18900</v>
      </c>
      <c r="G158" s="12">
        <v>0</v>
      </c>
      <c r="H158" s="13">
        <f t="shared" si="3"/>
        <v>0</v>
      </c>
      <c r="I158" s="13">
        <v>0</v>
      </c>
      <c r="J158" s="13">
        <v>0</v>
      </c>
      <c r="K158" s="14">
        <f t="shared" si="9"/>
        <v>0</v>
      </c>
      <c r="L158" s="13">
        <v>0</v>
      </c>
      <c r="M158" s="13">
        <v>0</v>
      </c>
      <c r="N158" s="14">
        <f t="shared" si="10"/>
        <v>0</v>
      </c>
      <c r="O158" s="14">
        <f t="shared" si="10"/>
        <v>0</v>
      </c>
      <c r="P158" s="4">
        <f t="shared" si="10"/>
        <v>0</v>
      </c>
      <c r="Q158" s="4" t="str">
        <f>IFERROR(SUM(M155:M158)/SUM(J155:J158),"")</f>
        <v/>
      </c>
      <c r="T158" s="17"/>
    </row>
    <row r="159" spans="2:20" x14ac:dyDescent="0.4">
      <c r="B159" s="16">
        <v>42737</v>
      </c>
      <c r="C159" s="11">
        <v>18900</v>
      </c>
      <c r="D159" s="11">
        <v>18900</v>
      </c>
      <c r="E159" s="11">
        <v>18900</v>
      </c>
      <c r="F159" s="11">
        <v>18900</v>
      </c>
      <c r="G159" s="12">
        <v>0</v>
      </c>
      <c r="H159" s="13">
        <f t="shared" si="3"/>
        <v>0</v>
      </c>
      <c r="I159" s="13">
        <v>0</v>
      </c>
      <c r="J159" s="13">
        <v>0</v>
      </c>
      <c r="K159" s="14">
        <f t="shared" si="9"/>
        <v>0</v>
      </c>
      <c r="L159" s="13">
        <v>0</v>
      </c>
      <c r="M159" s="13">
        <v>0</v>
      </c>
      <c r="N159" s="14">
        <f t="shared" si="10"/>
        <v>0</v>
      </c>
      <c r="O159" s="14">
        <f t="shared" si="10"/>
        <v>0</v>
      </c>
      <c r="P159" s="4">
        <f t="shared" si="10"/>
        <v>0</v>
      </c>
      <c r="Q159" s="4"/>
      <c r="T159" s="17"/>
    </row>
    <row r="160" spans="2:20" x14ac:dyDescent="0.4">
      <c r="B160" s="16">
        <v>42738</v>
      </c>
      <c r="C160" s="11">
        <v>18900</v>
      </c>
      <c r="D160" s="11">
        <v>18900</v>
      </c>
      <c r="E160" s="11">
        <v>18900</v>
      </c>
      <c r="F160" s="11">
        <v>18900</v>
      </c>
      <c r="G160" s="12">
        <v>0</v>
      </c>
      <c r="H160" s="13">
        <f t="shared" si="3"/>
        <v>0</v>
      </c>
      <c r="I160" s="13">
        <v>0</v>
      </c>
      <c r="J160" s="13">
        <v>0</v>
      </c>
      <c r="K160" s="14">
        <f t="shared" si="9"/>
        <v>0</v>
      </c>
      <c r="L160" s="13">
        <v>0</v>
      </c>
      <c r="M160" s="13">
        <v>0</v>
      </c>
      <c r="N160" s="14">
        <f t="shared" si="10"/>
        <v>0</v>
      </c>
      <c r="O160" s="14">
        <f t="shared" si="10"/>
        <v>0</v>
      </c>
      <c r="P160" s="4">
        <f t="shared" si="10"/>
        <v>0</v>
      </c>
      <c r="Q160" s="4"/>
      <c r="T160" s="17"/>
    </row>
    <row r="161" spans="2:20" x14ac:dyDescent="0.4">
      <c r="B161" s="16">
        <v>42739</v>
      </c>
      <c r="C161" s="11">
        <v>18900</v>
      </c>
      <c r="D161" s="11">
        <v>18900</v>
      </c>
      <c r="E161" s="11">
        <v>18900</v>
      </c>
      <c r="F161" s="11">
        <v>18900</v>
      </c>
      <c r="G161" s="12">
        <v>0</v>
      </c>
      <c r="H161" s="13">
        <f t="shared" si="3"/>
        <v>0</v>
      </c>
      <c r="I161" s="13">
        <v>0</v>
      </c>
      <c r="J161" s="13">
        <v>0</v>
      </c>
      <c r="K161" s="14">
        <f t="shared" si="9"/>
        <v>0</v>
      </c>
      <c r="L161" s="13">
        <v>0</v>
      </c>
      <c r="M161" s="13">
        <v>0</v>
      </c>
      <c r="N161" s="14">
        <f t="shared" si="10"/>
        <v>0</v>
      </c>
      <c r="O161" s="14">
        <f t="shared" si="10"/>
        <v>0</v>
      </c>
      <c r="P161" s="4">
        <f t="shared" si="10"/>
        <v>0</v>
      </c>
      <c r="Q161" s="4"/>
      <c r="T161" s="17"/>
    </row>
    <row r="162" spans="2:20" x14ac:dyDescent="0.4">
      <c r="B162" s="16">
        <v>42740</v>
      </c>
      <c r="C162" s="11">
        <v>18900</v>
      </c>
      <c r="D162" s="11">
        <v>18900</v>
      </c>
      <c r="E162" s="11">
        <v>18900</v>
      </c>
      <c r="F162" s="11">
        <v>18900</v>
      </c>
      <c r="G162" s="12">
        <v>0</v>
      </c>
      <c r="H162" s="13">
        <f t="shared" si="3"/>
        <v>0</v>
      </c>
      <c r="I162" s="13">
        <v>0</v>
      </c>
      <c r="J162" s="13">
        <v>0</v>
      </c>
      <c r="K162" s="14">
        <f t="shared" si="9"/>
        <v>0</v>
      </c>
      <c r="L162" s="13">
        <v>0</v>
      </c>
      <c r="M162" s="13">
        <v>0</v>
      </c>
      <c r="N162" s="14">
        <f t="shared" si="10"/>
        <v>0</v>
      </c>
      <c r="O162" s="14">
        <f t="shared" si="10"/>
        <v>0</v>
      </c>
      <c r="P162" s="4">
        <f t="shared" si="10"/>
        <v>0</v>
      </c>
      <c r="Q162" s="4"/>
      <c r="T162" s="17"/>
    </row>
    <row r="163" spans="2:20" x14ac:dyDescent="0.4">
      <c r="B163" s="16">
        <v>42741</v>
      </c>
      <c r="C163" s="11">
        <v>19000</v>
      </c>
      <c r="D163" s="25">
        <v>19000</v>
      </c>
      <c r="E163" s="11">
        <v>19000</v>
      </c>
      <c r="F163" s="11">
        <v>19000</v>
      </c>
      <c r="G163" s="12">
        <v>0.53</v>
      </c>
      <c r="H163" s="13">
        <f t="shared" si="3"/>
        <v>0</v>
      </c>
      <c r="I163" s="13">
        <v>0</v>
      </c>
      <c r="J163" s="13">
        <v>0</v>
      </c>
      <c r="K163" s="14">
        <f t="shared" si="9"/>
        <v>0</v>
      </c>
      <c r="L163" s="13">
        <v>0</v>
      </c>
      <c r="M163" s="13">
        <v>0</v>
      </c>
      <c r="N163" s="14">
        <f t="shared" si="10"/>
        <v>0</v>
      </c>
      <c r="O163" s="14">
        <f t="shared" si="10"/>
        <v>0</v>
      </c>
      <c r="P163" s="4">
        <f t="shared" si="10"/>
        <v>0</v>
      </c>
      <c r="Q163" s="4" t="str">
        <f>IFERROR(SUM(M160:M163)/SUM(J160:J163),"")</f>
        <v/>
      </c>
      <c r="T163" s="17"/>
    </row>
    <row r="164" spans="2:20" x14ac:dyDescent="0.4">
      <c r="B164" s="16">
        <v>42744</v>
      </c>
      <c r="C164" s="11">
        <v>19000</v>
      </c>
      <c r="D164" s="25">
        <v>19000</v>
      </c>
      <c r="E164" s="11">
        <v>19000</v>
      </c>
      <c r="F164" s="11">
        <v>19000</v>
      </c>
      <c r="G164" s="12">
        <v>0</v>
      </c>
      <c r="H164" s="13">
        <f t="shared" si="3"/>
        <v>0</v>
      </c>
      <c r="I164" s="13">
        <v>0</v>
      </c>
      <c r="J164" s="13">
        <v>0</v>
      </c>
      <c r="K164" s="14">
        <f t="shared" si="9"/>
        <v>0</v>
      </c>
      <c r="L164" s="13">
        <v>0</v>
      </c>
      <c r="M164" s="13">
        <v>0</v>
      </c>
      <c r="N164" s="14">
        <f t="shared" si="10"/>
        <v>0</v>
      </c>
      <c r="O164" s="14">
        <f t="shared" si="10"/>
        <v>0</v>
      </c>
      <c r="P164" s="4">
        <f t="shared" si="10"/>
        <v>0</v>
      </c>
      <c r="Q164" s="4"/>
      <c r="T164" s="17"/>
    </row>
    <row r="165" spans="2:20" x14ac:dyDescent="0.4">
      <c r="B165" s="16">
        <v>42745</v>
      </c>
      <c r="C165" s="11">
        <v>19000</v>
      </c>
      <c r="D165" s="25">
        <v>19000</v>
      </c>
      <c r="E165" s="11">
        <v>19000</v>
      </c>
      <c r="F165" s="11">
        <v>19000</v>
      </c>
      <c r="G165" s="12">
        <v>0</v>
      </c>
      <c r="H165" s="13">
        <f t="shared" si="3"/>
        <v>0</v>
      </c>
      <c r="I165" s="13">
        <v>0</v>
      </c>
      <c r="J165" s="13">
        <v>0</v>
      </c>
      <c r="K165" s="14">
        <f t="shared" si="9"/>
        <v>0</v>
      </c>
      <c r="L165" s="13">
        <v>0</v>
      </c>
      <c r="M165" s="13">
        <v>0</v>
      </c>
      <c r="N165" s="14">
        <f t="shared" si="10"/>
        <v>0</v>
      </c>
      <c r="O165" s="14">
        <f t="shared" si="10"/>
        <v>0</v>
      </c>
      <c r="P165" s="4">
        <f t="shared" si="10"/>
        <v>0</v>
      </c>
      <c r="Q165" s="4"/>
      <c r="T165" s="17"/>
    </row>
    <row r="166" spans="2:20" x14ac:dyDescent="0.4">
      <c r="B166" s="16">
        <v>42746</v>
      </c>
      <c r="C166" s="11">
        <v>19000</v>
      </c>
      <c r="D166" s="25">
        <v>19000</v>
      </c>
      <c r="E166" s="11">
        <v>19000</v>
      </c>
      <c r="F166" s="11">
        <v>19000</v>
      </c>
      <c r="G166" s="12">
        <v>0</v>
      </c>
      <c r="H166" s="13">
        <f t="shared" si="3"/>
        <v>0</v>
      </c>
      <c r="I166" s="13">
        <v>0</v>
      </c>
      <c r="J166" s="13">
        <v>0</v>
      </c>
      <c r="K166" s="14">
        <f t="shared" si="9"/>
        <v>0</v>
      </c>
      <c r="L166" s="13">
        <v>0</v>
      </c>
      <c r="M166" s="13">
        <v>0</v>
      </c>
      <c r="N166" s="14">
        <f t="shared" si="10"/>
        <v>0</v>
      </c>
      <c r="O166" s="14">
        <f t="shared" si="10"/>
        <v>0</v>
      </c>
      <c r="P166" s="4">
        <f t="shared" si="10"/>
        <v>0</v>
      </c>
      <c r="Q166" s="4"/>
      <c r="T166" s="17"/>
    </row>
    <row r="167" spans="2:20" x14ac:dyDescent="0.4">
      <c r="B167" s="16">
        <v>42747</v>
      </c>
      <c r="C167" s="11">
        <v>19000</v>
      </c>
      <c r="D167" s="25">
        <v>19000</v>
      </c>
      <c r="E167" s="11">
        <v>19000</v>
      </c>
      <c r="F167" s="11">
        <v>19000</v>
      </c>
      <c r="G167" s="12">
        <v>0</v>
      </c>
      <c r="H167" s="13">
        <f t="shared" si="3"/>
        <v>0</v>
      </c>
      <c r="I167" s="13">
        <v>0</v>
      </c>
      <c r="J167" s="13">
        <v>0</v>
      </c>
      <c r="K167" s="14">
        <f t="shared" si="9"/>
        <v>0</v>
      </c>
      <c r="L167" s="13">
        <v>0</v>
      </c>
      <c r="M167" s="13">
        <v>0</v>
      </c>
      <c r="N167" s="14">
        <f t="shared" si="10"/>
        <v>0</v>
      </c>
      <c r="O167" s="14">
        <f t="shared" si="10"/>
        <v>0</v>
      </c>
      <c r="P167" s="4">
        <f t="shared" si="10"/>
        <v>0</v>
      </c>
      <c r="Q167" s="4"/>
      <c r="T167" s="17"/>
    </row>
    <row r="168" spans="2:20" x14ac:dyDescent="0.4">
      <c r="B168" s="16">
        <v>42748</v>
      </c>
      <c r="C168" s="11">
        <v>19000</v>
      </c>
      <c r="D168" s="11">
        <v>19000</v>
      </c>
      <c r="E168" s="11">
        <v>19000</v>
      </c>
      <c r="F168" s="11">
        <v>19000</v>
      </c>
      <c r="G168" s="12">
        <v>0</v>
      </c>
      <c r="H168" s="13">
        <f t="shared" si="3"/>
        <v>0</v>
      </c>
      <c r="I168" s="13">
        <v>0</v>
      </c>
      <c r="J168" s="13">
        <v>0</v>
      </c>
      <c r="K168" s="14">
        <f t="shared" si="9"/>
        <v>0</v>
      </c>
      <c r="L168" s="13">
        <v>0</v>
      </c>
      <c r="M168" s="13">
        <v>0</v>
      </c>
      <c r="N168" s="14">
        <f t="shared" si="10"/>
        <v>0</v>
      </c>
      <c r="O168" s="14">
        <f t="shared" si="10"/>
        <v>0</v>
      </c>
      <c r="P168" s="4">
        <f t="shared" si="10"/>
        <v>0</v>
      </c>
      <c r="Q168" s="4" t="str">
        <f>IFERROR(SUM(M165:M168)/SUM(J165:J168),"")</f>
        <v/>
      </c>
      <c r="T168" s="17"/>
    </row>
    <row r="169" spans="2:20" x14ac:dyDescent="0.4">
      <c r="B169" s="16">
        <v>42751</v>
      </c>
      <c r="C169" s="11">
        <v>19000</v>
      </c>
      <c r="D169" s="11">
        <v>19000</v>
      </c>
      <c r="E169" s="11">
        <v>19000</v>
      </c>
      <c r="F169" s="11">
        <v>19000</v>
      </c>
      <c r="G169" s="12">
        <v>0</v>
      </c>
      <c r="H169" s="13">
        <f t="shared" si="3"/>
        <v>0</v>
      </c>
      <c r="I169" s="13">
        <v>0</v>
      </c>
      <c r="J169" s="13">
        <v>0</v>
      </c>
      <c r="K169" s="14">
        <f t="shared" si="9"/>
        <v>0</v>
      </c>
      <c r="L169" s="13">
        <v>0</v>
      </c>
      <c r="M169" s="13">
        <v>0</v>
      </c>
      <c r="N169" s="14">
        <f t="shared" si="10"/>
        <v>0</v>
      </c>
      <c r="O169" s="14">
        <f t="shared" si="10"/>
        <v>0</v>
      </c>
      <c r="P169" s="4">
        <f t="shared" si="10"/>
        <v>0</v>
      </c>
      <c r="Q169" s="4"/>
      <c r="T169" s="17"/>
    </row>
    <row r="170" spans="2:20" x14ac:dyDescent="0.4">
      <c r="B170" s="16">
        <v>42752</v>
      </c>
      <c r="C170" s="11">
        <v>19000</v>
      </c>
      <c r="D170" s="11">
        <v>19000</v>
      </c>
      <c r="E170" s="11">
        <v>19000</v>
      </c>
      <c r="F170" s="11">
        <v>19000</v>
      </c>
      <c r="G170" s="12">
        <v>0</v>
      </c>
      <c r="H170" s="13">
        <f t="shared" si="3"/>
        <v>0</v>
      </c>
      <c r="I170" s="13">
        <v>0</v>
      </c>
      <c r="J170" s="13">
        <v>0</v>
      </c>
      <c r="K170" s="14">
        <f t="shared" si="9"/>
        <v>0</v>
      </c>
      <c r="L170" s="13">
        <v>0</v>
      </c>
      <c r="M170" s="13">
        <v>0</v>
      </c>
      <c r="N170" s="14">
        <f t="shared" si="10"/>
        <v>0</v>
      </c>
      <c r="O170" s="14">
        <f t="shared" si="10"/>
        <v>0</v>
      </c>
      <c r="P170" s="4">
        <f t="shared" si="10"/>
        <v>0</v>
      </c>
      <c r="Q170" s="4"/>
      <c r="T170" s="17"/>
    </row>
    <row r="171" spans="2:20" x14ac:dyDescent="0.4">
      <c r="B171" s="16">
        <v>42753</v>
      </c>
      <c r="C171" s="11">
        <v>19000</v>
      </c>
      <c r="D171" s="11">
        <v>19000</v>
      </c>
      <c r="E171" s="11">
        <v>19000</v>
      </c>
      <c r="F171" s="11">
        <v>19000</v>
      </c>
      <c r="G171" s="12">
        <v>0</v>
      </c>
      <c r="H171" s="13">
        <f t="shared" si="3"/>
        <v>0</v>
      </c>
      <c r="I171" s="13">
        <v>0</v>
      </c>
      <c r="J171" s="13">
        <v>0</v>
      </c>
      <c r="K171" s="14">
        <f t="shared" si="9"/>
        <v>0</v>
      </c>
      <c r="L171" s="13">
        <v>0</v>
      </c>
      <c r="M171" s="13">
        <v>0</v>
      </c>
      <c r="N171" s="14">
        <f t="shared" si="10"/>
        <v>0</v>
      </c>
      <c r="O171" s="14">
        <f t="shared" si="10"/>
        <v>0</v>
      </c>
      <c r="P171" s="4">
        <f t="shared" si="10"/>
        <v>0</v>
      </c>
      <c r="Q171" s="4"/>
      <c r="T171" s="17"/>
    </row>
    <row r="172" spans="2:20" x14ac:dyDescent="0.4">
      <c r="B172" s="16">
        <v>42754</v>
      </c>
      <c r="C172" s="11">
        <v>19000</v>
      </c>
      <c r="D172" s="11">
        <v>19000</v>
      </c>
      <c r="E172" s="11">
        <v>19000</v>
      </c>
      <c r="F172" s="11">
        <v>19000</v>
      </c>
      <c r="G172" s="12">
        <v>0</v>
      </c>
      <c r="H172" s="13">
        <f t="shared" si="3"/>
        <v>0</v>
      </c>
      <c r="I172" s="13">
        <v>0</v>
      </c>
      <c r="J172" s="13">
        <v>0</v>
      </c>
      <c r="K172" s="14">
        <f t="shared" si="9"/>
        <v>0</v>
      </c>
      <c r="L172" s="13">
        <v>0</v>
      </c>
      <c r="M172" s="13">
        <v>0</v>
      </c>
      <c r="N172" s="14">
        <f t="shared" si="10"/>
        <v>0</v>
      </c>
      <c r="O172" s="14">
        <f t="shared" si="10"/>
        <v>0</v>
      </c>
      <c r="P172" s="4">
        <f t="shared" si="10"/>
        <v>0</v>
      </c>
      <c r="Q172" s="4"/>
      <c r="T172" s="17"/>
    </row>
    <row r="173" spans="2:20" x14ac:dyDescent="0.4">
      <c r="B173" s="16">
        <v>42755</v>
      </c>
      <c r="C173" s="11">
        <v>19000</v>
      </c>
      <c r="D173" s="11">
        <v>19000</v>
      </c>
      <c r="E173" s="11">
        <v>19000</v>
      </c>
      <c r="F173" s="11">
        <v>19000</v>
      </c>
      <c r="G173" s="12">
        <v>0</v>
      </c>
      <c r="H173" s="13">
        <f t="shared" si="3"/>
        <v>0</v>
      </c>
      <c r="I173" s="13">
        <v>0</v>
      </c>
      <c r="J173" s="13">
        <v>0</v>
      </c>
      <c r="K173" s="14">
        <f t="shared" si="9"/>
        <v>0</v>
      </c>
      <c r="L173" s="13">
        <v>0</v>
      </c>
      <c r="M173" s="13">
        <v>0</v>
      </c>
      <c r="N173" s="14">
        <f t="shared" si="10"/>
        <v>0</v>
      </c>
      <c r="O173" s="14">
        <f t="shared" si="10"/>
        <v>0</v>
      </c>
      <c r="P173" s="4">
        <f t="shared" si="10"/>
        <v>0</v>
      </c>
      <c r="Q173" s="4" t="str">
        <f>IFERROR(SUM(M170:M173)/SUM(J170:J173),"")</f>
        <v/>
      </c>
      <c r="T173" s="17"/>
    </row>
    <row r="174" spans="2:20" x14ac:dyDescent="0.4">
      <c r="B174" s="16">
        <v>42758</v>
      </c>
      <c r="C174" s="11">
        <v>19000</v>
      </c>
      <c r="D174" s="11">
        <v>19000</v>
      </c>
      <c r="E174" s="11">
        <v>19000</v>
      </c>
      <c r="F174" s="11">
        <v>19000</v>
      </c>
      <c r="G174" s="12">
        <v>0</v>
      </c>
      <c r="H174" s="13">
        <f t="shared" si="3"/>
        <v>0</v>
      </c>
      <c r="I174" s="13">
        <v>0</v>
      </c>
      <c r="J174" s="13">
        <v>0</v>
      </c>
      <c r="K174" s="14">
        <f t="shared" si="9"/>
        <v>0</v>
      </c>
      <c r="L174" s="13">
        <v>0</v>
      </c>
      <c r="M174" s="13">
        <v>0</v>
      </c>
      <c r="N174" s="14">
        <f t="shared" si="10"/>
        <v>0</v>
      </c>
      <c r="O174" s="14">
        <f t="shared" si="10"/>
        <v>0</v>
      </c>
      <c r="P174" s="4">
        <f t="shared" si="10"/>
        <v>0</v>
      </c>
      <c r="Q174" s="4"/>
      <c r="T174" s="17"/>
    </row>
    <row r="175" spans="2:20" x14ac:dyDescent="0.4">
      <c r="B175" s="16">
        <v>42759</v>
      </c>
      <c r="C175" s="11">
        <v>19000</v>
      </c>
      <c r="D175" s="11">
        <v>19000</v>
      </c>
      <c r="E175" s="11">
        <v>19000</v>
      </c>
      <c r="F175" s="11">
        <v>19000</v>
      </c>
      <c r="G175" s="12">
        <v>0</v>
      </c>
      <c r="H175" s="13">
        <f t="shared" si="3"/>
        <v>0</v>
      </c>
      <c r="I175" s="13">
        <v>0</v>
      </c>
      <c r="J175" s="13">
        <v>0</v>
      </c>
      <c r="K175" s="14">
        <f t="shared" si="9"/>
        <v>0</v>
      </c>
      <c r="L175" s="13">
        <v>0</v>
      </c>
      <c r="M175" s="13">
        <v>0</v>
      </c>
      <c r="N175" s="14">
        <f t="shared" si="10"/>
        <v>0</v>
      </c>
      <c r="O175" s="14">
        <f t="shared" si="10"/>
        <v>0</v>
      </c>
      <c r="P175" s="4">
        <f t="shared" si="10"/>
        <v>0</v>
      </c>
      <c r="Q175" s="4"/>
      <c r="T175" s="17"/>
    </row>
    <row r="176" spans="2:20" x14ac:dyDescent="0.4">
      <c r="B176" s="16">
        <v>42760</v>
      </c>
      <c r="C176" s="11">
        <v>20900</v>
      </c>
      <c r="D176" s="25">
        <v>20900</v>
      </c>
      <c r="E176" s="11">
        <v>20900</v>
      </c>
      <c r="F176" s="11">
        <v>20900</v>
      </c>
      <c r="G176" s="12">
        <v>10</v>
      </c>
      <c r="H176" s="13">
        <f t="shared" si="3"/>
        <v>5000</v>
      </c>
      <c r="I176" s="13">
        <v>0</v>
      </c>
      <c r="J176" s="13">
        <v>5000</v>
      </c>
      <c r="K176" s="14">
        <f t="shared" si="9"/>
        <v>104500000</v>
      </c>
      <c r="L176" s="13">
        <v>0</v>
      </c>
      <c r="M176" s="13">
        <v>104500000</v>
      </c>
      <c r="N176" s="14">
        <f t="shared" si="10"/>
        <v>20900</v>
      </c>
      <c r="O176" s="14">
        <f t="shared" si="10"/>
        <v>0</v>
      </c>
      <c r="P176" s="4">
        <f t="shared" si="10"/>
        <v>20900</v>
      </c>
      <c r="Q176" s="4"/>
      <c r="T176" s="17"/>
    </row>
    <row r="177" spans="2:20" x14ac:dyDescent="0.4">
      <c r="B177" s="16">
        <v>42761</v>
      </c>
      <c r="C177" s="11">
        <v>21000</v>
      </c>
      <c r="D177" s="11">
        <v>21000</v>
      </c>
      <c r="E177" s="11">
        <v>21000</v>
      </c>
      <c r="F177" s="11">
        <v>21000</v>
      </c>
      <c r="G177" s="12">
        <v>0.48</v>
      </c>
      <c r="H177" s="13">
        <f t="shared" si="3"/>
        <v>0</v>
      </c>
      <c r="I177" s="13">
        <v>0</v>
      </c>
      <c r="J177" s="13">
        <v>0</v>
      </c>
      <c r="K177" s="14">
        <f t="shared" si="9"/>
        <v>0</v>
      </c>
      <c r="L177" s="13">
        <v>0</v>
      </c>
      <c r="M177" s="13">
        <v>0</v>
      </c>
      <c r="N177" s="14">
        <f t="shared" si="10"/>
        <v>0</v>
      </c>
      <c r="O177" s="14">
        <f t="shared" si="10"/>
        <v>0</v>
      </c>
      <c r="P177" s="4">
        <f t="shared" si="10"/>
        <v>0</v>
      </c>
      <c r="Q177" s="4">
        <f>IFERROR(SUM(M174:M177)/SUM(J174:J177),"")</f>
        <v>20900</v>
      </c>
      <c r="T177" s="17"/>
    </row>
    <row r="178" spans="2:20" x14ac:dyDescent="0.4">
      <c r="B178" s="16">
        <v>42766</v>
      </c>
      <c r="C178" s="11">
        <v>21000</v>
      </c>
      <c r="D178" s="11">
        <v>21000</v>
      </c>
      <c r="E178" s="11">
        <v>21000</v>
      </c>
      <c r="F178" s="11">
        <v>21000</v>
      </c>
      <c r="G178" s="12">
        <v>0</v>
      </c>
      <c r="H178" s="13">
        <f t="shared" si="3"/>
        <v>0</v>
      </c>
      <c r="I178" s="13">
        <v>0</v>
      </c>
      <c r="J178" s="13">
        <v>0</v>
      </c>
      <c r="K178" s="14">
        <f t="shared" si="9"/>
        <v>0</v>
      </c>
      <c r="L178" s="13">
        <v>0</v>
      </c>
      <c r="M178" s="13">
        <v>0</v>
      </c>
      <c r="N178" s="14">
        <f t="shared" si="10"/>
        <v>0</v>
      </c>
      <c r="O178" s="14">
        <f t="shared" si="10"/>
        <v>0</v>
      </c>
      <c r="P178" s="4">
        <f t="shared" si="10"/>
        <v>0</v>
      </c>
      <c r="Q178" s="4"/>
      <c r="T178" s="17"/>
    </row>
    <row r="179" spans="2:20" x14ac:dyDescent="0.4">
      <c r="B179" s="16">
        <v>42767</v>
      </c>
      <c r="C179" s="11">
        <v>21000</v>
      </c>
      <c r="D179" s="11">
        <v>21000</v>
      </c>
      <c r="E179" s="11">
        <v>21000</v>
      </c>
      <c r="F179" s="11">
        <v>21000</v>
      </c>
      <c r="G179" s="12">
        <v>0</v>
      </c>
      <c r="H179" s="13">
        <f t="shared" si="3"/>
        <v>0</v>
      </c>
      <c r="I179" s="13">
        <v>0</v>
      </c>
      <c r="J179" s="13">
        <v>0</v>
      </c>
      <c r="K179" s="14">
        <f t="shared" si="9"/>
        <v>0</v>
      </c>
      <c r="L179" s="13">
        <v>0</v>
      </c>
      <c r="M179" s="13">
        <v>0</v>
      </c>
      <c r="N179" s="14">
        <f t="shared" si="10"/>
        <v>0</v>
      </c>
      <c r="O179" s="14">
        <f t="shared" si="10"/>
        <v>0</v>
      </c>
      <c r="P179" s="4">
        <f t="shared" si="10"/>
        <v>0</v>
      </c>
      <c r="Q179" s="4"/>
      <c r="T179" s="17"/>
    </row>
    <row r="180" spans="2:20" x14ac:dyDescent="0.4">
      <c r="B180" s="16">
        <v>42768</v>
      </c>
      <c r="C180" s="11">
        <v>21550</v>
      </c>
      <c r="D180" s="11">
        <v>21550</v>
      </c>
      <c r="E180" s="11">
        <v>21550</v>
      </c>
      <c r="F180" s="11">
        <v>21550</v>
      </c>
      <c r="G180" s="12">
        <v>2.62</v>
      </c>
      <c r="H180" s="13">
        <f t="shared" si="3"/>
        <v>0</v>
      </c>
      <c r="I180" s="13">
        <v>0</v>
      </c>
      <c r="J180" s="13">
        <v>0</v>
      </c>
      <c r="K180" s="14">
        <f t="shared" si="9"/>
        <v>0</v>
      </c>
      <c r="L180" s="13">
        <v>0</v>
      </c>
      <c r="M180" s="13">
        <v>0</v>
      </c>
      <c r="N180" s="14">
        <f t="shared" si="10"/>
        <v>0</v>
      </c>
      <c r="O180" s="14">
        <f t="shared" si="10"/>
        <v>0</v>
      </c>
      <c r="P180" s="4">
        <f t="shared" si="10"/>
        <v>0</v>
      </c>
      <c r="Q180" s="4"/>
      <c r="T180" s="17"/>
    </row>
    <row r="181" spans="2:20" x14ac:dyDescent="0.4">
      <c r="B181" s="16">
        <v>42769</v>
      </c>
      <c r="C181" s="11">
        <v>22500</v>
      </c>
      <c r="D181" s="11">
        <v>22500</v>
      </c>
      <c r="E181" s="11">
        <v>22500</v>
      </c>
      <c r="F181" s="11">
        <v>22500</v>
      </c>
      <c r="G181" s="12">
        <v>4.41</v>
      </c>
      <c r="H181" s="13">
        <f t="shared" si="3"/>
        <v>0</v>
      </c>
      <c r="I181" s="13">
        <v>0</v>
      </c>
      <c r="J181" s="13">
        <v>0</v>
      </c>
      <c r="K181" s="14">
        <f t="shared" si="9"/>
        <v>0</v>
      </c>
      <c r="L181" s="13">
        <v>0</v>
      </c>
      <c r="M181" s="13">
        <v>0</v>
      </c>
      <c r="N181" s="14">
        <f t="shared" si="10"/>
        <v>0</v>
      </c>
      <c r="O181" s="14">
        <f t="shared" si="10"/>
        <v>0</v>
      </c>
      <c r="P181" s="4">
        <f t="shared" si="10"/>
        <v>0</v>
      </c>
      <c r="Q181" s="4" t="str">
        <f>IFERROR(SUM(M178:M181)/SUM(J178:J181),"")</f>
        <v/>
      </c>
      <c r="T181" s="17"/>
    </row>
    <row r="182" spans="2:20" x14ac:dyDescent="0.4">
      <c r="B182" s="16">
        <v>42772</v>
      </c>
      <c r="C182" s="11">
        <v>22500</v>
      </c>
      <c r="D182" s="11">
        <v>22500</v>
      </c>
      <c r="E182" s="11">
        <v>22500</v>
      </c>
      <c r="F182" s="11">
        <v>22500</v>
      </c>
      <c r="G182" s="12">
        <v>0</v>
      </c>
      <c r="H182" s="13">
        <f t="shared" si="3"/>
        <v>0</v>
      </c>
      <c r="I182" s="13">
        <v>0</v>
      </c>
      <c r="J182" s="13">
        <v>0</v>
      </c>
      <c r="K182" s="14">
        <f t="shared" si="9"/>
        <v>0</v>
      </c>
      <c r="L182" s="13">
        <v>0</v>
      </c>
      <c r="M182" s="13">
        <v>0</v>
      </c>
      <c r="N182" s="14">
        <f t="shared" si="10"/>
        <v>0</v>
      </c>
      <c r="O182" s="14">
        <f t="shared" si="10"/>
        <v>0</v>
      </c>
      <c r="P182" s="4">
        <f t="shared" si="10"/>
        <v>0</v>
      </c>
      <c r="Q182" s="4"/>
      <c r="T182" s="17"/>
    </row>
    <row r="183" spans="2:20" x14ac:dyDescent="0.4">
      <c r="B183" s="16">
        <v>42773</v>
      </c>
      <c r="C183" s="11">
        <v>24000</v>
      </c>
      <c r="D183" s="25">
        <v>24750</v>
      </c>
      <c r="E183" s="11">
        <v>24000</v>
      </c>
      <c r="F183" s="11">
        <v>24750</v>
      </c>
      <c r="G183" s="12">
        <v>10</v>
      </c>
      <c r="H183" s="13">
        <f t="shared" si="3"/>
        <v>10000</v>
      </c>
      <c r="I183" s="13">
        <v>0</v>
      </c>
      <c r="J183" s="13">
        <v>10000</v>
      </c>
      <c r="K183" s="14">
        <f t="shared" si="9"/>
        <v>243750000</v>
      </c>
      <c r="L183" s="13">
        <v>0</v>
      </c>
      <c r="M183" s="13">
        <v>243750000</v>
      </c>
      <c r="N183" s="14">
        <f t="shared" si="10"/>
        <v>24375</v>
      </c>
      <c r="O183" s="14">
        <f t="shared" si="10"/>
        <v>0</v>
      </c>
      <c r="P183" s="4">
        <f t="shared" si="10"/>
        <v>24375</v>
      </c>
      <c r="Q183" s="4"/>
      <c r="T183" s="17"/>
    </row>
    <row r="184" spans="2:20" x14ac:dyDescent="0.4">
      <c r="B184" s="16">
        <v>42774</v>
      </c>
      <c r="C184" s="11">
        <v>24800</v>
      </c>
      <c r="D184" s="11">
        <v>24800</v>
      </c>
      <c r="E184" s="11">
        <v>24800</v>
      </c>
      <c r="F184" s="11">
        <v>24800</v>
      </c>
      <c r="G184" s="12">
        <v>0.2</v>
      </c>
      <c r="H184" s="13">
        <f t="shared" si="3"/>
        <v>2400</v>
      </c>
      <c r="I184" s="13">
        <v>0</v>
      </c>
      <c r="J184" s="13">
        <v>2400</v>
      </c>
      <c r="K184" s="14">
        <f t="shared" si="9"/>
        <v>59520000</v>
      </c>
      <c r="L184" s="13">
        <v>0</v>
      </c>
      <c r="M184" s="13">
        <v>59520000</v>
      </c>
      <c r="N184" s="14">
        <f t="shared" si="10"/>
        <v>24800</v>
      </c>
      <c r="O184" s="14">
        <f t="shared" si="10"/>
        <v>0</v>
      </c>
      <c r="P184" s="4">
        <f t="shared" si="10"/>
        <v>24800</v>
      </c>
      <c r="Q184" s="4"/>
      <c r="T184" s="17"/>
    </row>
    <row r="185" spans="2:20" x14ac:dyDescent="0.4">
      <c r="B185" s="16">
        <v>42775</v>
      </c>
      <c r="C185" s="11">
        <v>25200</v>
      </c>
      <c r="D185" s="11">
        <v>25200</v>
      </c>
      <c r="E185" s="11">
        <v>25200</v>
      </c>
      <c r="F185" s="11">
        <v>25200</v>
      </c>
      <c r="G185" s="12">
        <v>1.61</v>
      </c>
      <c r="H185" s="13">
        <f t="shared" si="3"/>
        <v>10000</v>
      </c>
      <c r="I185" s="13">
        <v>0</v>
      </c>
      <c r="J185" s="13">
        <v>10000</v>
      </c>
      <c r="K185" s="14">
        <f t="shared" si="9"/>
        <v>251000000</v>
      </c>
      <c r="L185" s="13">
        <v>0</v>
      </c>
      <c r="M185" s="13">
        <v>251000000</v>
      </c>
      <c r="N185" s="14">
        <f t="shared" si="10"/>
        <v>25100</v>
      </c>
      <c r="O185" s="14">
        <f t="shared" si="10"/>
        <v>0</v>
      </c>
      <c r="P185" s="4">
        <f t="shared" si="10"/>
        <v>25100</v>
      </c>
      <c r="Q185" s="4"/>
      <c r="T185" s="17"/>
    </row>
    <row r="186" spans="2:20" x14ac:dyDescent="0.4">
      <c r="B186" s="16">
        <v>42776</v>
      </c>
      <c r="C186" s="11">
        <v>25200</v>
      </c>
      <c r="D186" s="11">
        <v>25200</v>
      </c>
      <c r="E186" s="11">
        <v>25200</v>
      </c>
      <c r="F186" s="11">
        <v>25200</v>
      </c>
      <c r="G186" s="12">
        <v>0</v>
      </c>
      <c r="H186" s="13">
        <f t="shared" si="3"/>
        <v>0</v>
      </c>
      <c r="I186" s="13">
        <v>0</v>
      </c>
      <c r="J186" s="13">
        <v>0</v>
      </c>
      <c r="K186" s="14">
        <f t="shared" si="9"/>
        <v>0</v>
      </c>
      <c r="L186" s="13">
        <v>0</v>
      </c>
      <c r="M186" s="13">
        <v>0</v>
      </c>
      <c r="N186" s="14">
        <f t="shared" si="10"/>
        <v>0</v>
      </c>
      <c r="O186" s="14">
        <f t="shared" si="10"/>
        <v>0</v>
      </c>
      <c r="P186" s="4">
        <f t="shared" si="10"/>
        <v>0</v>
      </c>
      <c r="Q186" s="4">
        <f>IFERROR(SUM(M182:M186)/SUM(J182:J186),"")</f>
        <v>24744.196428571428</v>
      </c>
      <c r="T186" s="17"/>
    </row>
    <row r="187" spans="2:20" x14ac:dyDescent="0.4">
      <c r="B187" s="16">
        <v>42779</v>
      </c>
      <c r="C187" s="11">
        <v>25200</v>
      </c>
      <c r="D187" s="11">
        <v>25200</v>
      </c>
      <c r="E187" s="11">
        <v>25200</v>
      </c>
      <c r="F187" s="11">
        <v>25200</v>
      </c>
      <c r="G187" s="12">
        <v>0</v>
      </c>
      <c r="H187" s="13">
        <f t="shared" si="3"/>
        <v>0</v>
      </c>
      <c r="I187" s="13">
        <v>0</v>
      </c>
      <c r="J187" s="13">
        <v>0</v>
      </c>
      <c r="K187" s="14">
        <f t="shared" si="9"/>
        <v>0</v>
      </c>
      <c r="L187" s="13">
        <v>0</v>
      </c>
      <c r="M187" s="13">
        <v>0</v>
      </c>
      <c r="N187" s="14">
        <f t="shared" si="10"/>
        <v>0</v>
      </c>
      <c r="O187" s="14">
        <f t="shared" si="10"/>
        <v>0</v>
      </c>
      <c r="P187" s="4">
        <f t="shared" si="10"/>
        <v>0</v>
      </c>
      <c r="Q187" s="4"/>
      <c r="T187" s="17"/>
    </row>
    <row r="188" spans="2:20" x14ac:dyDescent="0.4">
      <c r="B188" s="16">
        <v>42780</v>
      </c>
      <c r="C188" s="11">
        <v>25200</v>
      </c>
      <c r="D188" s="11">
        <v>25200</v>
      </c>
      <c r="E188" s="11">
        <v>25200</v>
      </c>
      <c r="F188" s="11">
        <v>25200</v>
      </c>
      <c r="G188" s="12">
        <v>0</v>
      </c>
      <c r="H188" s="13">
        <f t="shared" si="3"/>
        <v>0</v>
      </c>
      <c r="I188" s="13">
        <v>0</v>
      </c>
      <c r="J188" s="13">
        <v>0</v>
      </c>
      <c r="K188" s="14">
        <f t="shared" si="9"/>
        <v>0</v>
      </c>
      <c r="L188" s="13">
        <v>0</v>
      </c>
      <c r="M188" s="13">
        <v>0</v>
      </c>
      <c r="N188" s="14">
        <f t="shared" si="10"/>
        <v>0</v>
      </c>
      <c r="O188" s="14">
        <f t="shared" si="10"/>
        <v>0</v>
      </c>
      <c r="P188" s="4">
        <f t="shared" si="10"/>
        <v>0</v>
      </c>
      <c r="Q188" s="4"/>
      <c r="T188" s="17"/>
    </row>
    <row r="189" spans="2:20" x14ac:dyDescent="0.4">
      <c r="B189" s="16">
        <v>42781</v>
      </c>
      <c r="C189" s="11">
        <v>25200</v>
      </c>
      <c r="D189" s="11">
        <v>25200</v>
      </c>
      <c r="E189" s="11">
        <v>25200</v>
      </c>
      <c r="F189" s="11">
        <v>25200</v>
      </c>
      <c r="G189" s="12">
        <v>0</v>
      </c>
      <c r="H189" s="14">
        <f t="shared" si="3"/>
        <v>0</v>
      </c>
      <c r="I189" s="14">
        <v>0</v>
      </c>
      <c r="J189" s="14">
        <v>0</v>
      </c>
      <c r="K189" s="14">
        <f t="shared" si="9"/>
        <v>0</v>
      </c>
      <c r="L189" s="14">
        <v>0</v>
      </c>
      <c r="M189" s="14">
        <v>0</v>
      </c>
      <c r="N189" s="14">
        <f t="shared" si="10"/>
        <v>0</v>
      </c>
      <c r="O189" s="14">
        <f t="shared" si="10"/>
        <v>0</v>
      </c>
      <c r="P189" s="4">
        <f t="shared" si="10"/>
        <v>0</v>
      </c>
      <c r="Q189" s="4"/>
      <c r="T189" s="17"/>
    </row>
    <row r="190" spans="2:20" x14ac:dyDescent="0.4">
      <c r="B190" s="16">
        <v>42782</v>
      </c>
      <c r="C190" s="11">
        <v>25200</v>
      </c>
      <c r="D190" s="11">
        <v>25200</v>
      </c>
      <c r="E190" s="11">
        <v>25200</v>
      </c>
      <c r="F190" s="11">
        <v>25200</v>
      </c>
      <c r="G190" s="12">
        <v>0</v>
      </c>
      <c r="H190" s="14">
        <f t="shared" si="3"/>
        <v>0</v>
      </c>
      <c r="I190" s="14">
        <v>0</v>
      </c>
      <c r="J190" s="14">
        <v>0</v>
      </c>
      <c r="K190" s="14">
        <f t="shared" si="9"/>
        <v>0</v>
      </c>
      <c r="L190" s="14">
        <v>0</v>
      </c>
      <c r="M190" s="14">
        <v>0</v>
      </c>
      <c r="N190" s="14">
        <f t="shared" si="10"/>
        <v>0</v>
      </c>
      <c r="O190" s="14">
        <f t="shared" si="10"/>
        <v>0</v>
      </c>
      <c r="P190" s="4">
        <f t="shared" si="10"/>
        <v>0</v>
      </c>
      <c r="Q190" s="4"/>
      <c r="T190" s="17"/>
    </row>
    <row r="191" spans="2:20" x14ac:dyDescent="0.4">
      <c r="B191" s="16">
        <v>42783</v>
      </c>
      <c r="C191" s="11">
        <v>25200</v>
      </c>
      <c r="D191" s="11">
        <v>25200</v>
      </c>
      <c r="E191" s="11">
        <v>25200</v>
      </c>
      <c r="F191" s="11">
        <v>25200</v>
      </c>
      <c r="G191" s="12">
        <v>0</v>
      </c>
      <c r="H191" s="14">
        <f t="shared" si="3"/>
        <v>0</v>
      </c>
      <c r="I191" s="14">
        <v>0</v>
      </c>
      <c r="J191" s="14">
        <v>0</v>
      </c>
      <c r="K191" s="14">
        <f t="shared" si="9"/>
        <v>0</v>
      </c>
      <c r="L191" s="14">
        <v>0</v>
      </c>
      <c r="M191" s="14">
        <v>0</v>
      </c>
      <c r="N191" s="14">
        <f t="shared" si="10"/>
        <v>0</v>
      </c>
      <c r="O191" s="14">
        <f t="shared" si="10"/>
        <v>0</v>
      </c>
      <c r="P191" s="4">
        <f t="shared" si="10"/>
        <v>0</v>
      </c>
      <c r="Q191" s="4" t="str">
        <f>IFERROR(SUM(M187:M191)/SUM(J187:J191),"")</f>
        <v/>
      </c>
      <c r="T191" s="17"/>
    </row>
    <row r="192" spans="2:20" x14ac:dyDescent="0.4">
      <c r="B192" s="16">
        <v>42786</v>
      </c>
      <c r="C192" s="11">
        <v>25200</v>
      </c>
      <c r="D192" s="11">
        <v>25200</v>
      </c>
      <c r="E192" s="11">
        <v>25200</v>
      </c>
      <c r="F192" s="11">
        <v>25200</v>
      </c>
      <c r="G192" s="12">
        <v>0</v>
      </c>
      <c r="H192" s="14">
        <f t="shared" si="3"/>
        <v>0</v>
      </c>
      <c r="I192" s="14">
        <v>0</v>
      </c>
      <c r="J192" s="14">
        <v>0</v>
      </c>
      <c r="K192" s="14">
        <f t="shared" si="9"/>
        <v>0</v>
      </c>
      <c r="L192" s="14">
        <v>0</v>
      </c>
      <c r="M192" s="14">
        <v>0</v>
      </c>
      <c r="N192" s="14">
        <f t="shared" si="10"/>
        <v>0</v>
      </c>
      <c r="O192" s="14">
        <f t="shared" si="10"/>
        <v>0</v>
      </c>
      <c r="P192" s="4">
        <f t="shared" si="10"/>
        <v>0</v>
      </c>
      <c r="Q192" s="4"/>
      <c r="T192" s="17"/>
    </row>
    <row r="193" spans="2:20" x14ac:dyDescent="0.4">
      <c r="B193" s="16">
        <v>42787</v>
      </c>
      <c r="C193" s="11">
        <v>25200</v>
      </c>
      <c r="D193" s="11">
        <v>25200</v>
      </c>
      <c r="E193" s="11">
        <v>25200</v>
      </c>
      <c r="F193" s="11">
        <v>25200</v>
      </c>
      <c r="G193" s="12">
        <v>0</v>
      </c>
      <c r="H193" s="14">
        <f t="shared" si="3"/>
        <v>0</v>
      </c>
      <c r="I193" s="14">
        <v>0</v>
      </c>
      <c r="J193" s="14">
        <v>0</v>
      </c>
      <c r="K193" s="14">
        <f t="shared" si="9"/>
        <v>0</v>
      </c>
      <c r="L193" s="14">
        <v>0</v>
      </c>
      <c r="M193" s="14">
        <v>0</v>
      </c>
      <c r="N193" s="14">
        <f t="shared" si="10"/>
        <v>0</v>
      </c>
      <c r="O193" s="14">
        <f t="shared" si="10"/>
        <v>0</v>
      </c>
      <c r="P193" s="4">
        <f t="shared" si="10"/>
        <v>0</v>
      </c>
      <c r="Q193" s="4"/>
      <c r="T193" s="17"/>
    </row>
    <row r="194" spans="2:20" x14ac:dyDescent="0.4">
      <c r="B194" s="16">
        <v>42788</v>
      </c>
      <c r="C194" s="11">
        <v>25200</v>
      </c>
      <c r="D194" s="11">
        <v>25200</v>
      </c>
      <c r="E194" s="11">
        <v>25200</v>
      </c>
      <c r="F194" s="11">
        <v>25200</v>
      </c>
      <c r="G194" s="12">
        <v>0</v>
      </c>
      <c r="H194" s="14">
        <f t="shared" si="3"/>
        <v>0</v>
      </c>
      <c r="I194" s="14">
        <v>0</v>
      </c>
      <c r="J194" s="14">
        <v>0</v>
      </c>
      <c r="K194" s="14">
        <f t="shared" si="9"/>
        <v>0</v>
      </c>
      <c r="L194" s="14">
        <v>0</v>
      </c>
      <c r="M194" s="14">
        <v>0</v>
      </c>
      <c r="N194" s="14">
        <f t="shared" si="10"/>
        <v>0</v>
      </c>
      <c r="O194" s="14">
        <f t="shared" si="10"/>
        <v>0</v>
      </c>
      <c r="P194" s="4">
        <f t="shared" si="10"/>
        <v>0</v>
      </c>
      <c r="Q194" s="4"/>
      <c r="T194" s="17"/>
    </row>
    <row r="195" spans="2:20" x14ac:dyDescent="0.4">
      <c r="B195" s="16">
        <v>42789</v>
      </c>
      <c r="C195" s="11">
        <v>25200</v>
      </c>
      <c r="D195" s="11">
        <v>25200</v>
      </c>
      <c r="E195" s="11">
        <v>25200</v>
      </c>
      <c r="F195" s="11">
        <v>25200</v>
      </c>
      <c r="G195" s="12">
        <v>0</v>
      </c>
      <c r="H195" s="14">
        <f t="shared" si="3"/>
        <v>0</v>
      </c>
      <c r="I195" s="14">
        <v>0</v>
      </c>
      <c r="J195" s="14">
        <v>0</v>
      </c>
      <c r="K195" s="14">
        <f t="shared" si="9"/>
        <v>0</v>
      </c>
      <c r="L195" s="14">
        <v>0</v>
      </c>
      <c r="M195" s="14">
        <v>0</v>
      </c>
      <c r="N195" s="14">
        <f t="shared" si="10"/>
        <v>0</v>
      </c>
      <c r="O195" s="14">
        <f t="shared" si="10"/>
        <v>0</v>
      </c>
      <c r="P195" s="4">
        <f t="shared" si="10"/>
        <v>0</v>
      </c>
      <c r="Q195" s="4"/>
      <c r="T195" s="17"/>
    </row>
    <row r="196" spans="2:20" x14ac:dyDescent="0.4">
      <c r="B196" s="16">
        <v>42790</v>
      </c>
      <c r="C196" s="11">
        <v>25200</v>
      </c>
      <c r="D196" s="11">
        <v>25200</v>
      </c>
      <c r="E196" s="11">
        <v>25200</v>
      </c>
      <c r="F196" s="11">
        <v>25200</v>
      </c>
      <c r="G196" s="12">
        <v>0</v>
      </c>
      <c r="H196" s="14">
        <f t="shared" si="3"/>
        <v>0</v>
      </c>
      <c r="I196" s="14">
        <v>0</v>
      </c>
      <c r="J196" s="14">
        <v>0</v>
      </c>
      <c r="K196" s="14">
        <f t="shared" si="9"/>
        <v>0</v>
      </c>
      <c r="L196" s="14">
        <v>0</v>
      </c>
      <c r="M196" s="14">
        <v>0</v>
      </c>
      <c r="N196" s="14">
        <f t="shared" si="10"/>
        <v>0</v>
      </c>
      <c r="O196" s="14">
        <f t="shared" si="10"/>
        <v>0</v>
      </c>
      <c r="P196" s="4">
        <f t="shared" si="10"/>
        <v>0</v>
      </c>
      <c r="Q196" s="4" t="str">
        <f>IFERROR(SUM(M192:M196)/SUM(J192:J196),"")</f>
        <v/>
      </c>
      <c r="T196" s="17"/>
    </row>
    <row r="197" spans="2:20" x14ac:dyDescent="0.4">
      <c r="B197" s="16">
        <v>42793</v>
      </c>
      <c r="C197" s="11">
        <v>25200</v>
      </c>
      <c r="D197" s="11">
        <v>25200</v>
      </c>
      <c r="E197" s="11">
        <v>25200</v>
      </c>
      <c r="F197" s="11">
        <v>25200</v>
      </c>
      <c r="G197" s="12">
        <v>0</v>
      </c>
      <c r="H197" s="14">
        <f t="shared" si="3"/>
        <v>0</v>
      </c>
      <c r="I197" s="14">
        <v>0</v>
      </c>
      <c r="J197" s="14">
        <v>0</v>
      </c>
      <c r="K197" s="14">
        <f t="shared" si="9"/>
        <v>0</v>
      </c>
      <c r="L197" s="14">
        <v>0</v>
      </c>
      <c r="M197" s="14">
        <v>0</v>
      </c>
      <c r="N197" s="14">
        <f t="shared" si="10"/>
        <v>0</v>
      </c>
      <c r="O197" s="14">
        <f t="shared" si="10"/>
        <v>0</v>
      </c>
      <c r="P197" s="4">
        <f t="shared" si="10"/>
        <v>0</v>
      </c>
      <c r="Q197" s="22"/>
      <c r="T197" s="17"/>
    </row>
    <row r="198" spans="2:20" x14ac:dyDescent="0.4">
      <c r="B198" s="16">
        <v>42794</v>
      </c>
      <c r="C198" s="11">
        <v>25200</v>
      </c>
      <c r="D198" s="11">
        <v>25200</v>
      </c>
      <c r="E198" s="11">
        <v>25200</v>
      </c>
      <c r="F198" s="11">
        <v>25200</v>
      </c>
      <c r="G198" s="12">
        <v>0</v>
      </c>
      <c r="H198" s="14">
        <f t="shared" si="3"/>
        <v>0</v>
      </c>
      <c r="I198" s="14">
        <v>0</v>
      </c>
      <c r="J198" s="14">
        <v>0</v>
      </c>
      <c r="K198" s="14">
        <f t="shared" si="9"/>
        <v>0</v>
      </c>
      <c r="L198" s="14">
        <v>0</v>
      </c>
      <c r="M198" s="14">
        <v>0</v>
      </c>
      <c r="N198" s="14">
        <f t="shared" si="10"/>
        <v>0</v>
      </c>
      <c r="O198" s="14">
        <f t="shared" si="10"/>
        <v>0</v>
      </c>
      <c r="P198" s="4">
        <f t="shared" si="10"/>
        <v>0</v>
      </c>
      <c r="Q198" s="22"/>
      <c r="T198" s="17"/>
    </row>
    <row r="199" spans="2:20" x14ac:dyDescent="0.4">
      <c r="B199" s="16">
        <v>42796</v>
      </c>
      <c r="C199" s="21">
        <v>23800</v>
      </c>
      <c r="D199" s="21">
        <v>23800</v>
      </c>
      <c r="E199" s="21">
        <v>23800</v>
      </c>
      <c r="F199" s="21">
        <v>23800</v>
      </c>
      <c r="G199" s="12">
        <v>-5.56</v>
      </c>
      <c r="H199" s="14">
        <f t="shared" si="3"/>
        <v>1000</v>
      </c>
      <c r="I199" s="14">
        <v>0</v>
      </c>
      <c r="J199" s="14">
        <v>1000</v>
      </c>
      <c r="K199" s="14">
        <f t="shared" si="9"/>
        <v>23800000</v>
      </c>
      <c r="L199" s="14">
        <v>0</v>
      </c>
      <c r="M199" s="14">
        <v>23800000</v>
      </c>
      <c r="N199" s="14">
        <f t="shared" si="10"/>
        <v>23800</v>
      </c>
      <c r="O199" s="14">
        <f t="shared" si="10"/>
        <v>0</v>
      </c>
      <c r="P199" s="4">
        <f t="shared" si="10"/>
        <v>23800</v>
      </c>
      <c r="Q199" s="22"/>
      <c r="T199" s="17"/>
    </row>
    <row r="200" spans="2:20" x14ac:dyDescent="0.4">
      <c r="B200" s="16">
        <v>42797</v>
      </c>
      <c r="C200" s="21">
        <v>23800</v>
      </c>
      <c r="D200" s="21">
        <v>23800</v>
      </c>
      <c r="E200" s="21">
        <v>23800</v>
      </c>
      <c r="F200" s="21">
        <v>23800</v>
      </c>
      <c r="G200" s="12">
        <v>0</v>
      </c>
      <c r="H200" s="14">
        <f t="shared" si="3"/>
        <v>0</v>
      </c>
      <c r="I200" s="14">
        <v>0</v>
      </c>
      <c r="J200" s="14">
        <v>0</v>
      </c>
      <c r="K200" s="14">
        <f t="shared" si="9"/>
        <v>0</v>
      </c>
      <c r="L200" s="14">
        <v>0</v>
      </c>
      <c r="M200" s="14">
        <v>0</v>
      </c>
      <c r="N200" s="14">
        <f t="shared" si="10"/>
        <v>0</v>
      </c>
      <c r="O200" s="14">
        <f t="shared" si="10"/>
        <v>0</v>
      </c>
      <c r="P200" s="4">
        <f t="shared" si="10"/>
        <v>0</v>
      </c>
      <c r="Q200" s="4">
        <f>IFERROR(SUM(M197:M200)/SUM(J197:J200),"")</f>
        <v>23800</v>
      </c>
      <c r="T200" s="17"/>
    </row>
    <row r="201" spans="2:20" x14ac:dyDescent="0.4">
      <c r="B201" s="16">
        <v>42800</v>
      </c>
      <c r="C201" s="21">
        <v>23800</v>
      </c>
      <c r="D201" s="21">
        <v>23800</v>
      </c>
      <c r="E201" s="21">
        <v>23800</v>
      </c>
      <c r="F201" s="21">
        <v>23800</v>
      </c>
      <c r="G201" s="12">
        <v>0</v>
      </c>
      <c r="H201" s="14">
        <f t="shared" si="3"/>
        <v>0</v>
      </c>
      <c r="I201" s="14">
        <v>0</v>
      </c>
      <c r="J201" s="14">
        <v>0</v>
      </c>
      <c r="K201" s="14">
        <f t="shared" si="9"/>
        <v>0</v>
      </c>
      <c r="L201" s="14">
        <v>0</v>
      </c>
      <c r="M201" s="14">
        <v>0</v>
      </c>
      <c r="N201" s="14">
        <f t="shared" si="10"/>
        <v>0</v>
      </c>
      <c r="O201" s="14">
        <f t="shared" si="10"/>
        <v>0</v>
      </c>
      <c r="P201" s="4">
        <f t="shared" si="10"/>
        <v>0</v>
      </c>
      <c r="Q201" s="4"/>
      <c r="T201" s="17"/>
    </row>
    <row r="202" spans="2:20" x14ac:dyDescent="0.4">
      <c r="B202" s="16">
        <v>42801</v>
      </c>
      <c r="C202" s="21">
        <v>23800</v>
      </c>
      <c r="D202" s="21">
        <v>23800</v>
      </c>
      <c r="E202" s="21">
        <v>23800</v>
      </c>
      <c r="F202" s="21">
        <v>23800</v>
      </c>
      <c r="G202" s="12">
        <v>0</v>
      </c>
      <c r="H202" s="14">
        <f t="shared" si="3"/>
        <v>0</v>
      </c>
      <c r="I202" s="14">
        <v>0</v>
      </c>
      <c r="J202" s="14">
        <v>0</v>
      </c>
      <c r="K202" s="14">
        <f t="shared" si="9"/>
        <v>0</v>
      </c>
      <c r="L202" s="14">
        <v>0</v>
      </c>
      <c r="M202" s="14">
        <v>0</v>
      </c>
      <c r="N202" s="14">
        <f t="shared" si="10"/>
        <v>0</v>
      </c>
      <c r="O202" s="14">
        <f t="shared" si="10"/>
        <v>0</v>
      </c>
      <c r="P202" s="4">
        <f t="shared" si="10"/>
        <v>0</v>
      </c>
      <c r="Q202" s="22"/>
      <c r="T202" s="17"/>
    </row>
    <row r="203" spans="2:20" x14ac:dyDescent="0.4">
      <c r="B203" s="16">
        <v>42802</v>
      </c>
      <c r="C203" s="21">
        <v>23800</v>
      </c>
      <c r="D203" s="21">
        <v>23800</v>
      </c>
      <c r="E203" s="21">
        <v>23800</v>
      </c>
      <c r="F203" s="21">
        <v>23800</v>
      </c>
      <c r="G203" s="12">
        <v>0</v>
      </c>
      <c r="H203" s="14">
        <f t="shared" si="3"/>
        <v>0</v>
      </c>
      <c r="I203" s="14">
        <v>0</v>
      </c>
      <c r="J203" s="14">
        <v>0</v>
      </c>
      <c r="K203" s="14">
        <f t="shared" si="9"/>
        <v>0</v>
      </c>
      <c r="L203" s="14">
        <v>0</v>
      </c>
      <c r="M203" s="14">
        <v>0</v>
      </c>
      <c r="N203" s="14">
        <f t="shared" si="10"/>
        <v>0</v>
      </c>
      <c r="O203" s="14">
        <f t="shared" si="10"/>
        <v>0</v>
      </c>
      <c r="P203" s="4">
        <f t="shared" si="10"/>
        <v>0</v>
      </c>
      <c r="Q203" s="22"/>
      <c r="T203" s="17"/>
    </row>
    <row r="204" spans="2:20" x14ac:dyDescent="0.4">
      <c r="B204" s="16">
        <v>42803</v>
      </c>
      <c r="C204" s="21">
        <v>23800</v>
      </c>
      <c r="D204" s="21">
        <v>23800</v>
      </c>
      <c r="E204" s="21">
        <v>23800</v>
      </c>
      <c r="F204" s="21">
        <v>23800</v>
      </c>
      <c r="G204" s="12">
        <v>0</v>
      </c>
      <c r="H204" s="14">
        <f t="shared" si="3"/>
        <v>100000</v>
      </c>
      <c r="I204" s="14">
        <v>0</v>
      </c>
      <c r="J204" s="14">
        <v>100000</v>
      </c>
      <c r="K204" s="14">
        <f t="shared" si="9"/>
        <v>2380000000</v>
      </c>
      <c r="L204" s="14">
        <v>0</v>
      </c>
      <c r="M204" s="14">
        <v>2380000000</v>
      </c>
      <c r="N204" s="14">
        <f t="shared" si="10"/>
        <v>23800</v>
      </c>
      <c r="O204" s="14">
        <f t="shared" si="10"/>
        <v>0</v>
      </c>
      <c r="P204" s="4">
        <f t="shared" si="10"/>
        <v>23800</v>
      </c>
      <c r="Q204" s="22"/>
      <c r="T204" s="17"/>
    </row>
    <row r="205" spans="2:20" x14ac:dyDescent="0.4">
      <c r="B205" s="16">
        <v>42804</v>
      </c>
      <c r="C205" s="21">
        <v>23800</v>
      </c>
      <c r="D205" s="21">
        <v>23800</v>
      </c>
      <c r="E205" s="21">
        <v>23800</v>
      </c>
      <c r="F205" s="21">
        <v>23800</v>
      </c>
      <c r="G205" s="12">
        <v>0</v>
      </c>
      <c r="H205" s="14">
        <f t="shared" si="3"/>
        <v>0</v>
      </c>
      <c r="I205" s="14">
        <v>0</v>
      </c>
      <c r="J205" s="14">
        <v>0</v>
      </c>
      <c r="K205" s="14">
        <f t="shared" si="9"/>
        <v>0</v>
      </c>
      <c r="L205" s="14">
        <v>0</v>
      </c>
      <c r="M205" s="14">
        <v>0</v>
      </c>
      <c r="N205" s="14">
        <f t="shared" si="10"/>
        <v>0</v>
      </c>
      <c r="O205" s="14">
        <f t="shared" si="10"/>
        <v>0</v>
      </c>
      <c r="P205" s="4">
        <f t="shared" si="10"/>
        <v>0</v>
      </c>
      <c r="Q205" s="4">
        <f>IFERROR(SUM(M201:M205)/SUM(J201:J205),"")</f>
        <v>23800</v>
      </c>
      <c r="T205" s="17"/>
    </row>
    <row r="206" spans="2:20" x14ac:dyDescent="0.4">
      <c r="B206" s="16">
        <v>42807</v>
      </c>
      <c r="C206" s="21">
        <v>23800</v>
      </c>
      <c r="D206" s="21">
        <v>23800</v>
      </c>
      <c r="E206" s="21">
        <v>23800</v>
      </c>
      <c r="F206" s="21">
        <v>23800</v>
      </c>
      <c r="G206" s="12">
        <v>0</v>
      </c>
      <c r="H206" s="14">
        <f t="shared" si="3"/>
        <v>0</v>
      </c>
      <c r="I206" s="14">
        <v>0</v>
      </c>
      <c r="J206" s="14">
        <v>0</v>
      </c>
      <c r="K206" s="14">
        <f t="shared" si="9"/>
        <v>0</v>
      </c>
      <c r="L206" s="14">
        <v>0</v>
      </c>
      <c r="M206" s="14">
        <v>0</v>
      </c>
      <c r="N206" s="14">
        <f t="shared" si="10"/>
        <v>0</v>
      </c>
      <c r="O206" s="14">
        <f t="shared" si="10"/>
        <v>0</v>
      </c>
      <c r="P206" s="4">
        <f t="shared" si="10"/>
        <v>0</v>
      </c>
      <c r="Q206" s="22"/>
      <c r="T206" s="17"/>
    </row>
    <row r="207" spans="2:20" x14ac:dyDescent="0.4">
      <c r="B207" s="16">
        <v>42808</v>
      </c>
      <c r="C207" s="21">
        <v>23800</v>
      </c>
      <c r="D207" s="21">
        <v>23800</v>
      </c>
      <c r="E207" s="21">
        <v>23800</v>
      </c>
      <c r="F207" s="21">
        <v>23800</v>
      </c>
      <c r="G207" s="12">
        <v>0</v>
      </c>
      <c r="H207" s="14">
        <f t="shared" si="3"/>
        <v>0</v>
      </c>
      <c r="I207" s="14">
        <v>0</v>
      </c>
      <c r="J207" s="14">
        <v>0</v>
      </c>
      <c r="K207" s="14">
        <f t="shared" si="9"/>
        <v>0</v>
      </c>
      <c r="L207" s="14">
        <v>0</v>
      </c>
      <c r="M207" s="14">
        <v>0</v>
      </c>
      <c r="N207" s="14">
        <f t="shared" si="10"/>
        <v>0</v>
      </c>
      <c r="O207" s="14">
        <f t="shared" si="10"/>
        <v>0</v>
      </c>
      <c r="P207" s="4">
        <f t="shared" si="10"/>
        <v>0</v>
      </c>
      <c r="Q207" s="22"/>
      <c r="T207" s="17"/>
    </row>
    <row r="208" spans="2:20" x14ac:dyDescent="0.4">
      <c r="B208" s="16">
        <v>42809</v>
      </c>
      <c r="C208" s="21">
        <v>23800</v>
      </c>
      <c r="D208" s="21">
        <v>23800</v>
      </c>
      <c r="E208" s="21">
        <v>23800</v>
      </c>
      <c r="F208" s="21">
        <v>23800</v>
      </c>
      <c r="G208" s="12">
        <v>0</v>
      </c>
      <c r="H208" s="14">
        <f t="shared" si="3"/>
        <v>0</v>
      </c>
      <c r="I208" s="14">
        <v>0</v>
      </c>
      <c r="J208" s="14">
        <v>0</v>
      </c>
      <c r="K208" s="14">
        <f t="shared" si="9"/>
        <v>0</v>
      </c>
      <c r="L208" s="14">
        <v>0</v>
      </c>
      <c r="M208" s="14">
        <v>0</v>
      </c>
      <c r="N208" s="14">
        <f t="shared" si="10"/>
        <v>0</v>
      </c>
      <c r="O208" s="14">
        <f t="shared" si="10"/>
        <v>0</v>
      </c>
      <c r="P208" s="4">
        <f t="shared" si="10"/>
        <v>0</v>
      </c>
      <c r="Q208" s="22"/>
      <c r="T208" s="17"/>
    </row>
    <row r="209" spans="2:20" x14ac:dyDescent="0.4">
      <c r="B209" s="16">
        <v>42810</v>
      </c>
      <c r="C209" s="21">
        <v>23800</v>
      </c>
      <c r="D209" s="21">
        <v>23800</v>
      </c>
      <c r="E209" s="21">
        <v>23800</v>
      </c>
      <c r="F209" s="21">
        <v>23800</v>
      </c>
      <c r="G209" s="12">
        <v>0</v>
      </c>
      <c r="H209" s="14">
        <f t="shared" si="3"/>
        <v>0</v>
      </c>
      <c r="I209" s="14">
        <v>0</v>
      </c>
      <c r="J209" s="14">
        <v>0</v>
      </c>
      <c r="K209" s="14">
        <f t="shared" si="9"/>
        <v>0</v>
      </c>
      <c r="L209" s="14">
        <v>0</v>
      </c>
      <c r="M209" s="14">
        <v>0</v>
      </c>
      <c r="N209" s="14">
        <f t="shared" si="10"/>
        <v>0</v>
      </c>
      <c r="O209" s="14">
        <f t="shared" si="10"/>
        <v>0</v>
      </c>
      <c r="P209" s="4">
        <f t="shared" si="10"/>
        <v>0</v>
      </c>
      <c r="Q209" s="22"/>
      <c r="T209" s="17"/>
    </row>
    <row r="210" spans="2:20" x14ac:dyDescent="0.4">
      <c r="B210" s="16">
        <v>42811</v>
      </c>
      <c r="C210" s="21">
        <v>23800</v>
      </c>
      <c r="D210" s="21">
        <v>23800</v>
      </c>
      <c r="E210" s="21">
        <v>23800</v>
      </c>
      <c r="F210" s="21">
        <v>23800</v>
      </c>
      <c r="G210" s="12">
        <v>0</v>
      </c>
      <c r="H210" s="14">
        <f t="shared" si="3"/>
        <v>0</v>
      </c>
      <c r="I210" s="14">
        <v>0</v>
      </c>
      <c r="J210" s="14">
        <v>0</v>
      </c>
      <c r="K210" s="14">
        <f t="shared" si="9"/>
        <v>0</v>
      </c>
      <c r="L210" s="14">
        <v>0</v>
      </c>
      <c r="M210" s="14">
        <v>0</v>
      </c>
      <c r="N210" s="14">
        <f t="shared" si="10"/>
        <v>0</v>
      </c>
      <c r="O210" s="14">
        <f t="shared" si="10"/>
        <v>0</v>
      </c>
      <c r="P210" s="4">
        <f t="shared" si="10"/>
        <v>0</v>
      </c>
      <c r="Q210" s="4" t="str">
        <f>IFERROR(SUM(M206:M210)/SUM(J206:J210),"")</f>
        <v/>
      </c>
      <c r="T210" s="17"/>
    </row>
    <row r="211" spans="2:20" x14ac:dyDescent="0.4">
      <c r="B211" s="16">
        <v>42814</v>
      </c>
      <c r="C211" s="21">
        <v>23800</v>
      </c>
      <c r="D211" s="21">
        <v>23800</v>
      </c>
      <c r="E211" s="21">
        <v>23800</v>
      </c>
      <c r="F211" s="21">
        <v>23800</v>
      </c>
      <c r="G211" s="12">
        <v>0</v>
      </c>
      <c r="H211" s="14">
        <f t="shared" si="3"/>
        <v>0</v>
      </c>
      <c r="I211" s="14">
        <v>0</v>
      </c>
      <c r="J211" s="14">
        <v>0</v>
      </c>
      <c r="K211" s="14">
        <f t="shared" si="9"/>
        <v>0</v>
      </c>
      <c r="L211" s="14">
        <v>0</v>
      </c>
      <c r="M211" s="14">
        <v>0</v>
      </c>
      <c r="N211" s="14">
        <f t="shared" si="10"/>
        <v>0</v>
      </c>
      <c r="O211" s="14">
        <f t="shared" si="10"/>
        <v>0</v>
      </c>
      <c r="P211" s="4">
        <f t="shared" si="10"/>
        <v>0</v>
      </c>
      <c r="Q211" s="22"/>
      <c r="T211" s="17"/>
    </row>
    <row r="212" spans="2:20" x14ac:dyDescent="0.4">
      <c r="B212" s="16">
        <v>42815</v>
      </c>
      <c r="C212" s="21">
        <v>23800</v>
      </c>
      <c r="D212" s="21">
        <v>23800</v>
      </c>
      <c r="E212" s="21">
        <v>23800</v>
      </c>
      <c r="F212" s="21">
        <v>23800</v>
      </c>
      <c r="G212" s="12">
        <v>0</v>
      </c>
      <c r="H212" s="14">
        <f t="shared" si="3"/>
        <v>0</v>
      </c>
      <c r="I212" s="14">
        <v>0</v>
      </c>
      <c r="J212" s="14">
        <v>0</v>
      </c>
      <c r="K212" s="14">
        <f t="shared" si="9"/>
        <v>0</v>
      </c>
      <c r="L212" s="14">
        <v>0</v>
      </c>
      <c r="M212" s="14">
        <v>0</v>
      </c>
      <c r="N212" s="14">
        <f t="shared" si="10"/>
        <v>0</v>
      </c>
      <c r="O212" s="14">
        <f t="shared" si="10"/>
        <v>0</v>
      </c>
      <c r="P212" s="4">
        <f t="shared" si="10"/>
        <v>0</v>
      </c>
      <c r="Q212" s="22"/>
      <c r="T212" s="17"/>
    </row>
    <row r="213" spans="2:20" x14ac:dyDescent="0.4">
      <c r="B213" s="16">
        <v>42816</v>
      </c>
      <c r="C213" s="21">
        <v>23800</v>
      </c>
      <c r="D213" s="21">
        <v>23800</v>
      </c>
      <c r="E213" s="21">
        <v>23800</v>
      </c>
      <c r="F213" s="21">
        <v>23800</v>
      </c>
      <c r="G213" s="12">
        <v>0</v>
      </c>
      <c r="H213" s="14">
        <f t="shared" si="3"/>
        <v>0</v>
      </c>
      <c r="I213" s="14">
        <v>0</v>
      </c>
      <c r="J213" s="14">
        <v>0</v>
      </c>
      <c r="K213" s="14">
        <f t="shared" si="9"/>
        <v>0</v>
      </c>
      <c r="L213" s="14">
        <v>0</v>
      </c>
      <c r="M213" s="14">
        <v>0</v>
      </c>
      <c r="N213" s="14">
        <f t="shared" si="10"/>
        <v>0</v>
      </c>
      <c r="O213" s="14">
        <f t="shared" si="10"/>
        <v>0</v>
      </c>
      <c r="P213" s="4">
        <f t="shared" si="10"/>
        <v>0</v>
      </c>
      <c r="Q213" s="22"/>
      <c r="T213" s="17"/>
    </row>
    <row r="214" spans="2:20" x14ac:dyDescent="0.4">
      <c r="B214" s="16">
        <v>42817</v>
      </c>
      <c r="C214" s="21">
        <v>22800</v>
      </c>
      <c r="D214" s="21">
        <v>22800</v>
      </c>
      <c r="E214" s="21">
        <v>22800</v>
      </c>
      <c r="F214" s="21">
        <v>22800</v>
      </c>
      <c r="G214" s="12">
        <v>-4.2</v>
      </c>
      <c r="H214" s="14">
        <f t="shared" si="3"/>
        <v>0</v>
      </c>
      <c r="I214" s="14">
        <v>0</v>
      </c>
      <c r="J214" s="14">
        <v>0</v>
      </c>
      <c r="K214" s="14">
        <f t="shared" si="9"/>
        <v>0</v>
      </c>
      <c r="L214" s="14">
        <v>0</v>
      </c>
      <c r="M214" s="14">
        <v>0</v>
      </c>
      <c r="N214" s="14">
        <f t="shared" ref="N214:P441" si="11">IFERROR(K214/H214,0)</f>
        <v>0</v>
      </c>
      <c r="O214" s="14">
        <f t="shared" si="11"/>
        <v>0</v>
      </c>
      <c r="P214" s="4">
        <f t="shared" si="11"/>
        <v>0</v>
      </c>
      <c r="Q214" s="22"/>
      <c r="T214" s="17"/>
    </row>
    <row r="215" spans="2:20" x14ac:dyDescent="0.4">
      <c r="B215" s="16">
        <v>42818</v>
      </c>
      <c r="C215" s="21">
        <v>21800</v>
      </c>
      <c r="D215" s="21">
        <v>21800</v>
      </c>
      <c r="E215" s="21">
        <v>21800</v>
      </c>
      <c r="F215" s="21">
        <v>21800</v>
      </c>
      <c r="G215" s="12">
        <v>-4.3899999999999997</v>
      </c>
      <c r="H215" s="14">
        <f t="shared" si="3"/>
        <v>0</v>
      </c>
      <c r="I215" s="14">
        <v>0</v>
      </c>
      <c r="J215" s="14">
        <v>0</v>
      </c>
      <c r="K215" s="14">
        <f t="shared" si="9"/>
        <v>0</v>
      </c>
      <c r="L215" s="14">
        <v>0</v>
      </c>
      <c r="M215" s="14">
        <v>0</v>
      </c>
      <c r="N215" s="14">
        <f t="shared" si="11"/>
        <v>0</v>
      </c>
      <c r="O215" s="14">
        <f t="shared" si="11"/>
        <v>0</v>
      </c>
      <c r="P215" s="4">
        <f t="shared" si="11"/>
        <v>0</v>
      </c>
      <c r="Q215" s="4" t="str">
        <f>IFERROR(SUM(M211:M215)/SUM(J211:J215),"")</f>
        <v/>
      </c>
      <c r="T215" s="17"/>
    </row>
    <row r="216" spans="2:20" x14ac:dyDescent="0.4">
      <c r="B216" s="16">
        <v>42821</v>
      </c>
      <c r="C216" s="21">
        <v>20800</v>
      </c>
      <c r="D216" s="21">
        <v>20800</v>
      </c>
      <c r="E216" s="21">
        <v>20800</v>
      </c>
      <c r="F216" s="21">
        <v>20800</v>
      </c>
      <c r="G216" s="12">
        <v>4.59</v>
      </c>
      <c r="H216" s="14">
        <f t="shared" si="3"/>
        <v>0</v>
      </c>
      <c r="I216" s="14">
        <v>0</v>
      </c>
      <c r="J216" s="14">
        <v>0</v>
      </c>
      <c r="K216" s="14">
        <f t="shared" si="9"/>
        <v>0</v>
      </c>
      <c r="L216" s="14">
        <v>0</v>
      </c>
      <c r="M216" s="14">
        <v>0</v>
      </c>
      <c r="N216" s="14">
        <f t="shared" si="11"/>
        <v>0</v>
      </c>
      <c r="O216" s="14">
        <f t="shared" si="11"/>
        <v>0</v>
      </c>
      <c r="P216" s="4">
        <f t="shared" si="11"/>
        <v>0</v>
      </c>
      <c r="Q216" s="22"/>
      <c r="T216" s="17"/>
    </row>
    <row r="217" spans="2:20" x14ac:dyDescent="0.4">
      <c r="B217" s="16">
        <v>42822</v>
      </c>
      <c r="C217" s="21">
        <v>20500</v>
      </c>
      <c r="D217" s="21">
        <v>20500</v>
      </c>
      <c r="E217" s="21">
        <v>20500</v>
      </c>
      <c r="F217" s="21">
        <v>20500</v>
      </c>
      <c r="G217" s="12">
        <v>-1.44</v>
      </c>
      <c r="H217" s="14">
        <f t="shared" si="3"/>
        <v>100</v>
      </c>
      <c r="I217" s="14">
        <v>0</v>
      </c>
      <c r="J217" s="14">
        <v>100</v>
      </c>
      <c r="K217" s="14">
        <f t="shared" si="9"/>
        <v>2050000</v>
      </c>
      <c r="L217" s="14">
        <v>0</v>
      </c>
      <c r="M217" s="14">
        <v>2050000</v>
      </c>
      <c r="N217" s="14">
        <f t="shared" si="11"/>
        <v>20500</v>
      </c>
      <c r="O217" s="14">
        <f t="shared" si="11"/>
        <v>0</v>
      </c>
      <c r="P217" s="4">
        <f t="shared" si="11"/>
        <v>20500</v>
      </c>
      <c r="Q217" s="22"/>
      <c r="T217" s="17"/>
    </row>
    <row r="218" spans="2:20" x14ac:dyDescent="0.4">
      <c r="B218" s="16">
        <v>42823</v>
      </c>
      <c r="C218" s="21">
        <v>20500</v>
      </c>
      <c r="D218" s="21">
        <v>20500</v>
      </c>
      <c r="E218" s="21">
        <v>20500</v>
      </c>
      <c r="F218" s="21">
        <v>20500</v>
      </c>
      <c r="G218" s="12">
        <v>0</v>
      </c>
      <c r="H218" s="14">
        <f t="shared" si="3"/>
        <v>0</v>
      </c>
      <c r="I218" s="14">
        <v>0</v>
      </c>
      <c r="J218" s="14">
        <v>0</v>
      </c>
      <c r="K218" s="14">
        <f t="shared" si="9"/>
        <v>0</v>
      </c>
      <c r="L218" s="14">
        <v>0</v>
      </c>
      <c r="M218" s="14">
        <v>0</v>
      </c>
      <c r="N218" s="14">
        <f t="shared" si="11"/>
        <v>0</v>
      </c>
      <c r="O218" s="14">
        <f t="shared" si="11"/>
        <v>0</v>
      </c>
      <c r="P218" s="4">
        <f t="shared" si="11"/>
        <v>0</v>
      </c>
      <c r="Q218" s="22"/>
      <c r="T218" s="17"/>
    </row>
    <row r="219" spans="2:20" x14ac:dyDescent="0.4">
      <c r="B219" s="16">
        <v>42824</v>
      </c>
      <c r="C219" s="21">
        <v>20500</v>
      </c>
      <c r="D219" s="21">
        <v>20500</v>
      </c>
      <c r="E219" s="21">
        <v>20500</v>
      </c>
      <c r="F219" s="21">
        <v>20500</v>
      </c>
      <c r="G219" s="12">
        <v>0</v>
      </c>
      <c r="H219" s="14">
        <f t="shared" si="3"/>
        <v>0</v>
      </c>
      <c r="I219" s="14">
        <v>0</v>
      </c>
      <c r="J219" s="14">
        <v>0</v>
      </c>
      <c r="K219" s="14">
        <f t="shared" si="9"/>
        <v>0</v>
      </c>
      <c r="L219" s="14">
        <v>0</v>
      </c>
      <c r="M219" s="14">
        <v>0</v>
      </c>
      <c r="N219" s="14">
        <f t="shared" si="11"/>
        <v>0</v>
      </c>
      <c r="O219" s="14">
        <f t="shared" si="11"/>
        <v>0</v>
      </c>
      <c r="P219" s="4">
        <f t="shared" si="11"/>
        <v>0</v>
      </c>
      <c r="Q219" s="22"/>
      <c r="T219" s="17"/>
    </row>
    <row r="220" spans="2:20" x14ac:dyDescent="0.4">
      <c r="B220" s="16">
        <v>42825</v>
      </c>
      <c r="C220" s="21">
        <v>20800</v>
      </c>
      <c r="D220" s="25">
        <v>21000</v>
      </c>
      <c r="E220" s="21">
        <v>20800</v>
      </c>
      <c r="F220" s="21">
        <v>21000</v>
      </c>
      <c r="G220" s="12">
        <v>2.44</v>
      </c>
      <c r="H220" s="14">
        <f t="shared" si="3"/>
        <v>21000</v>
      </c>
      <c r="I220" s="14">
        <v>0</v>
      </c>
      <c r="J220" s="14">
        <v>21000</v>
      </c>
      <c r="K220" s="14">
        <f t="shared" si="9"/>
        <v>440600000</v>
      </c>
      <c r="L220" s="14">
        <v>0</v>
      </c>
      <c r="M220" s="14">
        <v>440600000</v>
      </c>
      <c r="N220" s="14">
        <f t="shared" si="11"/>
        <v>20980.952380952382</v>
      </c>
      <c r="O220" s="14">
        <f t="shared" si="11"/>
        <v>0</v>
      </c>
      <c r="P220" s="4">
        <f t="shared" si="11"/>
        <v>20980.952380952382</v>
      </c>
      <c r="Q220" s="4">
        <f>IFERROR(SUM(M216:M220)/SUM(J216:J220),"")</f>
        <v>20978.672985781992</v>
      </c>
      <c r="T220" s="17"/>
    </row>
    <row r="221" spans="2:20" x14ac:dyDescent="0.4">
      <c r="B221" s="16">
        <v>42828</v>
      </c>
      <c r="C221" s="25">
        <v>21000</v>
      </c>
      <c r="D221" s="25">
        <v>21000</v>
      </c>
      <c r="E221" s="25">
        <v>21000</v>
      </c>
      <c r="F221" s="25">
        <v>21000</v>
      </c>
      <c r="G221" s="12">
        <v>0</v>
      </c>
      <c r="H221" s="14">
        <f t="shared" si="3"/>
        <v>0</v>
      </c>
      <c r="I221" s="14">
        <v>0</v>
      </c>
      <c r="J221" s="14">
        <v>0</v>
      </c>
      <c r="K221" s="14">
        <f t="shared" si="9"/>
        <v>0</v>
      </c>
      <c r="L221" s="14">
        <v>0</v>
      </c>
      <c r="M221" s="14">
        <v>0</v>
      </c>
      <c r="N221" s="14">
        <f t="shared" si="11"/>
        <v>0</v>
      </c>
      <c r="O221" s="14">
        <f t="shared" si="11"/>
        <v>0</v>
      </c>
      <c r="P221" s="4">
        <f t="shared" si="11"/>
        <v>0</v>
      </c>
      <c r="Q221" s="22"/>
      <c r="T221" s="17"/>
    </row>
    <row r="222" spans="2:20" x14ac:dyDescent="0.4">
      <c r="B222" s="16">
        <v>42829</v>
      </c>
      <c r="C222" s="25">
        <v>21000</v>
      </c>
      <c r="D222" s="25">
        <v>21000</v>
      </c>
      <c r="E222" s="25">
        <v>21000</v>
      </c>
      <c r="F222" s="25">
        <v>21000</v>
      </c>
      <c r="G222" s="12">
        <v>0</v>
      </c>
      <c r="H222" s="14">
        <f t="shared" si="3"/>
        <v>0</v>
      </c>
      <c r="I222" s="14">
        <v>0</v>
      </c>
      <c r="J222" s="14">
        <v>0</v>
      </c>
      <c r="K222" s="14">
        <f t="shared" si="9"/>
        <v>0</v>
      </c>
      <c r="L222" s="14">
        <v>0</v>
      </c>
      <c r="M222" s="14">
        <v>0</v>
      </c>
      <c r="N222" s="14">
        <f t="shared" si="11"/>
        <v>0</v>
      </c>
      <c r="O222" s="14">
        <f t="shared" si="11"/>
        <v>0</v>
      </c>
      <c r="P222" s="4">
        <f t="shared" si="11"/>
        <v>0</v>
      </c>
      <c r="Q222" s="22"/>
      <c r="T222" s="17"/>
    </row>
    <row r="223" spans="2:20" x14ac:dyDescent="0.4">
      <c r="B223" s="16">
        <v>42830</v>
      </c>
      <c r="C223" s="25">
        <v>21000</v>
      </c>
      <c r="D223" s="25">
        <v>21000</v>
      </c>
      <c r="E223" s="25">
        <v>21000</v>
      </c>
      <c r="F223" s="25">
        <v>21000</v>
      </c>
      <c r="G223" s="12">
        <v>0</v>
      </c>
      <c r="H223" s="14">
        <f t="shared" si="3"/>
        <v>0</v>
      </c>
      <c r="I223" s="14">
        <v>0</v>
      </c>
      <c r="J223" s="14">
        <v>0</v>
      </c>
      <c r="K223" s="14">
        <f t="shared" si="9"/>
        <v>0</v>
      </c>
      <c r="L223" s="14">
        <v>0</v>
      </c>
      <c r="M223" s="14">
        <v>0</v>
      </c>
      <c r="N223" s="14">
        <f t="shared" si="11"/>
        <v>0</v>
      </c>
      <c r="O223" s="14">
        <f t="shared" si="11"/>
        <v>0</v>
      </c>
      <c r="P223" s="4">
        <f t="shared" si="11"/>
        <v>0</v>
      </c>
      <c r="Q223" s="22"/>
      <c r="T223" s="17"/>
    </row>
    <row r="224" spans="2:20" x14ac:dyDescent="0.4">
      <c r="B224" s="16">
        <v>42831</v>
      </c>
      <c r="C224" s="25">
        <v>21000</v>
      </c>
      <c r="D224" s="25">
        <v>21000</v>
      </c>
      <c r="E224" s="25">
        <v>21000</v>
      </c>
      <c r="F224" s="25">
        <v>21000</v>
      </c>
      <c r="G224" s="12">
        <v>0</v>
      </c>
      <c r="H224" s="14">
        <f t="shared" si="3"/>
        <v>100000</v>
      </c>
      <c r="I224" s="14">
        <v>0</v>
      </c>
      <c r="J224" s="14">
        <v>100000</v>
      </c>
      <c r="K224" s="14">
        <f t="shared" si="9"/>
        <v>2100000000</v>
      </c>
      <c r="L224" s="14">
        <v>0</v>
      </c>
      <c r="M224" s="14">
        <v>2100000000</v>
      </c>
      <c r="N224" s="14">
        <f t="shared" si="11"/>
        <v>21000</v>
      </c>
      <c r="O224" s="14">
        <f t="shared" si="11"/>
        <v>0</v>
      </c>
      <c r="P224" s="4">
        <f t="shared" si="11"/>
        <v>21000</v>
      </c>
      <c r="Q224" s="22"/>
      <c r="T224" s="17"/>
    </row>
    <row r="225" spans="2:20" x14ac:dyDescent="0.4">
      <c r="B225" s="16">
        <v>42832</v>
      </c>
      <c r="C225" s="25">
        <v>21000</v>
      </c>
      <c r="D225" s="25">
        <v>21000</v>
      </c>
      <c r="E225" s="25">
        <v>21000</v>
      </c>
      <c r="F225" s="25">
        <v>21000</v>
      </c>
      <c r="G225" s="12">
        <v>0</v>
      </c>
      <c r="H225" s="14">
        <f t="shared" si="3"/>
        <v>0</v>
      </c>
      <c r="I225" s="14">
        <v>0</v>
      </c>
      <c r="J225" s="14">
        <v>0</v>
      </c>
      <c r="K225" s="14">
        <f t="shared" si="9"/>
        <v>0</v>
      </c>
      <c r="L225" s="14">
        <v>0</v>
      </c>
      <c r="M225" s="14">
        <v>0</v>
      </c>
      <c r="N225" s="14">
        <f t="shared" si="11"/>
        <v>0</v>
      </c>
      <c r="O225" s="14">
        <f t="shared" si="11"/>
        <v>0</v>
      </c>
      <c r="P225" s="4">
        <f t="shared" si="11"/>
        <v>0</v>
      </c>
      <c r="Q225" s="4">
        <f>IFERROR(SUM(M221:M225)/SUM(J221:J225),"")</f>
        <v>21000</v>
      </c>
      <c r="T225" s="17"/>
    </row>
    <row r="226" spans="2:20" x14ac:dyDescent="0.4">
      <c r="B226" s="16">
        <v>42835</v>
      </c>
      <c r="C226" s="25">
        <v>21000</v>
      </c>
      <c r="D226" s="25">
        <v>21000</v>
      </c>
      <c r="E226" s="25">
        <v>21000</v>
      </c>
      <c r="F226" s="25">
        <v>21000</v>
      </c>
      <c r="G226" s="12">
        <v>0</v>
      </c>
      <c r="H226" s="14">
        <f t="shared" si="3"/>
        <v>0</v>
      </c>
      <c r="I226" s="14">
        <v>0</v>
      </c>
      <c r="J226" s="14">
        <v>0</v>
      </c>
      <c r="K226" s="14">
        <f t="shared" si="9"/>
        <v>0</v>
      </c>
      <c r="L226" s="14">
        <v>0</v>
      </c>
      <c r="M226" s="14">
        <v>0</v>
      </c>
      <c r="N226" s="14">
        <f t="shared" si="11"/>
        <v>0</v>
      </c>
      <c r="O226" s="14">
        <f t="shared" si="11"/>
        <v>0</v>
      </c>
      <c r="P226" s="4">
        <f t="shared" si="11"/>
        <v>0</v>
      </c>
      <c r="Q226" s="22"/>
      <c r="T226" s="17"/>
    </row>
    <row r="227" spans="2:20" x14ac:dyDescent="0.4">
      <c r="B227" s="16">
        <v>42836</v>
      </c>
      <c r="C227" s="25">
        <v>21000</v>
      </c>
      <c r="D227" s="25">
        <v>21000</v>
      </c>
      <c r="E227" s="25">
        <v>21000</v>
      </c>
      <c r="F227" s="25">
        <v>21000</v>
      </c>
      <c r="G227" s="12">
        <v>0</v>
      </c>
      <c r="H227" s="14">
        <f t="shared" si="3"/>
        <v>0</v>
      </c>
      <c r="I227" s="14">
        <v>0</v>
      </c>
      <c r="J227" s="14">
        <v>0</v>
      </c>
      <c r="K227" s="14">
        <f t="shared" si="9"/>
        <v>0</v>
      </c>
      <c r="L227" s="14">
        <v>0</v>
      </c>
      <c r="M227" s="14">
        <v>0</v>
      </c>
      <c r="N227" s="14">
        <f t="shared" si="11"/>
        <v>0</v>
      </c>
      <c r="O227" s="14">
        <f t="shared" si="11"/>
        <v>0</v>
      </c>
      <c r="P227" s="4">
        <f t="shared" si="11"/>
        <v>0</v>
      </c>
      <c r="Q227" s="22"/>
      <c r="T227" s="17"/>
    </row>
    <row r="228" spans="2:20" x14ac:dyDescent="0.4">
      <c r="B228" s="16">
        <v>42837</v>
      </c>
      <c r="C228" s="25">
        <v>21000</v>
      </c>
      <c r="D228" s="25">
        <v>21000</v>
      </c>
      <c r="E228" s="25">
        <v>21000</v>
      </c>
      <c r="F228" s="25">
        <v>21000</v>
      </c>
      <c r="G228" s="12">
        <v>0</v>
      </c>
      <c r="H228" s="14">
        <f t="shared" si="3"/>
        <v>0</v>
      </c>
      <c r="I228" s="14">
        <v>0</v>
      </c>
      <c r="J228" s="14">
        <v>0</v>
      </c>
      <c r="K228" s="14">
        <f t="shared" si="9"/>
        <v>0</v>
      </c>
      <c r="L228" s="14">
        <v>0</v>
      </c>
      <c r="M228" s="14">
        <v>0</v>
      </c>
      <c r="N228" s="14">
        <f t="shared" si="11"/>
        <v>0</v>
      </c>
      <c r="O228" s="14">
        <f t="shared" si="11"/>
        <v>0</v>
      </c>
      <c r="P228" s="4">
        <f t="shared" si="11"/>
        <v>0</v>
      </c>
      <c r="Q228" s="22"/>
      <c r="T228" s="17"/>
    </row>
    <row r="229" spans="2:20" x14ac:dyDescent="0.4">
      <c r="B229" s="16">
        <v>42838</v>
      </c>
      <c r="C229" s="25">
        <v>21000</v>
      </c>
      <c r="D229" s="25">
        <v>21000</v>
      </c>
      <c r="E229" s="25">
        <v>21000</v>
      </c>
      <c r="F229" s="25">
        <v>21000</v>
      </c>
      <c r="G229" s="12">
        <v>0</v>
      </c>
      <c r="H229" s="14">
        <f t="shared" si="3"/>
        <v>0</v>
      </c>
      <c r="I229" s="14">
        <v>0</v>
      </c>
      <c r="J229" s="14">
        <v>0</v>
      </c>
      <c r="K229" s="14">
        <f t="shared" si="9"/>
        <v>0</v>
      </c>
      <c r="L229" s="14">
        <v>0</v>
      </c>
      <c r="M229" s="14">
        <v>0</v>
      </c>
      <c r="N229" s="14">
        <f t="shared" si="11"/>
        <v>0</v>
      </c>
      <c r="O229" s="14">
        <f t="shared" si="11"/>
        <v>0</v>
      </c>
      <c r="P229" s="4">
        <f t="shared" si="11"/>
        <v>0</v>
      </c>
      <c r="Q229" s="22"/>
      <c r="T229" s="17"/>
    </row>
    <row r="230" spans="2:20" x14ac:dyDescent="0.4">
      <c r="B230" s="16">
        <v>42839</v>
      </c>
      <c r="C230" s="25">
        <v>21000</v>
      </c>
      <c r="D230" s="25">
        <v>21000</v>
      </c>
      <c r="E230" s="25">
        <v>21000</v>
      </c>
      <c r="F230" s="25">
        <v>21000</v>
      </c>
      <c r="G230" s="12">
        <v>0</v>
      </c>
      <c r="H230" s="14">
        <f t="shared" si="3"/>
        <v>0</v>
      </c>
      <c r="I230" s="14">
        <v>0</v>
      </c>
      <c r="J230" s="14">
        <v>0</v>
      </c>
      <c r="K230" s="14">
        <f t="shared" si="9"/>
        <v>0</v>
      </c>
      <c r="L230" s="14">
        <v>0</v>
      </c>
      <c r="M230" s="14">
        <v>0</v>
      </c>
      <c r="N230" s="14">
        <f t="shared" si="11"/>
        <v>0</v>
      </c>
      <c r="O230" s="14">
        <f t="shared" si="11"/>
        <v>0</v>
      </c>
      <c r="P230" s="4">
        <f t="shared" si="11"/>
        <v>0</v>
      </c>
      <c r="Q230" s="4" t="str">
        <f>IFERROR(SUM(M226:M230)/SUM(J226:J230),"")</f>
        <v/>
      </c>
      <c r="T230" s="17"/>
    </row>
    <row r="231" spans="2:20" x14ac:dyDescent="0.4">
      <c r="B231" s="16">
        <v>42842</v>
      </c>
      <c r="C231" s="25">
        <v>21000</v>
      </c>
      <c r="D231" s="25">
        <v>21000</v>
      </c>
      <c r="E231" s="25">
        <v>21000</v>
      </c>
      <c r="F231" s="25">
        <v>21000</v>
      </c>
      <c r="G231" s="12">
        <v>0</v>
      </c>
      <c r="H231" s="14">
        <f t="shared" si="3"/>
        <v>0</v>
      </c>
      <c r="I231" s="14">
        <v>0</v>
      </c>
      <c r="J231" s="14">
        <v>0</v>
      </c>
      <c r="K231" s="14">
        <f t="shared" si="9"/>
        <v>0</v>
      </c>
      <c r="L231" s="14">
        <v>0</v>
      </c>
      <c r="M231" s="14">
        <v>0</v>
      </c>
      <c r="N231" s="14">
        <f t="shared" si="11"/>
        <v>0</v>
      </c>
      <c r="O231" s="14">
        <f t="shared" si="11"/>
        <v>0</v>
      </c>
      <c r="P231" s="4">
        <f t="shared" si="11"/>
        <v>0</v>
      </c>
      <c r="Q231" s="22"/>
      <c r="T231" s="17"/>
    </row>
    <row r="232" spans="2:20" x14ac:dyDescent="0.4">
      <c r="B232" s="16">
        <v>42843</v>
      </c>
      <c r="C232" s="25">
        <v>21000</v>
      </c>
      <c r="D232" s="25">
        <v>21000</v>
      </c>
      <c r="E232" s="25">
        <v>21000</v>
      </c>
      <c r="F232" s="25">
        <v>21000</v>
      </c>
      <c r="G232" s="12">
        <v>0</v>
      </c>
      <c r="H232" s="14">
        <f t="shared" si="3"/>
        <v>0</v>
      </c>
      <c r="I232" s="14">
        <v>0</v>
      </c>
      <c r="J232" s="14">
        <v>0</v>
      </c>
      <c r="K232" s="14">
        <f t="shared" si="9"/>
        <v>0</v>
      </c>
      <c r="L232" s="14">
        <v>0</v>
      </c>
      <c r="M232" s="14">
        <v>0</v>
      </c>
      <c r="N232" s="14">
        <f t="shared" si="11"/>
        <v>0</v>
      </c>
      <c r="O232" s="14">
        <f t="shared" si="11"/>
        <v>0</v>
      </c>
      <c r="P232" s="4">
        <f t="shared" si="11"/>
        <v>0</v>
      </c>
      <c r="Q232" s="22"/>
      <c r="T232" s="17"/>
    </row>
    <row r="233" spans="2:20" x14ac:dyDescent="0.4">
      <c r="B233" s="16">
        <v>42844</v>
      </c>
      <c r="C233" s="21">
        <v>20900</v>
      </c>
      <c r="D233" s="21">
        <v>20900</v>
      </c>
      <c r="E233" s="21">
        <v>20900</v>
      </c>
      <c r="F233" s="21">
        <v>20900</v>
      </c>
      <c r="G233" s="12">
        <v>-0.48</v>
      </c>
      <c r="H233" s="14">
        <f t="shared" si="3"/>
        <v>0</v>
      </c>
      <c r="I233" s="14">
        <v>0</v>
      </c>
      <c r="J233" s="14">
        <v>0</v>
      </c>
      <c r="K233" s="14">
        <f t="shared" si="9"/>
        <v>0</v>
      </c>
      <c r="L233" s="14">
        <v>0</v>
      </c>
      <c r="M233" s="14">
        <v>0</v>
      </c>
      <c r="N233" s="14">
        <f t="shared" si="11"/>
        <v>0</v>
      </c>
      <c r="O233" s="14">
        <f t="shared" si="11"/>
        <v>0</v>
      </c>
      <c r="P233" s="4">
        <f t="shared" si="11"/>
        <v>0</v>
      </c>
      <c r="Q233" s="22"/>
      <c r="T233" s="17"/>
    </row>
    <row r="234" spans="2:20" x14ac:dyDescent="0.4">
      <c r="B234" s="16">
        <v>42845</v>
      </c>
      <c r="C234" s="21">
        <v>20900</v>
      </c>
      <c r="D234" s="21">
        <v>20900</v>
      </c>
      <c r="E234" s="21">
        <v>20900</v>
      </c>
      <c r="F234" s="21">
        <v>20900</v>
      </c>
      <c r="G234" s="12">
        <v>0</v>
      </c>
      <c r="H234" s="14">
        <f t="shared" si="3"/>
        <v>0</v>
      </c>
      <c r="I234" s="14">
        <v>0</v>
      </c>
      <c r="J234" s="14">
        <v>0</v>
      </c>
      <c r="K234" s="14">
        <f t="shared" si="9"/>
        <v>0</v>
      </c>
      <c r="L234" s="14">
        <v>0</v>
      </c>
      <c r="M234" s="14">
        <v>0</v>
      </c>
      <c r="N234" s="14">
        <f t="shared" si="11"/>
        <v>0</v>
      </c>
      <c r="O234" s="14">
        <f t="shared" si="11"/>
        <v>0</v>
      </c>
      <c r="P234" s="4">
        <f t="shared" si="11"/>
        <v>0</v>
      </c>
      <c r="Q234" s="22"/>
      <c r="T234" s="17"/>
    </row>
    <row r="235" spans="2:20" x14ac:dyDescent="0.4">
      <c r="B235" s="16">
        <v>42846</v>
      </c>
      <c r="C235" s="21">
        <v>20900</v>
      </c>
      <c r="D235" s="21">
        <v>20900</v>
      </c>
      <c r="E235" s="21">
        <v>20900</v>
      </c>
      <c r="F235" s="21">
        <v>20900</v>
      </c>
      <c r="G235" s="12">
        <v>0</v>
      </c>
      <c r="H235" s="14">
        <f t="shared" si="3"/>
        <v>0</v>
      </c>
      <c r="I235" s="14">
        <v>0</v>
      </c>
      <c r="J235" s="14">
        <v>0</v>
      </c>
      <c r="K235" s="14">
        <f t="shared" si="9"/>
        <v>0</v>
      </c>
      <c r="L235" s="14">
        <v>0</v>
      </c>
      <c r="M235" s="14">
        <v>0</v>
      </c>
      <c r="N235" s="14">
        <f t="shared" si="11"/>
        <v>0</v>
      </c>
      <c r="O235" s="14">
        <f t="shared" si="11"/>
        <v>0</v>
      </c>
      <c r="P235" s="4">
        <f t="shared" si="11"/>
        <v>0</v>
      </c>
      <c r="Q235" s="4" t="str">
        <f>IFERROR(SUM(M231:M235)/SUM(J231:J235),"")</f>
        <v/>
      </c>
      <c r="T235" s="17"/>
    </row>
    <row r="236" spans="2:20" x14ac:dyDescent="0.4">
      <c r="B236" s="16">
        <v>42849</v>
      </c>
      <c r="C236" s="21">
        <v>20900</v>
      </c>
      <c r="D236" s="21">
        <v>20900</v>
      </c>
      <c r="E236" s="21">
        <v>20900</v>
      </c>
      <c r="F236" s="21">
        <v>20900</v>
      </c>
      <c r="G236" s="12">
        <v>0</v>
      </c>
      <c r="H236" s="14">
        <f t="shared" si="3"/>
        <v>0</v>
      </c>
      <c r="I236" s="14">
        <v>0</v>
      </c>
      <c r="J236" s="14">
        <v>0</v>
      </c>
      <c r="K236" s="14">
        <f t="shared" si="9"/>
        <v>0</v>
      </c>
      <c r="L236" s="14">
        <v>0</v>
      </c>
      <c r="M236" s="14">
        <v>0</v>
      </c>
      <c r="N236" s="14">
        <f t="shared" si="11"/>
        <v>0</v>
      </c>
      <c r="O236" s="14">
        <f t="shared" si="11"/>
        <v>0</v>
      </c>
      <c r="P236" s="4">
        <f t="shared" si="11"/>
        <v>0</v>
      </c>
      <c r="Q236" s="22"/>
      <c r="T236" s="17"/>
    </row>
    <row r="237" spans="2:20" x14ac:dyDescent="0.4">
      <c r="B237" s="16">
        <v>42850</v>
      </c>
      <c r="C237" s="21">
        <v>20900</v>
      </c>
      <c r="D237" s="21">
        <v>20900</v>
      </c>
      <c r="E237" s="21">
        <v>20900</v>
      </c>
      <c r="F237" s="21">
        <v>20900</v>
      </c>
      <c r="G237" s="12">
        <v>0</v>
      </c>
      <c r="H237" s="14">
        <f t="shared" si="3"/>
        <v>0</v>
      </c>
      <c r="I237" s="14">
        <v>0</v>
      </c>
      <c r="J237" s="14">
        <v>0</v>
      </c>
      <c r="K237" s="14">
        <f t="shared" si="9"/>
        <v>0</v>
      </c>
      <c r="L237" s="14">
        <v>0</v>
      </c>
      <c r="M237" s="14">
        <v>0</v>
      </c>
      <c r="N237" s="14">
        <f t="shared" si="11"/>
        <v>0</v>
      </c>
      <c r="O237" s="14">
        <f t="shared" si="11"/>
        <v>0</v>
      </c>
      <c r="P237" s="4">
        <f t="shared" si="11"/>
        <v>0</v>
      </c>
      <c r="Q237" s="22"/>
      <c r="T237" s="17"/>
    </row>
    <row r="238" spans="2:20" x14ac:dyDescent="0.4">
      <c r="B238" s="16">
        <v>42851</v>
      </c>
      <c r="C238" s="21">
        <v>20900</v>
      </c>
      <c r="D238" s="21">
        <v>20900</v>
      </c>
      <c r="E238" s="21">
        <v>20900</v>
      </c>
      <c r="F238" s="21">
        <v>20900</v>
      </c>
      <c r="G238" s="12">
        <v>0</v>
      </c>
      <c r="H238" s="14">
        <f t="shared" si="3"/>
        <v>0</v>
      </c>
      <c r="I238" s="14">
        <v>0</v>
      </c>
      <c r="J238" s="14">
        <v>0</v>
      </c>
      <c r="K238" s="14">
        <f t="shared" si="9"/>
        <v>0</v>
      </c>
      <c r="L238" s="14">
        <v>0</v>
      </c>
      <c r="M238" s="14">
        <v>0</v>
      </c>
      <c r="N238" s="14">
        <f t="shared" si="11"/>
        <v>0</v>
      </c>
      <c r="O238" s="14">
        <f t="shared" si="11"/>
        <v>0</v>
      </c>
      <c r="P238" s="4">
        <f t="shared" si="11"/>
        <v>0</v>
      </c>
      <c r="Q238" s="22"/>
      <c r="T238" s="17"/>
    </row>
    <row r="239" spans="2:20" x14ac:dyDescent="0.4">
      <c r="B239" s="16">
        <v>42852</v>
      </c>
      <c r="C239" s="21">
        <v>20900</v>
      </c>
      <c r="D239" s="21">
        <v>20900</v>
      </c>
      <c r="E239" s="21">
        <v>20900</v>
      </c>
      <c r="F239" s="21">
        <v>20900</v>
      </c>
      <c r="G239" s="12">
        <v>0</v>
      </c>
      <c r="H239" s="14">
        <f t="shared" si="3"/>
        <v>0</v>
      </c>
      <c r="I239" s="14">
        <v>0</v>
      </c>
      <c r="J239" s="14">
        <v>0</v>
      </c>
      <c r="K239" s="14">
        <f t="shared" si="9"/>
        <v>0</v>
      </c>
      <c r="L239" s="14">
        <v>0</v>
      </c>
      <c r="M239" s="14">
        <v>0</v>
      </c>
      <c r="N239" s="14">
        <f t="shared" si="11"/>
        <v>0</v>
      </c>
      <c r="O239" s="14">
        <f t="shared" si="11"/>
        <v>0</v>
      </c>
      <c r="P239" s="4">
        <f t="shared" si="11"/>
        <v>0</v>
      </c>
      <c r="Q239" s="22"/>
      <c r="T239" s="17"/>
    </row>
    <row r="240" spans="2:20" x14ac:dyDescent="0.4">
      <c r="B240" s="16">
        <v>42853</v>
      </c>
      <c r="C240" s="21">
        <v>20900</v>
      </c>
      <c r="D240" s="21">
        <v>20900</v>
      </c>
      <c r="E240" s="21">
        <v>20900</v>
      </c>
      <c r="F240" s="21">
        <v>20900</v>
      </c>
      <c r="G240" s="12">
        <v>0</v>
      </c>
      <c r="H240" s="14">
        <f t="shared" si="3"/>
        <v>0</v>
      </c>
      <c r="I240" s="14">
        <v>0</v>
      </c>
      <c r="J240" s="14">
        <v>0</v>
      </c>
      <c r="K240" s="14">
        <f t="shared" si="9"/>
        <v>0</v>
      </c>
      <c r="L240" s="14">
        <v>0</v>
      </c>
      <c r="M240" s="14">
        <v>0</v>
      </c>
      <c r="N240" s="14">
        <f t="shared" si="11"/>
        <v>0</v>
      </c>
      <c r="O240" s="14">
        <f t="shared" si="11"/>
        <v>0</v>
      </c>
      <c r="P240" s="4">
        <f t="shared" si="11"/>
        <v>0</v>
      </c>
      <c r="Q240" s="4" t="str">
        <f>IFERROR(SUM(M236:M240)/SUM(J236:J240),"")</f>
        <v/>
      </c>
      <c r="T240" s="17"/>
    </row>
    <row r="241" spans="2:20" x14ac:dyDescent="0.4">
      <c r="B241" s="16">
        <v>42857</v>
      </c>
      <c r="C241" s="21">
        <v>20900</v>
      </c>
      <c r="D241" s="21">
        <v>20900</v>
      </c>
      <c r="E241" s="21">
        <v>20900</v>
      </c>
      <c r="F241" s="21">
        <v>20900</v>
      </c>
      <c r="G241" s="12">
        <v>0</v>
      </c>
      <c r="H241" s="14">
        <f t="shared" si="3"/>
        <v>0</v>
      </c>
      <c r="I241" s="14">
        <v>0</v>
      </c>
      <c r="J241" s="14">
        <v>0</v>
      </c>
      <c r="K241" s="14">
        <f t="shared" si="9"/>
        <v>0</v>
      </c>
      <c r="L241" s="14">
        <v>0</v>
      </c>
      <c r="M241" s="14">
        <v>0</v>
      </c>
      <c r="N241" s="14">
        <f t="shared" si="11"/>
        <v>0</v>
      </c>
      <c r="O241" s="14">
        <f t="shared" si="11"/>
        <v>0</v>
      </c>
      <c r="P241" s="4">
        <f t="shared" si="11"/>
        <v>0</v>
      </c>
      <c r="Q241" s="22"/>
      <c r="T241" s="17"/>
    </row>
    <row r="242" spans="2:20" x14ac:dyDescent="0.4">
      <c r="B242" s="16">
        <v>42859</v>
      </c>
      <c r="C242" s="21">
        <v>20900</v>
      </c>
      <c r="D242" s="21">
        <v>20900</v>
      </c>
      <c r="E242" s="21">
        <v>20900</v>
      </c>
      <c r="F242" s="21">
        <v>20900</v>
      </c>
      <c r="G242" s="12">
        <v>0</v>
      </c>
      <c r="H242" s="14">
        <f t="shared" si="3"/>
        <v>0</v>
      </c>
      <c r="I242" s="14">
        <v>0</v>
      </c>
      <c r="J242" s="14">
        <v>0</v>
      </c>
      <c r="K242" s="14">
        <f t="shared" si="9"/>
        <v>0</v>
      </c>
      <c r="L242" s="14">
        <v>0</v>
      </c>
      <c r="M242" s="14">
        <v>0</v>
      </c>
      <c r="N242" s="14">
        <f t="shared" si="11"/>
        <v>0</v>
      </c>
      <c r="O242" s="14">
        <f t="shared" si="11"/>
        <v>0</v>
      </c>
      <c r="P242" s="4">
        <f t="shared" si="11"/>
        <v>0</v>
      </c>
      <c r="Q242" s="22"/>
      <c r="T242" s="17"/>
    </row>
    <row r="243" spans="2:20" x14ac:dyDescent="0.4">
      <c r="B243" s="16">
        <v>42863</v>
      </c>
      <c r="C243" s="21">
        <v>20900</v>
      </c>
      <c r="D243" s="21">
        <v>20900</v>
      </c>
      <c r="E243" s="21">
        <v>20900</v>
      </c>
      <c r="F243" s="21">
        <v>20900</v>
      </c>
      <c r="G243" s="12">
        <v>0</v>
      </c>
      <c r="H243" s="14">
        <f t="shared" si="3"/>
        <v>0</v>
      </c>
      <c r="I243" s="14">
        <v>0</v>
      </c>
      <c r="J243" s="14">
        <v>0</v>
      </c>
      <c r="K243" s="14">
        <f t="shared" si="9"/>
        <v>0</v>
      </c>
      <c r="L243" s="14">
        <v>0</v>
      </c>
      <c r="M243" s="14">
        <v>0</v>
      </c>
      <c r="N243" s="14">
        <f t="shared" si="11"/>
        <v>0</v>
      </c>
      <c r="O243" s="14">
        <f t="shared" si="11"/>
        <v>0</v>
      </c>
      <c r="P243" s="4">
        <f t="shared" si="11"/>
        <v>0</v>
      </c>
      <c r="Q243" s="22"/>
      <c r="T243" s="17"/>
    </row>
    <row r="244" spans="2:20" x14ac:dyDescent="0.4">
      <c r="B244" s="16">
        <v>42865</v>
      </c>
      <c r="C244" s="21">
        <v>20900</v>
      </c>
      <c r="D244" s="21">
        <v>20900</v>
      </c>
      <c r="E244" s="21">
        <v>20900</v>
      </c>
      <c r="F244" s="21">
        <v>20900</v>
      </c>
      <c r="G244" s="12">
        <v>0</v>
      </c>
      <c r="H244" s="14">
        <f t="shared" si="3"/>
        <v>0</v>
      </c>
      <c r="I244" s="14">
        <v>0</v>
      </c>
      <c r="J244" s="14">
        <v>0</v>
      </c>
      <c r="K244" s="14">
        <f t="shared" si="9"/>
        <v>0</v>
      </c>
      <c r="L244" s="14">
        <v>0</v>
      </c>
      <c r="M244" s="14">
        <v>0</v>
      </c>
      <c r="N244" s="14">
        <f t="shared" si="11"/>
        <v>0</v>
      </c>
      <c r="O244" s="14">
        <f t="shared" si="11"/>
        <v>0</v>
      </c>
      <c r="P244" s="4">
        <f t="shared" si="11"/>
        <v>0</v>
      </c>
      <c r="Q244" s="22"/>
      <c r="T244" s="17"/>
    </row>
    <row r="245" spans="2:20" x14ac:dyDescent="0.4">
      <c r="B245" s="16">
        <v>42866</v>
      </c>
      <c r="C245" s="21">
        <v>20900</v>
      </c>
      <c r="D245" s="21">
        <v>20900</v>
      </c>
      <c r="E245" s="21">
        <v>20900</v>
      </c>
      <c r="F245" s="21">
        <v>20900</v>
      </c>
      <c r="G245" s="12">
        <v>0</v>
      </c>
      <c r="H245" s="14">
        <f t="shared" si="3"/>
        <v>0</v>
      </c>
      <c r="I245" s="14">
        <v>0</v>
      </c>
      <c r="J245" s="14">
        <v>0</v>
      </c>
      <c r="K245" s="14">
        <f t="shared" si="9"/>
        <v>0</v>
      </c>
      <c r="L245" s="14">
        <v>0</v>
      </c>
      <c r="M245" s="14">
        <v>0</v>
      </c>
      <c r="N245" s="14">
        <f t="shared" si="11"/>
        <v>0</v>
      </c>
      <c r="O245" s="14">
        <f t="shared" si="11"/>
        <v>0</v>
      </c>
      <c r="P245" s="4">
        <f t="shared" si="11"/>
        <v>0</v>
      </c>
      <c r="Q245" s="22"/>
      <c r="T245" s="17"/>
    </row>
    <row r="246" spans="2:20" x14ac:dyDescent="0.4">
      <c r="B246" s="16">
        <v>42867</v>
      </c>
      <c r="C246" s="21">
        <v>20900</v>
      </c>
      <c r="D246" s="21">
        <v>20900</v>
      </c>
      <c r="E246" s="21">
        <v>20900</v>
      </c>
      <c r="F246" s="21">
        <v>20900</v>
      </c>
      <c r="G246" s="12">
        <v>0</v>
      </c>
      <c r="H246" s="14">
        <f t="shared" si="3"/>
        <v>0</v>
      </c>
      <c r="I246" s="14">
        <v>0</v>
      </c>
      <c r="J246" s="14">
        <v>0</v>
      </c>
      <c r="K246" s="14">
        <f t="shared" si="9"/>
        <v>0</v>
      </c>
      <c r="L246" s="14">
        <v>0</v>
      </c>
      <c r="M246" s="14">
        <v>0</v>
      </c>
      <c r="N246" s="14">
        <f t="shared" si="11"/>
        <v>0</v>
      </c>
      <c r="O246" s="14">
        <f t="shared" si="11"/>
        <v>0</v>
      </c>
      <c r="P246" s="4">
        <f t="shared" si="11"/>
        <v>0</v>
      </c>
      <c r="Q246" s="4" t="str">
        <f>IFERROR(SUM(M242:M246)/SUM(J242:J246),"")</f>
        <v/>
      </c>
      <c r="T246" s="17"/>
    </row>
    <row r="247" spans="2:20" x14ac:dyDescent="0.4">
      <c r="B247" s="16">
        <v>42870</v>
      </c>
      <c r="C247" s="21">
        <v>20900</v>
      </c>
      <c r="D247" s="21">
        <v>20900</v>
      </c>
      <c r="E247" s="21">
        <v>20900</v>
      </c>
      <c r="F247" s="21">
        <v>20900</v>
      </c>
      <c r="G247" s="12">
        <v>0</v>
      </c>
      <c r="H247" s="14">
        <f t="shared" si="3"/>
        <v>0</v>
      </c>
      <c r="I247" s="14">
        <v>0</v>
      </c>
      <c r="J247" s="14">
        <v>0</v>
      </c>
      <c r="K247" s="14">
        <f t="shared" si="9"/>
        <v>0</v>
      </c>
      <c r="L247" s="14">
        <v>0</v>
      </c>
      <c r="M247" s="14">
        <v>0</v>
      </c>
      <c r="N247" s="14">
        <f t="shared" si="11"/>
        <v>0</v>
      </c>
      <c r="O247" s="14">
        <f t="shared" si="11"/>
        <v>0</v>
      </c>
      <c r="P247" s="4">
        <f t="shared" si="11"/>
        <v>0</v>
      </c>
      <c r="Q247" s="22"/>
      <c r="T247" s="17"/>
    </row>
    <row r="248" spans="2:20" x14ac:dyDescent="0.4">
      <c r="B248" s="16">
        <v>42871</v>
      </c>
      <c r="C248" s="21">
        <v>20900</v>
      </c>
      <c r="D248" s="21">
        <v>20900</v>
      </c>
      <c r="E248" s="21">
        <v>20900</v>
      </c>
      <c r="F248" s="21">
        <v>20900</v>
      </c>
      <c r="G248" s="12">
        <v>0</v>
      </c>
      <c r="H248" s="14">
        <f t="shared" si="3"/>
        <v>0</v>
      </c>
      <c r="I248" s="14">
        <v>0</v>
      </c>
      <c r="J248" s="14">
        <v>0</v>
      </c>
      <c r="K248" s="14">
        <f t="shared" si="9"/>
        <v>0</v>
      </c>
      <c r="L248" s="14">
        <v>0</v>
      </c>
      <c r="M248" s="14">
        <v>0</v>
      </c>
      <c r="N248" s="14">
        <f t="shared" si="11"/>
        <v>0</v>
      </c>
      <c r="O248" s="14">
        <f t="shared" si="11"/>
        <v>0</v>
      </c>
      <c r="P248" s="4">
        <f t="shared" si="11"/>
        <v>0</v>
      </c>
      <c r="Q248" s="22"/>
      <c r="T248" s="17"/>
    </row>
    <row r="249" spans="2:20" x14ac:dyDescent="0.4">
      <c r="B249" s="16">
        <v>42872</v>
      </c>
      <c r="C249" s="21">
        <v>20900</v>
      </c>
      <c r="D249" s="21">
        <v>20900</v>
      </c>
      <c r="E249" s="21">
        <v>20900</v>
      </c>
      <c r="F249" s="21">
        <v>20900</v>
      </c>
      <c r="G249" s="12">
        <v>0</v>
      </c>
      <c r="H249" s="14">
        <f t="shared" si="3"/>
        <v>0</v>
      </c>
      <c r="I249" s="14">
        <v>0</v>
      </c>
      <c r="J249" s="14">
        <v>0</v>
      </c>
      <c r="K249" s="14">
        <f t="shared" si="9"/>
        <v>0</v>
      </c>
      <c r="L249" s="14">
        <v>0</v>
      </c>
      <c r="M249" s="14">
        <v>0</v>
      </c>
      <c r="N249" s="14">
        <f t="shared" si="11"/>
        <v>0</v>
      </c>
      <c r="O249" s="14">
        <f t="shared" si="11"/>
        <v>0</v>
      </c>
      <c r="P249" s="4">
        <f t="shared" si="11"/>
        <v>0</v>
      </c>
      <c r="Q249" s="22"/>
      <c r="T249" s="17"/>
    </row>
    <row r="250" spans="2:20" x14ac:dyDescent="0.4">
      <c r="B250" s="16">
        <v>42873</v>
      </c>
      <c r="C250" s="21">
        <v>20900</v>
      </c>
      <c r="D250" s="21">
        <v>20900</v>
      </c>
      <c r="E250" s="21">
        <v>20900</v>
      </c>
      <c r="F250" s="21">
        <v>20900</v>
      </c>
      <c r="G250" s="12">
        <v>0</v>
      </c>
      <c r="H250" s="14">
        <f t="shared" si="3"/>
        <v>0</v>
      </c>
      <c r="I250" s="14">
        <v>0</v>
      </c>
      <c r="J250" s="14">
        <v>0</v>
      </c>
      <c r="K250" s="14">
        <f t="shared" si="9"/>
        <v>0</v>
      </c>
      <c r="L250" s="14">
        <v>0</v>
      </c>
      <c r="M250" s="14">
        <v>0</v>
      </c>
      <c r="N250" s="14">
        <f t="shared" si="11"/>
        <v>0</v>
      </c>
      <c r="O250" s="14">
        <f t="shared" si="11"/>
        <v>0</v>
      </c>
      <c r="P250" s="4">
        <f t="shared" si="11"/>
        <v>0</v>
      </c>
      <c r="Q250" s="22"/>
      <c r="T250" s="17"/>
    </row>
    <row r="251" spans="2:20" x14ac:dyDescent="0.4">
      <c r="B251" s="16">
        <v>42874</v>
      </c>
      <c r="C251" s="21">
        <v>20900</v>
      </c>
      <c r="D251" s="21">
        <v>20900</v>
      </c>
      <c r="E251" s="21">
        <v>20900</v>
      </c>
      <c r="F251" s="21">
        <v>20900</v>
      </c>
      <c r="G251" s="12">
        <v>0</v>
      </c>
      <c r="H251" s="14">
        <f t="shared" si="3"/>
        <v>0</v>
      </c>
      <c r="I251" s="14">
        <v>0</v>
      </c>
      <c r="J251" s="14">
        <v>0</v>
      </c>
      <c r="K251" s="14">
        <f t="shared" si="9"/>
        <v>0</v>
      </c>
      <c r="L251" s="14">
        <v>0</v>
      </c>
      <c r="M251" s="14">
        <v>0</v>
      </c>
      <c r="N251" s="14">
        <f t="shared" si="11"/>
        <v>0</v>
      </c>
      <c r="O251" s="14">
        <f t="shared" si="11"/>
        <v>0</v>
      </c>
      <c r="P251" s="4">
        <f t="shared" si="11"/>
        <v>0</v>
      </c>
      <c r="Q251" s="4" t="str">
        <f>IFERROR(SUM(M247:M251)/SUM(J247:J251),"")</f>
        <v/>
      </c>
      <c r="T251" s="17"/>
    </row>
    <row r="252" spans="2:20" x14ac:dyDescent="0.4">
      <c r="B252" s="16">
        <v>42877</v>
      </c>
      <c r="C252" s="21">
        <v>20700</v>
      </c>
      <c r="D252" s="21">
        <v>20700</v>
      </c>
      <c r="E252" s="21">
        <v>20700</v>
      </c>
      <c r="F252" s="21">
        <v>20700</v>
      </c>
      <c r="G252" s="12">
        <v>-0.96</v>
      </c>
      <c r="H252" s="14">
        <f t="shared" si="3"/>
        <v>0</v>
      </c>
      <c r="I252" s="14">
        <v>0</v>
      </c>
      <c r="J252" s="14">
        <v>0</v>
      </c>
      <c r="K252" s="14">
        <f t="shared" si="9"/>
        <v>0</v>
      </c>
      <c r="L252" s="14">
        <v>0</v>
      </c>
      <c r="M252" s="14">
        <v>0</v>
      </c>
      <c r="N252" s="14">
        <f t="shared" si="11"/>
        <v>0</v>
      </c>
      <c r="O252" s="14">
        <f t="shared" si="11"/>
        <v>0</v>
      </c>
      <c r="P252" s="4">
        <f t="shared" si="11"/>
        <v>0</v>
      </c>
      <c r="Q252" s="22"/>
      <c r="T252" s="17"/>
    </row>
    <row r="253" spans="2:20" x14ac:dyDescent="0.4">
      <c r="B253" s="16">
        <v>42878</v>
      </c>
      <c r="C253" s="21">
        <v>20700</v>
      </c>
      <c r="D253" s="21">
        <v>20700</v>
      </c>
      <c r="E253" s="21">
        <v>20700</v>
      </c>
      <c r="F253" s="21">
        <v>20700</v>
      </c>
      <c r="G253" s="12">
        <v>0</v>
      </c>
      <c r="H253" s="14">
        <f t="shared" si="3"/>
        <v>0</v>
      </c>
      <c r="I253" s="14">
        <v>0</v>
      </c>
      <c r="J253" s="14">
        <v>0</v>
      </c>
      <c r="K253" s="14">
        <f t="shared" si="9"/>
        <v>0</v>
      </c>
      <c r="L253" s="14">
        <v>0</v>
      </c>
      <c r="M253" s="14">
        <v>0</v>
      </c>
      <c r="N253" s="14">
        <f t="shared" si="11"/>
        <v>0</v>
      </c>
      <c r="O253" s="14">
        <f t="shared" si="11"/>
        <v>0</v>
      </c>
      <c r="P253" s="4">
        <f t="shared" si="11"/>
        <v>0</v>
      </c>
      <c r="Q253" s="22"/>
      <c r="T253" s="17"/>
    </row>
    <row r="254" spans="2:20" x14ac:dyDescent="0.4">
      <c r="B254" s="16">
        <v>42879</v>
      </c>
      <c r="C254" s="21">
        <v>20700</v>
      </c>
      <c r="D254" s="21">
        <v>20700</v>
      </c>
      <c r="E254" s="21">
        <v>20700</v>
      </c>
      <c r="F254" s="21">
        <v>20700</v>
      </c>
      <c r="G254" s="12">
        <v>0</v>
      </c>
      <c r="H254" s="14">
        <f t="shared" si="3"/>
        <v>0</v>
      </c>
      <c r="I254" s="14">
        <v>0</v>
      </c>
      <c r="J254" s="14">
        <v>0</v>
      </c>
      <c r="K254" s="14">
        <f t="shared" si="9"/>
        <v>0</v>
      </c>
      <c r="L254" s="14">
        <v>0</v>
      </c>
      <c r="M254" s="14">
        <v>0</v>
      </c>
      <c r="N254" s="14">
        <f t="shared" si="11"/>
        <v>0</v>
      </c>
      <c r="O254" s="14">
        <f t="shared" si="11"/>
        <v>0</v>
      </c>
      <c r="P254" s="4">
        <f t="shared" si="11"/>
        <v>0</v>
      </c>
      <c r="Q254" s="22"/>
      <c r="T254" s="17"/>
    </row>
    <row r="255" spans="2:20" x14ac:dyDescent="0.4">
      <c r="B255" s="16">
        <v>42880</v>
      </c>
      <c r="C255" s="21">
        <v>20900</v>
      </c>
      <c r="D255" s="21">
        <v>20900</v>
      </c>
      <c r="E255" s="21">
        <v>20900</v>
      </c>
      <c r="F255" s="21">
        <v>20900</v>
      </c>
      <c r="G255" s="12">
        <v>0.97</v>
      </c>
      <c r="H255" s="14">
        <f t="shared" si="3"/>
        <v>50000</v>
      </c>
      <c r="I255" s="14">
        <v>0</v>
      </c>
      <c r="J255" s="14">
        <v>50000</v>
      </c>
      <c r="K255" s="14">
        <f t="shared" si="9"/>
        <v>1045000000</v>
      </c>
      <c r="L255" s="14">
        <v>0</v>
      </c>
      <c r="M255" s="14">
        <v>1045000000</v>
      </c>
      <c r="N255" s="14">
        <f t="shared" si="11"/>
        <v>20900</v>
      </c>
      <c r="O255" s="14">
        <f t="shared" si="11"/>
        <v>0</v>
      </c>
      <c r="P255" s="4">
        <f t="shared" si="11"/>
        <v>20900</v>
      </c>
      <c r="Q255" s="22"/>
      <c r="T255" s="17"/>
    </row>
    <row r="256" spans="2:20" x14ac:dyDescent="0.4">
      <c r="B256" s="16">
        <v>42881</v>
      </c>
      <c r="C256" s="21">
        <v>20900</v>
      </c>
      <c r="D256" s="21">
        <v>20900</v>
      </c>
      <c r="E256" s="21">
        <v>20900</v>
      </c>
      <c r="F256" s="21">
        <v>20900</v>
      </c>
      <c r="G256" s="12">
        <v>0</v>
      </c>
      <c r="H256" s="14">
        <f t="shared" si="3"/>
        <v>14000</v>
      </c>
      <c r="I256" s="14">
        <v>0</v>
      </c>
      <c r="J256" s="14">
        <v>14000</v>
      </c>
      <c r="K256" s="14">
        <f t="shared" si="9"/>
        <v>292600000</v>
      </c>
      <c r="L256" s="14">
        <v>0</v>
      </c>
      <c r="M256" s="14">
        <v>292600000</v>
      </c>
      <c r="N256" s="14">
        <f t="shared" si="11"/>
        <v>20900</v>
      </c>
      <c r="O256" s="14">
        <f t="shared" si="11"/>
        <v>0</v>
      </c>
      <c r="P256" s="4">
        <f t="shared" si="11"/>
        <v>20900</v>
      </c>
      <c r="Q256" s="4">
        <f>IFERROR(SUM(M252:M256)/SUM(J252:J256),"")</f>
        <v>20900</v>
      </c>
      <c r="T256" s="17"/>
    </row>
    <row r="257" spans="2:20" x14ac:dyDescent="0.4">
      <c r="B257" s="16">
        <v>42884</v>
      </c>
      <c r="C257" s="21">
        <v>20900</v>
      </c>
      <c r="D257" s="21">
        <v>20900</v>
      </c>
      <c r="E257" s="21">
        <v>20900</v>
      </c>
      <c r="F257" s="21">
        <v>20900</v>
      </c>
      <c r="G257" s="12">
        <v>0</v>
      </c>
      <c r="H257" s="14">
        <f t="shared" si="3"/>
        <v>10757</v>
      </c>
      <c r="I257" s="14">
        <v>0</v>
      </c>
      <c r="J257" s="14">
        <v>10757</v>
      </c>
      <c r="K257" s="14">
        <f t="shared" si="9"/>
        <v>224821000</v>
      </c>
      <c r="L257" s="14">
        <v>0</v>
      </c>
      <c r="M257" s="14">
        <v>224821000</v>
      </c>
      <c r="N257" s="14">
        <f t="shared" si="11"/>
        <v>20899.972111183415</v>
      </c>
      <c r="O257" s="14">
        <f t="shared" si="11"/>
        <v>0</v>
      </c>
      <c r="P257" s="4">
        <f t="shared" si="11"/>
        <v>20899.972111183415</v>
      </c>
      <c r="Q257" s="22"/>
      <c r="T257" s="17"/>
    </row>
    <row r="258" spans="2:20" x14ac:dyDescent="0.4">
      <c r="B258" s="16">
        <v>42885</v>
      </c>
      <c r="C258" s="21">
        <v>20900</v>
      </c>
      <c r="D258" s="21">
        <v>20900</v>
      </c>
      <c r="E258" s="21">
        <v>20900</v>
      </c>
      <c r="F258" s="21">
        <v>20900</v>
      </c>
      <c r="G258" s="12">
        <v>0</v>
      </c>
      <c r="H258" s="14">
        <f t="shared" si="3"/>
        <v>0</v>
      </c>
      <c r="I258" s="14">
        <v>0</v>
      </c>
      <c r="J258" s="14">
        <v>0</v>
      </c>
      <c r="K258" s="14">
        <f t="shared" si="9"/>
        <v>0</v>
      </c>
      <c r="L258" s="14">
        <v>0</v>
      </c>
      <c r="M258" s="14">
        <v>0</v>
      </c>
      <c r="N258" s="14">
        <f t="shared" si="11"/>
        <v>0</v>
      </c>
      <c r="O258" s="14">
        <f t="shared" si="11"/>
        <v>0</v>
      </c>
      <c r="P258" s="4">
        <f t="shared" si="11"/>
        <v>0</v>
      </c>
      <c r="Q258" s="22"/>
      <c r="T258" s="17"/>
    </row>
    <row r="259" spans="2:20" x14ac:dyDescent="0.4">
      <c r="B259" s="16">
        <v>42886</v>
      </c>
      <c r="C259" s="21">
        <v>21000</v>
      </c>
      <c r="D259" s="21">
        <v>21000</v>
      </c>
      <c r="E259" s="21">
        <v>21000</v>
      </c>
      <c r="F259" s="21">
        <v>21000</v>
      </c>
      <c r="G259" s="12">
        <v>0.48</v>
      </c>
      <c r="H259" s="14">
        <f t="shared" si="3"/>
        <v>33200</v>
      </c>
      <c r="I259" s="14">
        <v>0</v>
      </c>
      <c r="J259" s="14">
        <v>33200</v>
      </c>
      <c r="K259" s="14">
        <f t="shared" si="9"/>
        <v>697200000</v>
      </c>
      <c r="L259" s="14">
        <v>0</v>
      </c>
      <c r="M259" s="14">
        <v>697200000</v>
      </c>
      <c r="N259" s="14">
        <f t="shared" si="11"/>
        <v>21000</v>
      </c>
      <c r="O259" s="14">
        <f t="shared" si="11"/>
        <v>0</v>
      </c>
      <c r="P259" s="4">
        <f t="shared" si="11"/>
        <v>21000</v>
      </c>
      <c r="Q259" s="22"/>
      <c r="T259" s="17"/>
    </row>
    <row r="260" spans="2:20" x14ac:dyDescent="0.4">
      <c r="B260" s="16">
        <v>42887</v>
      </c>
      <c r="C260" s="21">
        <v>21000</v>
      </c>
      <c r="D260" s="21">
        <v>21000</v>
      </c>
      <c r="E260" s="21">
        <v>21000</v>
      </c>
      <c r="F260" s="21">
        <v>21000</v>
      </c>
      <c r="G260" s="12">
        <v>0</v>
      </c>
      <c r="H260" s="14">
        <f t="shared" si="3"/>
        <v>0</v>
      </c>
      <c r="I260" s="14">
        <v>0</v>
      </c>
      <c r="J260" s="14">
        <v>0</v>
      </c>
      <c r="K260" s="14">
        <f t="shared" si="9"/>
        <v>0</v>
      </c>
      <c r="L260" s="14">
        <v>0</v>
      </c>
      <c r="M260" s="14">
        <v>0</v>
      </c>
      <c r="N260" s="14">
        <f t="shared" si="11"/>
        <v>0</v>
      </c>
      <c r="O260" s="14">
        <f t="shared" si="11"/>
        <v>0</v>
      </c>
      <c r="P260" s="4">
        <f t="shared" si="11"/>
        <v>0</v>
      </c>
      <c r="Q260" s="22"/>
      <c r="T260" s="17"/>
    </row>
    <row r="261" spans="2:20" x14ac:dyDescent="0.4">
      <c r="B261" s="16">
        <v>42888</v>
      </c>
      <c r="C261" s="21">
        <v>21000</v>
      </c>
      <c r="D261" s="21">
        <v>21000</v>
      </c>
      <c r="E261" s="21">
        <v>21000</v>
      </c>
      <c r="F261" s="21">
        <v>21000</v>
      </c>
      <c r="G261" s="12">
        <v>0</v>
      </c>
      <c r="H261" s="14">
        <f t="shared" si="3"/>
        <v>0</v>
      </c>
      <c r="I261" s="14">
        <v>0</v>
      </c>
      <c r="J261" s="14">
        <v>0</v>
      </c>
      <c r="K261" s="14">
        <f t="shared" si="9"/>
        <v>0</v>
      </c>
      <c r="L261" s="14">
        <v>0</v>
      </c>
      <c r="M261" s="14">
        <v>0</v>
      </c>
      <c r="N261" s="14">
        <f t="shared" si="11"/>
        <v>0</v>
      </c>
      <c r="O261" s="14">
        <f t="shared" si="11"/>
        <v>0</v>
      </c>
      <c r="P261" s="4">
        <f t="shared" si="11"/>
        <v>0</v>
      </c>
      <c r="Q261" s="4">
        <f>IFERROR(SUM(M257:M261)/SUM(J257:J261),"")</f>
        <v>20975.52153240667</v>
      </c>
      <c r="T261" s="17"/>
    </row>
    <row r="262" spans="2:20" x14ac:dyDescent="0.4">
      <c r="B262" s="16">
        <v>42891</v>
      </c>
      <c r="C262" s="21">
        <v>21000</v>
      </c>
      <c r="D262" s="21">
        <v>21000</v>
      </c>
      <c r="E262" s="21">
        <v>21000</v>
      </c>
      <c r="F262" s="21">
        <v>21000</v>
      </c>
      <c r="G262" s="12">
        <v>0</v>
      </c>
      <c r="H262" s="14">
        <f t="shared" si="3"/>
        <v>0</v>
      </c>
      <c r="I262" s="14">
        <v>0</v>
      </c>
      <c r="J262" s="14">
        <v>0</v>
      </c>
      <c r="K262" s="14">
        <f t="shared" si="9"/>
        <v>0</v>
      </c>
      <c r="L262" s="14">
        <v>0</v>
      </c>
      <c r="M262" s="14">
        <v>0</v>
      </c>
      <c r="N262" s="14">
        <f t="shared" si="11"/>
        <v>0</v>
      </c>
      <c r="O262" s="14">
        <f t="shared" si="11"/>
        <v>0</v>
      </c>
      <c r="P262" s="4">
        <f t="shared" si="11"/>
        <v>0</v>
      </c>
      <c r="Q262" s="22"/>
      <c r="T262" s="17"/>
    </row>
    <row r="263" spans="2:20" x14ac:dyDescent="0.4">
      <c r="B263" s="16">
        <v>42893</v>
      </c>
      <c r="C263" s="21">
        <v>21000</v>
      </c>
      <c r="D263" s="21">
        <v>21000</v>
      </c>
      <c r="E263" s="21">
        <v>21000</v>
      </c>
      <c r="F263" s="21">
        <v>21000</v>
      </c>
      <c r="G263" s="12">
        <v>0</v>
      </c>
      <c r="H263" s="14">
        <f t="shared" si="3"/>
        <v>0</v>
      </c>
      <c r="I263" s="14">
        <v>0</v>
      </c>
      <c r="J263" s="14">
        <v>0</v>
      </c>
      <c r="K263" s="14">
        <f t="shared" si="9"/>
        <v>0</v>
      </c>
      <c r="L263" s="14">
        <v>0</v>
      </c>
      <c r="M263" s="14">
        <v>0</v>
      </c>
      <c r="N263" s="14">
        <f t="shared" si="11"/>
        <v>0</v>
      </c>
      <c r="O263" s="14">
        <f t="shared" si="11"/>
        <v>0</v>
      </c>
      <c r="P263" s="4">
        <f t="shared" si="11"/>
        <v>0</v>
      </c>
      <c r="Q263" s="22"/>
      <c r="T263" s="17"/>
    </row>
    <row r="264" spans="2:20" x14ac:dyDescent="0.4">
      <c r="B264" s="16">
        <v>42894</v>
      </c>
      <c r="C264" s="21">
        <v>21000</v>
      </c>
      <c r="D264" s="21">
        <v>21000</v>
      </c>
      <c r="E264" s="21">
        <v>21000</v>
      </c>
      <c r="F264" s="21">
        <v>21000</v>
      </c>
      <c r="G264" s="12">
        <v>0</v>
      </c>
      <c r="H264" s="14">
        <f t="shared" si="3"/>
        <v>0</v>
      </c>
      <c r="I264" s="14">
        <v>0</v>
      </c>
      <c r="J264" s="14">
        <v>0</v>
      </c>
      <c r="K264" s="14">
        <f t="shared" si="9"/>
        <v>0</v>
      </c>
      <c r="L264" s="14">
        <v>0</v>
      </c>
      <c r="M264" s="14">
        <v>0</v>
      </c>
      <c r="N264" s="14">
        <f t="shared" si="11"/>
        <v>0</v>
      </c>
      <c r="O264" s="14">
        <f t="shared" si="11"/>
        <v>0</v>
      </c>
      <c r="P264" s="4">
        <f t="shared" si="11"/>
        <v>0</v>
      </c>
      <c r="Q264" s="22"/>
      <c r="T264" s="17"/>
    </row>
    <row r="265" spans="2:20" x14ac:dyDescent="0.4">
      <c r="B265" s="16">
        <v>42895</v>
      </c>
      <c r="C265" s="21">
        <v>21000</v>
      </c>
      <c r="D265" s="21">
        <v>21000</v>
      </c>
      <c r="E265" s="21">
        <v>21000</v>
      </c>
      <c r="F265" s="21">
        <v>21000</v>
      </c>
      <c r="G265" s="12">
        <v>0</v>
      </c>
      <c r="H265" s="14">
        <f t="shared" si="3"/>
        <v>0</v>
      </c>
      <c r="I265" s="14">
        <v>0</v>
      </c>
      <c r="J265" s="14">
        <v>0</v>
      </c>
      <c r="K265" s="14">
        <f t="shared" si="9"/>
        <v>0</v>
      </c>
      <c r="L265" s="14">
        <v>0</v>
      </c>
      <c r="M265" s="14">
        <v>0</v>
      </c>
      <c r="N265" s="14">
        <f t="shared" si="11"/>
        <v>0</v>
      </c>
      <c r="O265" s="14">
        <f t="shared" si="11"/>
        <v>0</v>
      </c>
      <c r="P265" s="4">
        <f t="shared" si="11"/>
        <v>0</v>
      </c>
      <c r="Q265" s="4" t="str">
        <f>IFERROR(SUM(M262:M265)/SUM(J262:J265),"")</f>
        <v/>
      </c>
      <c r="T265" s="17"/>
    </row>
    <row r="266" spans="2:20" x14ac:dyDescent="0.4">
      <c r="B266" s="16">
        <v>42898</v>
      </c>
      <c r="C266" s="21">
        <v>21000</v>
      </c>
      <c r="D266" s="21">
        <v>21000</v>
      </c>
      <c r="E266" s="21">
        <v>21000</v>
      </c>
      <c r="F266" s="21">
        <v>21000</v>
      </c>
      <c r="G266" s="12">
        <v>0</v>
      </c>
      <c r="H266" s="14">
        <f t="shared" si="3"/>
        <v>0</v>
      </c>
      <c r="I266" s="14">
        <v>0</v>
      </c>
      <c r="J266" s="14">
        <v>0</v>
      </c>
      <c r="K266" s="14">
        <f t="shared" si="9"/>
        <v>0</v>
      </c>
      <c r="L266" s="14">
        <v>0</v>
      </c>
      <c r="M266" s="14">
        <v>0</v>
      </c>
      <c r="N266" s="14">
        <f t="shared" si="11"/>
        <v>0</v>
      </c>
      <c r="O266" s="14">
        <f t="shared" si="11"/>
        <v>0</v>
      </c>
      <c r="P266" s="4">
        <f t="shared" si="11"/>
        <v>0</v>
      </c>
      <c r="Q266" s="22"/>
      <c r="T266" s="17"/>
    </row>
    <row r="267" spans="2:20" x14ac:dyDescent="0.4">
      <c r="B267" s="16">
        <v>42899</v>
      </c>
      <c r="C267" s="21">
        <v>20500</v>
      </c>
      <c r="D267" s="21">
        <v>20500</v>
      </c>
      <c r="E267" s="21">
        <v>20500</v>
      </c>
      <c r="F267" s="21">
        <v>20500</v>
      </c>
      <c r="G267" s="12">
        <v>-2.38</v>
      </c>
      <c r="H267" s="14">
        <f t="shared" si="3"/>
        <v>18000</v>
      </c>
      <c r="I267" s="14">
        <v>0</v>
      </c>
      <c r="J267" s="14">
        <v>18000</v>
      </c>
      <c r="K267" s="14">
        <f t="shared" si="9"/>
        <v>369000000</v>
      </c>
      <c r="L267" s="14">
        <v>0</v>
      </c>
      <c r="M267" s="14">
        <v>369000000</v>
      </c>
      <c r="N267" s="14">
        <f t="shared" si="11"/>
        <v>20500</v>
      </c>
      <c r="O267" s="14">
        <f t="shared" si="11"/>
        <v>0</v>
      </c>
      <c r="P267" s="4">
        <f t="shared" si="11"/>
        <v>20500</v>
      </c>
      <c r="Q267" s="22"/>
      <c r="T267" s="17"/>
    </row>
    <row r="268" spans="2:20" x14ac:dyDescent="0.4">
      <c r="B268" s="16">
        <v>42900</v>
      </c>
      <c r="C268" s="21">
        <v>20500</v>
      </c>
      <c r="D268" s="21">
        <v>20500</v>
      </c>
      <c r="E268" s="21">
        <v>20500</v>
      </c>
      <c r="F268" s="21">
        <v>20500</v>
      </c>
      <c r="G268" s="12">
        <v>0</v>
      </c>
      <c r="H268" s="14">
        <f t="shared" si="3"/>
        <v>0</v>
      </c>
      <c r="I268" s="14">
        <v>0</v>
      </c>
      <c r="J268" s="14">
        <v>0</v>
      </c>
      <c r="K268" s="14">
        <f t="shared" si="9"/>
        <v>0</v>
      </c>
      <c r="L268" s="14">
        <v>0</v>
      </c>
      <c r="M268" s="14">
        <v>0</v>
      </c>
      <c r="N268" s="14">
        <f t="shared" si="11"/>
        <v>0</v>
      </c>
      <c r="O268" s="14">
        <f t="shared" si="11"/>
        <v>0</v>
      </c>
      <c r="P268" s="4">
        <f t="shared" si="11"/>
        <v>0</v>
      </c>
      <c r="Q268" s="22"/>
      <c r="T268" s="17"/>
    </row>
    <row r="269" spans="2:20" x14ac:dyDescent="0.4">
      <c r="B269" s="16">
        <v>42901</v>
      </c>
      <c r="C269" s="21">
        <v>20500</v>
      </c>
      <c r="D269" s="21">
        <v>20500</v>
      </c>
      <c r="E269" s="21">
        <v>20500</v>
      </c>
      <c r="F269" s="21">
        <v>20500</v>
      </c>
      <c r="G269" s="12">
        <v>0</v>
      </c>
      <c r="H269" s="14">
        <f t="shared" si="3"/>
        <v>0</v>
      </c>
      <c r="I269" s="14">
        <v>0</v>
      </c>
      <c r="J269" s="14">
        <v>0</v>
      </c>
      <c r="K269" s="14">
        <f t="shared" si="9"/>
        <v>0</v>
      </c>
      <c r="L269" s="14">
        <v>0</v>
      </c>
      <c r="M269" s="14">
        <v>0</v>
      </c>
      <c r="N269" s="14">
        <f t="shared" si="11"/>
        <v>0</v>
      </c>
      <c r="O269" s="14">
        <f t="shared" si="11"/>
        <v>0</v>
      </c>
      <c r="P269" s="4">
        <f t="shared" si="11"/>
        <v>0</v>
      </c>
      <c r="Q269" s="22"/>
      <c r="T269" s="17"/>
    </row>
    <row r="270" spans="2:20" x14ac:dyDescent="0.4">
      <c r="B270" s="16">
        <v>42902</v>
      </c>
      <c r="C270" s="21">
        <v>20500</v>
      </c>
      <c r="D270" s="21">
        <v>20500</v>
      </c>
      <c r="E270" s="21">
        <v>20500</v>
      </c>
      <c r="F270" s="21">
        <v>20500</v>
      </c>
      <c r="G270" s="12">
        <v>0</v>
      </c>
      <c r="H270" s="14">
        <f t="shared" si="3"/>
        <v>10000</v>
      </c>
      <c r="I270" s="14">
        <v>0</v>
      </c>
      <c r="J270" s="14">
        <v>10000</v>
      </c>
      <c r="K270" s="14">
        <f t="shared" si="9"/>
        <v>205000000</v>
      </c>
      <c r="L270" s="14">
        <v>0</v>
      </c>
      <c r="M270" s="14">
        <v>205000000</v>
      </c>
      <c r="N270" s="14">
        <f t="shared" si="11"/>
        <v>20500</v>
      </c>
      <c r="O270" s="14">
        <f t="shared" si="11"/>
        <v>0</v>
      </c>
      <c r="P270" s="4">
        <f t="shared" si="11"/>
        <v>20500</v>
      </c>
      <c r="Q270" s="4">
        <f>IFERROR(SUM(M266:M270)/SUM(J266:J270),"")</f>
        <v>20500</v>
      </c>
      <c r="T270" s="17"/>
    </row>
    <row r="271" spans="2:20" x14ac:dyDescent="0.4">
      <c r="B271" s="16">
        <v>42905</v>
      </c>
      <c r="C271" s="21">
        <v>20500</v>
      </c>
      <c r="D271" s="21">
        <v>20500</v>
      </c>
      <c r="E271" s="21">
        <v>20500</v>
      </c>
      <c r="F271" s="21">
        <v>20500</v>
      </c>
      <c r="G271" s="12">
        <v>0</v>
      </c>
      <c r="H271" s="14">
        <f t="shared" si="3"/>
        <v>0</v>
      </c>
      <c r="I271" s="14">
        <v>0</v>
      </c>
      <c r="J271" s="14">
        <v>0</v>
      </c>
      <c r="K271" s="14">
        <f t="shared" si="9"/>
        <v>0</v>
      </c>
      <c r="L271" s="14">
        <v>0</v>
      </c>
      <c r="M271" s="14">
        <v>0</v>
      </c>
      <c r="N271" s="14">
        <f t="shared" si="11"/>
        <v>0</v>
      </c>
      <c r="O271" s="14">
        <f t="shared" si="11"/>
        <v>0</v>
      </c>
      <c r="P271" s="4">
        <f t="shared" si="11"/>
        <v>0</v>
      </c>
      <c r="Q271" s="22"/>
      <c r="T271" s="17"/>
    </row>
    <row r="272" spans="2:20" x14ac:dyDescent="0.4">
      <c r="B272" s="16">
        <v>42906</v>
      </c>
      <c r="C272" s="21">
        <v>20500</v>
      </c>
      <c r="D272" s="21">
        <v>20500</v>
      </c>
      <c r="E272" s="21">
        <v>20500</v>
      </c>
      <c r="F272" s="21">
        <v>20500</v>
      </c>
      <c r="G272" s="12">
        <v>0</v>
      </c>
      <c r="H272" s="14">
        <f t="shared" si="3"/>
        <v>40000</v>
      </c>
      <c r="I272" s="14">
        <v>0</v>
      </c>
      <c r="J272" s="14">
        <v>40000</v>
      </c>
      <c r="K272" s="14">
        <f t="shared" si="9"/>
        <v>820000000</v>
      </c>
      <c r="L272" s="14">
        <v>0</v>
      </c>
      <c r="M272" s="14">
        <v>820000000</v>
      </c>
      <c r="N272" s="14">
        <f t="shared" si="11"/>
        <v>20500</v>
      </c>
      <c r="O272" s="14">
        <f t="shared" si="11"/>
        <v>0</v>
      </c>
      <c r="P272" s="4">
        <f t="shared" si="11"/>
        <v>20500</v>
      </c>
      <c r="Q272" s="22"/>
      <c r="T272" s="17"/>
    </row>
    <row r="273" spans="2:20" x14ac:dyDescent="0.4">
      <c r="B273" s="16">
        <v>42907</v>
      </c>
      <c r="C273" s="21">
        <v>20500</v>
      </c>
      <c r="D273" s="21">
        <v>20500</v>
      </c>
      <c r="E273" s="21">
        <v>20500</v>
      </c>
      <c r="F273" s="21">
        <v>20500</v>
      </c>
      <c r="G273" s="12">
        <v>0</v>
      </c>
      <c r="H273" s="14">
        <f t="shared" si="3"/>
        <v>0</v>
      </c>
      <c r="I273" s="14">
        <v>0</v>
      </c>
      <c r="J273" s="14">
        <v>0</v>
      </c>
      <c r="K273" s="14">
        <f t="shared" si="9"/>
        <v>0</v>
      </c>
      <c r="L273" s="14">
        <v>0</v>
      </c>
      <c r="M273" s="14">
        <v>0</v>
      </c>
      <c r="N273" s="14">
        <f t="shared" si="11"/>
        <v>0</v>
      </c>
      <c r="O273" s="14">
        <f t="shared" si="11"/>
        <v>0</v>
      </c>
      <c r="P273" s="4">
        <f t="shared" si="11"/>
        <v>0</v>
      </c>
      <c r="Q273" s="22"/>
      <c r="T273" s="17"/>
    </row>
    <row r="274" spans="2:20" x14ac:dyDescent="0.4">
      <c r="B274" s="16">
        <v>42908</v>
      </c>
      <c r="C274" s="21">
        <v>20500</v>
      </c>
      <c r="D274" s="21">
        <v>20500</v>
      </c>
      <c r="E274" s="21">
        <v>20500</v>
      </c>
      <c r="F274" s="21">
        <v>20500</v>
      </c>
      <c r="G274" s="12">
        <v>0</v>
      </c>
      <c r="H274" s="14">
        <f t="shared" si="3"/>
        <v>0</v>
      </c>
      <c r="I274" s="14">
        <v>0</v>
      </c>
      <c r="J274" s="14">
        <v>0</v>
      </c>
      <c r="K274" s="14">
        <f t="shared" si="9"/>
        <v>0</v>
      </c>
      <c r="L274" s="14">
        <v>0</v>
      </c>
      <c r="M274" s="14">
        <v>0</v>
      </c>
      <c r="N274" s="14">
        <f t="shared" si="11"/>
        <v>0</v>
      </c>
      <c r="O274" s="14">
        <f t="shared" si="11"/>
        <v>0</v>
      </c>
      <c r="P274" s="4">
        <f t="shared" si="11"/>
        <v>0</v>
      </c>
      <c r="Q274" s="22"/>
      <c r="T274" s="17"/>
    </row>
    <row r="275" spans="2:20" x14ac:dyDescent="0.4">
      <c r="B275" s="16">
        <v>42909</v>
      </c>
      <c r="C275" s="21">
        <v>20500</v>
      </c>
      <c r="D275" s="25">
        <v>20550</v>
      </c>
      <c r="E275" s="21">
        <v>20500</v>
      </c>
      <c r="F275" s="21">
        <v>20500</v>
      </c>
      <c r="G275" s="12">
        <v>0</v>
      </c>
      <c r="H275" s="14">
        <f t="shared" si="3"/>
        <v>9341</v>
      </c>
      <c r="I275" s="14">
        <v>0</v>
      </c>
      <c r="J275" s="14">
        <v>9341</v>
      </c>
      <c r="K275" s="14">
        <f t="shared" si="9"/>
        <v>191571000</v>
      </c>
      <c r="L275" s="14">
        <v>0</v>
      </c>
      <c r="M275" s="14">
        <v>191571000</v>
      </c>
      <c r="N275" s="14">
        <f t="shared" si="11"/>
        <v>20508.617920993471</v>
      </c>
      <c r="O275" s="14">
        <f t="shared" si="11"/>
        <v>0</v>
      </c>
      <c r="P275" s="4">
        <f t="shared" si="11"/>
        <v>20508.617920993471</v>
      </c>
      <c r="Q275" s="4">
        <f>IFERROR(SUM(M271:M275)/SUM(J271:J275),"")</f>
        <v>20501.631503212338</v>
      </c>
      <c r="T275" s="17"/>
    </row>
    <row r="276" spans="2:20" x14ac:dyDescent="0.4">
      <c r="B276" s="16">
        <v>42912</v>
      </c>
      <c r="C276" s="21">
        <v>20500</v>
      </c>
      <c r="D276" s="25">
        <v>20550</v>
      </c>
      <c r="E276" s="21">
        <v>20500</v>
      </c>
      <c r="F276" s="21">
        <v>20500</v>
      </c>
      <c r="G276" s="12">
        <v>0</v>
      </c>
      <c r="H276" s="14">
        <f t="shared" si="3"/>
        <v>19397</v>
      </c>
      <c r="I276" s="14">
        <v>0</v>
      </c>
      <c r="J276" s="14">
        <v>19397</v>
      </c>
      <c r="K276" s="14">
        <f t="shared" si="9"/>
        <v>397639000</v>
      </c>
      <c r="L276" s="14">
        <v>0</v>
      </c>
      <c r="M276" s="14">
        <v>397639000</v>
      </c>
      <c r="N276" s="14">
        <f t="shared" si="11"/>
        <v>20500.02577718204</v>
      </c>
      <c r="O276" s="14">
        <f t="shared" si="11"/>
        <v>0</v>
      </c>
      <c r="P276" s="4">
        <f t="shared" si="11"/>
        <v>20500.02577718204</v>
      </c>
      <c r="Q276" s="22"/>
      <c r="T276" s="17"/>
    </row>
    <row r="277" spans="2:20" x14ac:dyDescent="0.4">
      <c r="B277" s="16">
        <v>42913</v>
      </c>
      <c r="C277" s="21">
        <v>20500</v>
      </c>
      <c r="D277" s="25">
        <v>20550</v>
      </c>
      <c r="E277" s="21">
        <v>20500</v>
      </c>
      <c r="F277" s="21">
        <v>20500</v>
      </c>
      <c r="G277" s="12">
        <v>0</v>
      </c>
      <c r="H277" s="14">
        <f t="shared" si="3"/>
        <v>0</v>
      </c>
      <c r="I277" s="14">
        <v>0</v>
      </c>
      <c r="J277" s="14">
        <v>0</v>
      </c>
      <c r="K277" s="14">
        <f t="shared" si="9"/>
        <v>0</v>
      </c>
      <c r="L277" s="14">
        <v>0</v>
      </c>
      <c r="M277" s="14">
        <v>0</v>
      </c>
      <c r="N277" s="14">
        <f t="shared" si="11"/>
        <v>0</v>
      </c>
      <c r="O277" s="14">
        <f t="shared" si="11"/>
        <v>0</v>
      </c>
      <c r="P277" s="4">
        <f t="shared" si="11"/>
        <v>0</v>
      </c>
      <c r="Q277" s="22"/>
      <c r="T277" s="17"/>
    </row>
    <row r="278" spans="2:20" x14ac:dyDescent="0.4">
      <c r="B278" s="16">
        <v>42914</v>
      </c>
      <c r="C278" s="21">
        <v>20500</v>
      </c>
      <c r="D278" s="25">
        <v>20550</v>
      </c>
      <c r="E278" s="21">
        <v>20500</v>
      </c>
      <c r="F278" s="21">
        <v>20500</v>
      </c>
      <c r="G278" s="12">
        <v>0</v>
      </c>
      <c r="H278" s="14">
        <f t="shared" si="3"/>
        <v>13000</v>
      </c>
      <c r="I278" s="14">
        <v>0</v>
      </c>
      <c r="J278" s="14">
        <v>13000</v>
      </c>
      <c r="K278" s="14">
        <f t="shared" si="9"/>
        <v>266500000</v>
      </c>
      <c r="L278" s="14">
        <v>0</v>
      </c>
      <c r="M278" s="14">
        <v>266500000</v>
      </c>
      <c r="N278" s="14">
        <f t="shared" si="11"/>
        <v>20500</v>
      </c>
      <c r="O278" s="14">
        <f t="shared" si="11"/>
        <v>0</v>
      </c>
      <c r="P278" s="4">
        <f t="shared" si="11"/>
        <v>20500</v>
      </c>
      <c r="Q278" s="22"/>
      <c r="T278" s="17"/>
    </row>
    <row r="279" spans="2:20" x14ac:dyDescent="0.4">
      <c r="B279" s="16">
        <v>42915</v>
      </c>
      <c r="C279" s="21">
        <v>20500</v>
      </c>
      <c r="D279" s="25">
        <v>20550</v>
      </c>
      <c r="E279" s="21">
        <v>20500</v>
      </c>
      <c r="F279" s="21">
        <v>20500</v>
      </c>
      <c r="G279" s="12">
        <v>0</v>
      </c>
      <c r="H279" s="14">
        <f t="shared" si="3"/>
        <v>0</v>
      </c>
      <c r="I279" s="14">
        <v>0</v>
      </c>
      <c r="J279" s="14">
        <v>0</v>
      </c>
      <c r="K279" s="14">
        <f t="shared" si="9"/>
        <v>0</v>
      </c>
      <c r="L279" s="14">
        <v>0</v>
      </c>
      <c r="M279" s="14">
        <v>0</v>
      </c>
      <c r="N279" s="14">
        <f t="shared" si="11"/>
        <v>0</v>
      </c>
      <c r="O279" s="14">
        <f t="shared" si="11"/>
        <v>0</v>
      </c>
      <c r="P279" s="4">
        <f t="shared" si="11"/>
        <v>0</v>
      </c>
      <c r="Q279" s="22"/>
      <c r="T279" s="17"/>
    </row>
    <row r="280" spans="2:20" x14ac:dyDescent="0.4">
      <c r="B280" s="16">
        <v>42916</v>
      </c>
      <c r="C280" s="21">
        <v>20500</v>
      </c>
      <c r="D280" s="25">
        <v>20550</v>
      </c>
      <c r="E280" s="21">
        <v>20500</v>
      </c>
      <c r="F280" s="21">
        <v>20500</v>
      </c>
      <c r="G280" s="12">
        <v>0</v>
      </c>
      <c r="H280" s="14">
        <f t="shared" si="3"/>
        <v>0</v>
      </c>
      <c r="I280" s="14">
        <v>0</v>
      </c>
      <c r="J280" s="14">
        <v>0</v>
      </c>
      <c r="K280" s="14">
        <f t="shared" si="9"/>
        <v>0</v>
      </c>
      <c r="L280" s="14">
        <v>0</v>
      </c>
      <c r="M280" s="14">
        <v>0</v>
      </c>
      <c r="N280" s="14">
        <f t="shared" si="11"/>
        <v>0</v>
      </c>
      <c r="O280" s="14">
        <f t="shared" si="11"/>
        <v>0</v>
      </c>
      <c r="P280" s="4">
        <f t="shared" si="11"/>
        <v>0</v>
      </c>
      <c r="Q280" s="4">
        <f>IFERROR(SUM(M276:M280)/SUM(J276:J280),"")</f>
        <v>20500.015433527795</v>
      </c>
      <c r="T280" s="17"/>
    </row>
    <row r="281" spans="2:20" x14ac:dyDescent="0.4">
      <c r="B281" s="16">
        <v>42919</v>
      </c>
      <c r="C281" s="21">
        <v>20500</v>
      </c>
      <c r="D281" s="21">
        <v>20500</v>
      </c>
      <c r="E281" s="21">
        <v>20500</v>
      </c>
      <c r="F281" s="21">
        <v>20500</v>
      </c>
      <c r="G281" s="12">
        <v>0</v>
      </c>
      <c r="H281" s="14">
        <f t="shared" si="3"/>
        <v>0</v>
      </c>
      <c r="I281" s="14">
        <v>0</v>
      </c>
      <c r="J281" s="14">
        <v>0</v>
      </c>
      <c r="K281" s="14">
        <f t="shared" si="9"/>
        <v>0</v>
      </c>
      <c r="L281" s="14">
        <v>0</v>
      </c>
      <c r="M281" s="14">
        <v>0</v>
      </c>
      <c r="N281" s="14">
        <f t="shared" si="11"/>
        <v>0</v>
      </c>
      <c r="O281" s="14">
        <f t="shared" si="11"/>
        <v>0</v>
      </c>
      <c r="P281" s="4">
        <f t="shared" si="11"/>
        <v>0</v>
      </c>
      <c r="Q281" s="22"/>
      <c r="T281" s="17"/>
    </row>
    <row r="282" spans="2:20" x14ac:dyDescent="0.4">
      <c r="B282" s="16">
        <v>42920</v>
      </c>
      <c r="C282" s="21">
        <v>20500</v>
      </c>
      <c r="D282" s="21">
        <v>20500</v>
      </c>
      <c r="E282" s="21">
        <v>20500</v>
      </c>
      <c r="F282" s="21">
        <v>20500</v>
      </c>
      <c r="G282" s="12">
        <v>0</v>
      </c>
      <c r="H282" s="14">
        <f t="shared" si="3"/>
        <v>0</v>
      </c>
      <c r="I282" s="14">
        <v>0</v>
      </c>
      <c r="J282" s="14">
        <v>0</v>
      </c>
      <c r="K282" s="14">
        <f t="shared" si="9"/>
        <v>0</v>
      </c>
      <c r="L282" s="14">
        <v>0</v>
      </c>
      <c r="M282" s="14">
        <v>0</v>
      </c>
      <c r="N282" s="14">
        <f t="shared" si="11"/>
        <v>0</v>
      </c>
      <c r="O282" s="14">
        <f t="shared" si="11"/>
        <v>0</v>
      </c>
      <c r="P282" s="4">
        <f t="shared" si="11"/>
        <v>0</v>
      </c>
      <c r="Q282" s="22"/>
      <c r="T282" s="17"/>
    </row>
    <row r="283" spans="2:20" x14ac:dyDescent="0.4">
      <c r="B283" s="16">
        <v>42921</v>
      </c>
      <c r="C283" s="21">
        <v>20500</v>
      </c>
      <c r="D283" s="21">
        <v>20500</v>
      </c>
      <c r="E283" s="21">
        <v>20500</v>
      </c>
      <c r="F283" s="21">
        <v>20500</v>
      </c>
      <c r="G283" s="12">
        <v>0</v>
      </c>
      <c r="H283" s="14">
        <f t="shared" si="3"/>
        <v>0</v>
      </c>
      <c r="I283" s="14">
        <v>0</v>
      </c>
      <c r="J283" s="14">
        <v>0</v>
      </c>
      <c r="K283" s="14">
        <f t="shared" si="9"/>
        <v>0</v>
      </c>
      <c r="L283" s="14">
        <v>0</v>
      </c>
      <c r="M283" s="14">
        <v>0</v>
      </c>
      <c r="N283" s="14">
        <f t="shared" si="11"/>
        <v>0</v>
      </c>
      <c r="O283" s="14">
        <f t="shared" si="11"/>
        <v>0</v>
      </c>
      <c r="P283" s="4">
        <f t="shared" si="11"/>
        <v>0</v>
      </c>
      <c r="Q283" s="22"/>
      <c r="T283" s="17"/>
    </row>
    <row r="284" spans="2:20" x14ac:dyDescent="0.4">
      <c r="B284" s="16">
        <v>42922</v>
      </c>
      <c r="C284" s="21">
        <v>20500</v>
      </c>
      <c r="D284" s="21">
        <v>20500</v>
      </c>
      <c r="E284" s="21">
        <v>20500</v>
      </c>
      <c r="F284" s="21">
        <v>20500</v>
      </c>
      <c r="G284" s="12">
        <v>0</v>
      </c>
      <c r="H284" s="14">
        <f t="shared" si="3"/>
        <v>0</v>
      </c>
      <c r="I284" s="14">
        <v>0</v>
      </c>
      <c r="J284" s="14">
        <v>0</v>
      </c>
      <c r="K284" s="14">
        <f t="shared" si="9"/>
        <v>0</v>
      </c>
      <c r="L284" s="14">
        <v>0</v>
      </c>
      <c r="M284" s="14">
        <v>0</v>
      </c>
      <c r="N284" s="14">
        <f t="shared" si="11"/>
        <v>0</v>
      </c>
      <c r="O284" s="14">
        <f t="shared" si="11"/>
        <v>0</v>
      </c>
      <c r="P284" s="4">
        <f t="shared" si="11"/>
        <v>0</v>
      </c>
      <c r="Q284" s="22"/>
      <c r="T284" s="17"/>
    </row>
    <row r="285" spans="2:20" x14ac:dyDescent="0.4">
      <c r="B285" s="16">
        <v>42923</v>
      </c>
      <c r="C285" s="21">
        <v>20500</v>
      </c>
      <c r="D285" s="21">
        <v>20500</v>
      </c>
      <c r="E285" s="21">
        <v>20500</v>
      </c>
      <c r="F285" s="21">
        <v>20500</v>
      </c>
      <c r="G285" s="12">
        <v>0</v>
      </c>
      <c r="H285" s="14">
        <f t="shared" si="3"/>
        <v>0</v>
      </c>
      <c r="I285" s="14">
        <v>0</v>
      </c>
      <c r="J285" s="14">
        <v>0</v>
      </c>
      <c r="K285" s="14">
        <f t="shared" si="9"/>
        <v>0</v>
      </c>
      <c r="L285" s="14">
        <v>0</v>
      </c>
      <c r="M285" s="14">
        <v>0</v>
      </c>
      <c r="N285" s="14">
        <f t="shared" si="11"/>
        <v>0</v>
      </c>
      <c r="O285" s="14">
        <f t="shared" si="11"/>
        <v>0</v>
      </c>
      <c r="P285" s="4">
        <f t="shared" si="11"/>
        <v>0</v>
      </c>
      <c r="Q285" s="4" t="str">
        <f>IFERROR(SUM(M281:M285)/SUM(J281:J285),"")</f>
        <v/>
      </c>
      <c r="T285" s="17"/>
    </row>
    <row r="286" spans="2:20" x14ac:dyDescent="0.4">
      <c r="B286" s="16">
        <v>42926</v>
      </c>
      <c r="C286" s="21">
        <v>20500</v>
      </c>
      <c r="D286" s="21">
        <v>20500</v>
      </c>
      <c r="E286" s="21">
        <v>20500</v>
      </c>
      <c r="F286" s="21">
        <v>20500</v>
      </c>
      <c r="G286" s="12">
        <v>0</v>
      </c>
      <c r="H286" s="14">
        <f t="shared" si="3"/>
        <v>0</v>
      </c>
      <c r="I286" s="14">
        <v>0</v>
      </c>
      <c r="J286" s="14">
        <v>0</v>
      </c>
      <c r="K286" s="14">
        <f t="shared" si="9"/>
        <v>0</v>
      </c>
      <c r="L286" s="14">
        <v>0</v>
      </c>
      <c r="M286" s="14">
        <v>0</v>
      </c>
      <c r="N286" s="14">
        <f t="shared" si="11"/>
        <v>0</v>
      </c>
      <c r="O286" s="14">
        <f t="shared" si="11"/>
        <v>0</v>
      </c>
      <c r="P286" s="4">
        <f t="shared" si="11"/>
        <v>0</v>
      </c>
      <c r="Q286" s="22"/>
      <c r="T286" s="17"/>
    </row>
    <row r="287" spans="2:20" x14ac:dyDescent="0.4">
      <c r="B287" s="16">
        <v>42927</v>
      </c>
      <c r="C287" s="21">
        <v>20500</v>
      </c>
      <c r="D287" s="21">
        <v>20500</v>
      </c>
      <c r="E287" s="21">
        <v>20500</v>
      </c>
      <c r="F287" s="21">
        <v>20500</v>
      </c>
      <c r="G287" s="12">
        <v>0</v>
      </c>
      <c r="H287" s="13">
        <f t="shared" si="3"/>
        <v>0</v>
      </c>
      <c r="I287" s="13">
        <v>0</v>
      </c>
      <c r="J287" s="13">
        <v>0</v>
      </c>
      <c r="K287" s="13">
        <f t="shared" si="9"/>
        <v>0</v>
      </c>
      <c r="L287" s="13">
        <v>0</v>
      </c>
      <c r="M287" s="13">
        <v>0</v>
      </c>
      <c r="N287" s="14">
        <f t="shared" si="11"/>
        <v>0</v>
      </c>
      <c r="O287" s="14">
        <f t="shared" si="11"/>
        <v>0</v>
      </c>
      <c r="P287" s="4">
        <f t="shared" si="11"/>
        <v>0</v>
      </c>
      <c r="Q287" s="22"/>
      <c r="T287" s="17"/>
    </row>
    <row r="288" spans="2:20" x14ac:dyDescent="0.4">
      <c r="B288" s="16">
        <v>42928</v>
      </c>
      <c r="C288" s="21">
        <v>20500</v>
      </c>
      <c r="D288" s="21">
        <v>20500</v>
      </c>
      <c r="E288" s="21">
        <v>20500</v>
      </c>
      <c r="F288" s="21">
        <v>20500</v>
      </c>
      <c r="G288" s="12">
        <v>0</v>
      </c>
      <c r="H288" s="14">
        <f t="shared" si="3"/>
        <v>0</v>
      </c>
      <c r="I288" s="14">
        <v>0</v>
      </c>
      <c r="J288" s="13">
        <v>0</v>
      </c>
      <c r="K288" s="14">
        <f t="shared" si="9"/>
        <v>0</v>
      </c>
      <c r="L288" s="13">
        <v>0</v>
      </c>
      <c r="M288" s="13">
        <v>0</v>
      </c>
      <c r="N288" s="14">
        <f t="shared" si="11"/>
        <v>0</v>
      </c>
      <c r="O288" s="14">
        <f t="shared" si="11"/>
        <v>0</v>
      </c>
      <c r="P288" s="4">
        <f t="shared" si="11"/>
        <v>0</v>
      </c>
      <c r="Q288" s="22"/>
      <c r="T288" s="17"/>
    </row>
    <row r="289" spans="2:20" x14ac:dyDescent="0.4">
      <c r="B289" s="16">
        <v>42929</v>
      </c>
      <c r="C289" s="21">
        <v>20500</v>
      </c>
      <c r="D289" s="21">
        <v>20500</v>
      </c>
      <c r="E289" s="21">
        <v>20500</v>
      </c>
      <c r="F289" s="21">
        <v>20500</v>
      </c>
      <c r="G289" s="12">
        <v>0</v>
      </c>
      <c r="H289" s="14">
        <f t="shared" si="3"/>
        <v>0</v>
      </c>
      <c r="I289" s="14">
        <v>0</v>
      </c>
      <c r="J289" s="13">
        <v>0</v>
      </c>
      <c r="K289" s="14">
        <f t="shared" si="9"/>
        <v>0</v>
      </c>
      <c r="L289" s="13">
        <v>0</v>
      </c>
      <c r="M289" s="13">
        <v>0</v>
      </c>
      <c r="N289" s="14">
        <f t="shared" si="11"/>
        <v>0</v>
      </c>
      <c r="O289" s="14">
        <f t="shared" si="11"/>
        <v>0</v>
      </c>
      <c r="P289" s="4">
        <f t="shared" si="11"/>
        <v>0</v>
      </c>
      <c r="Q289" s="22"/>
      <c r="T289" s="17"/>
    </row>
    <row r="290" spans="2:20" x14ac:dyDescent="0.4">
      <c r="B290" s="16">
        <v>42930</v>
      </c>
      <c r="C290" s="21">
        <v>20500</v>
      </c>
      <c r="D290" s="21">
        <v>20500</v>
      </c>
      <c r="E290" s="21">
        <v>20500</v>
      </c>
      <c r="F290" s="21">
        <v>20500</v>
      </c>
      <c r="G290" s="12">
        <v>0</v>
      </c>
      <c r="H290" s="14">
        <f t="shared" si="3"/>
        <v>0</v>
      </c>
      <c r="I290" s="14">
        <v>0</v>
      </c>
      <c r="J290" s="13">
        <v>0</v>
      </c>
      <c r="K290" s="14">
        <f t="shared" si="9"/>
        <v>0</v>
      </c>
      <c r="L290" s="13">
        <v>0</v>
      </c>
      <c r="M290" s="13">
        <v>0</v>
      </c>
      <c r="N290" s="14">
        <f t="shared" si="11"/>
        <v>0</v>
      </c>
      <c r="O290" s="14">
        <f t="shared" si="11"/>
        <v>0</v>
      </c>
      <c r="P290" s="4">
        <f t="shared" si="11"/>
        <v>0</v>
      </c>
      <c r="Q290" s="4" t="str">
        <f>IFERROR(SUM(M286:M290)/SUM(J286:J290),"")</f>
        <v/>
      </c>
      <c r="T290" s="17"/>
    </row>
    <row r="291" spans="2:20" x14ac:dyDescent="0.4">
      <c r="B291" s="16">
        <v>42933</v>
      </c>
      <c r="C291" s="21">
        <v>20500</v>
      </c>
      <c r="D291" s="21">
        <v>20500</v>
      </c>
      <c r="E291" s="21">
        <v>20500</v>
      </c>
      <c r="F291" s="21">
        <v>20500</v>
      </c>
      <c r="G291" s="12">
        <v>0</v>
      </c>
      <c r="H291" s="14">
        <f t="shared" si="3"/>
        <v>0</v>
      </c>
      <c r="I291" s="14">
        <v>0</v>
      </c>
      <c r="J291" s="13">
        <v>0</v>
      </c>
      <c r="K291" s="14">
        <f t="shared" si="9"/>
        <v>0</v>
      </c>
      <c r="L291" s="13">
        <v>0</v>
      </c>
      <c r="M291" s="13">
        <v>0</v>
      </c>
      <c r="N291" s="14">
        <f t="shared" si="11"/>
        <v>0</v>
      </c>
      <c r="O291" s="14">
        <f t="shared" si="11"/>
        <v>0</v>
      </c>
      <c r="P291" s="4">
        <f t="shared" si="11"/>
        <v>0</v>
      </c>
      <c r="Q291" s="22"/>
      <c r="T291" s="17"/>
    </row>
    <row r="292" spans="2:20" x14ac:dyDescent="0.4">
      <c r="B292" s="16">
        <v>42934</v>
      </c>
      <c r="C292" s="21">
        <v>20500</v>
      </c>
      <c r="D292" s="21">
        <v>20500</v>
      </c>
      <c r="E292" s="21">
        <v>20500</v>
      </c>
      <c r="F292" s="21">
        <v>20500</v>
      </c>
      <c r="G292" s="12">
        <v>0</v>
      </c>
      <c r="H292" s="14">
        <f t="shared" si="3"/>
        <v>0</v>
      </c>
      <c r="I292" s="14">
        <v>0</v>
      </c>
      <c r="J292" s="13">
        <v>0</v>
      </c>
      <c r="K292" s="14">
        <f t="shared" si="9"/>
        <v>0</v>
      </c>
      <c r="L292" s="13">
        <v>0</v>
      </c>
      <c r="M292" s="13">
        <v>0</v>
      </c>
      <c r="N292" s="14">
        <f t="shared" si="11"/>
        <v>0</v>
      </c>
      <c r="O292" s="14">
        <f t="shared" si="11"/>
        <v>0</v>
      </c>
      <c r="P292" s="4">
        <f t="shared" si="11"/>
        <v>0</v>
      </c>
      <c r="Q292" s="22"/>
      <c r="T292" s="17"/>
    </row>
    <row r="293" spans="2:20" x14ac:dyDescent="0.4">
      <c r="B293" s="16">
        <v>42935</v>
      </c>
      <c r="C293" s="21">
        <v>20500</v>
      </c>
      <c r="D293" s="21">
        <v>20500</v>
      </c>
      <c r="E293" s="21">
        <v>20500</v>
      </c>
      <c r="F293" s="21">
        <v>20500</v>
      </c>
      <c r="G293" s="12">
        <v>0</v>
      </c>
      <c r="H293" s="14">
        <f t="shared" si="3"/>
        <v>0</v>
      </c>
      <c r="I293" s="14">
        <v>0</v>
      </c>
      <c r="J293" s="14">
        <v>0</v>
      </c>
      <c r="K293" s="14">
        <f t="shared" si="9"/>
        <v>0</v>
      </c>
      <c r="L293" s="14">
        <v>0</v>
      </c>
      <c r="M293" s="14">
        <v>0</v>
      </c>
      <c r="N293" s="14">
        <f t="shared" si="11"/>
        <v>0</v>
      </c>
      <c r="O293" s="14">
        <f t="shared" si="11"/>
        <v>0</v>
      </c>
      <c r="P293" s="4">
        <f t="shared" si="11"/>
        <v>0</v>
      </c>
      <c r="Q293" s="22"/>
      <c r="T293" s="17"/>
    </row>
    <row r="294" spans="2:20" x14ac:dyDescent="0.4">
      <c r="B294" s="16">
        <v>42936</v>
      </c>
      <c r="C294" s="21">
        <v>20500</v>
      </c>
      <c r="D294" s="21">
        <v>20500</v>
      </c>
      <c r="E294" s="21">
        <v>20500</v>
      </c>
      <c r="F294" s="21">
        <v>20500</v>
      </c>
      <c r="G294" s="12">
        <v>0</v>
      </c>
      <c r="H294" s="14">
        <f t="shared" si="3"/>
        <v>0</v>
      </c>
      <c r="I294" s="14">
        <v>0</v>
      </c>
      <c r="J294" s="14">
        <v>0</v>
      </c>
      <c r="K294" s="14">
        <f t="shared" si="9"/>
        <v>0</v>
      </c>
      <c r="L294" s="14">
        <v>0</v>
      </c>
      <c r="M294" s="14">
        <v>0</v>
      </c>
      <c r="N294" s="14">
        <f t="shared" si="11"/>
        <v>0</v>
      </c>
      <c r="O294" s="14">
        <f t="shared" si="11"/>
        <v>0</v>
      </c>
      <c r="P294" s="4">
        <f t="shared" si="11"/>
        <v>0</v>
      </c>
      <c r="Q294" s="22"/>
      <c r="T294" s="17"/>
    </row>
    <row r="295" spans="2:20" x14ac:dyDescent="0.4">
      <c r="B295" s="16">
        <v>42937</v>
      </c>
      <c r="C295" s="21">
        <v>20500</v>
      </c>
      <c r="D295" s="21">
        <v>20500</v>
      </c>
      <c r="E295" s="21">
        <v>20500</v>
      </c>
      <c r="F295" s="21">
        <v>20500</v>
      </c>
      <c r="G295" s="12">
        <v>0</v>
      </c>
      <c r="H295" s="14">
        <f t="shared" si="3"/>
        <v>0</v>
      </c>
      <c r="I295" s="14">
        <v>0</v>
      </c>
      <c r="J295" s="14">
        <v>0</v>
      </c>
      <c r="K295" s="14">
        <f t="shared" si="9"/>
        <v>0</v>
      </c>
      <c r="L295" s="14">
        <v>0</v>
      </c>
      <c r="M295" s="14">
        <v>0</v>
      </c>
      <c r="N295" s="14">
        <f t="shared" si="11"/>
        <v>0</v>
      </c>
      <c r="O295" s="14">
        <f t="shared" si="11"/>
        <v>0</v>
      </c>
      <c r="P295" s="4">
        <f t="shared" si="11"/>
        <v>0</v>
      </c>
      <c r="Q295" s="4" t="str">
        <f>IFERROR(SUM(M291:M295)/SUM(J291:J295),"")</f>
        <v/>
      </c>
      <c r="T295" s="17"/>
    </row>
    <row r="296" spans="2:20" x14ac:dyDescent="0.4">
      <c r="B296" s="16">
        <v>42940</v>
      </c>
      <c r="C296" s="21">
        <v>20500</v>
      </c>
      <c r="D296" s="21">
        <v>20500</v>
      </c>
      <c r="E296" s="21">
        <v>20500</v>
      </c>
      <c r="F296" s="21">
        <v>20500</v>
      </c>
      <c r="G296" s="12">
        <v>0</v>
      </c>
      <c r="H296" s="14">
        <f t="shared" si="3"/>
        <v>0</v>
      </c>
      <c r="I296" s="14">
        <v>0</v>
      </c>
      <c r="J296" s="14">
        <v>0</v>
      </c>
      <c r="K296" s="14">
        <f t="shared" si="9"/>
        <v>0</v>
      </c>
      <c r="L296" s="14">
        <v>0</v>
      </c>
      <c r="M296" s="14">
        <v>0</v>
      </c>
      <c r="N296" s="14">
        <f t="shared" si="11"/>
        <v>0</v>
      </c>
      <c r="O296" s="14">
        <f t="shared" si="11"/>
        <v>0</v>
      </c>
      <c r="P296" s="4">
        <f t="shared" si="11"/>
        <v>0</v>
      </c>
      <c r="Q296" s="22"/>
      <c r="T296" s="17"/>
    </row>
    <row r="297" spans="2:20" x14ac:dyDescent="0.4">
      <c r="B297" s="16">
        <v>42941</v>
      </c>
      <c r="C297" s="21">
        <v>20500</v>
      </c>
      <c r="D297" s="21">
        <v>20500</v>
      </c>
      <c r="E297" s="21">
        <v>20500</v>
      </c>
      <c r="F297" s="21">
        <v>20500</v>
      </c>
      <c r="G297" s="12">
        <v>0</v>
      </c>
      <c r="H297" s="14">
        <f t="shared" si="3"/>
        <v>0</v>
      </c>
      <c r="I297" s="14">
        <v>0</v>
      </c>
      <c r="J297" s="14">
        <v>0</v>
      </c>
      <c r="K297" s="14">
        <f t="shared" si="9"/>
        <v>0</v>
      </c>
      <c r="L297" s="14">
        <v>0</v>
      </c>
      <c r="M297" s="14">
        <v>0</v>
      </c>
      <c r="N297" s="14">
        <f t="shared" si="11"/>
        <v>0</v>
      </c>
      <c r="O297" s="14">
        <f t="shared" si="11"/>
        <v>0</v>
      </c>
      <c r="P297" s="4">
        <f t="shared" si="11"/>
        <v>0</v>
      </c>
      <c r="Q297" s="22"/>
      <c r="T297" s="17"/>
    </row>
    <row r="298" spans="2:20" x14ac:dyDescent="0.4">
      <c r="B298" s="16">
        <v>42942</v>
      </c>
      <c r="C298" s="21">
        <v>20500</v>
      </c>
      <c r="D298" s="21">
        <v>20500</v>
      </c>
      <c r="E298" s="21">
        <v>20500</v>
      </c>
      <c r="F298" s="21">
        <v>20500</v>
      </c>
      <c r="G298" s="12">
        <v>0</v>
      </c>
      <c r="H298" s="14">
        <f t="shared" si="3"/>
        <v>0</v>
      </c>
      <c r="I298" s="14">
        <v>0</v>
      </c>
      <c r="J298" s="14">
        <v>0</v>
      </c>
      <c r="K298" s="14">
        <f t="shared" si="9"/>
        <v>0</v>
      </c>
      <c r="L298" s="14">
        <v>0</v>
      </c>
      <c r="M298" s="14">
        <v>0</v>
      </c>
      <c r="N298" s="14">
        <f t="shared" si="11"/>
        <v>0</v>
      </c>
      <c r="O298" s="14">
        <f t="shared" si="11"/>
        <v>0</v>
      </c>
      <c r="P298" s="4">
        <f t="shared" si="11"/>
        <v>0</v>
      </c>
      <c r="Q298" s="22"/>
      <c r="T298" s="17"/>
    </row>
    <row r="299" spans="2:20" x14ac:dyDescent="0.4">
      <c r="B299" s="16">
        <v>42943</v>
      </c>
      <c r="C299" s="21">
        <v>20500</v>
      </c>
      <c r="D299" s="21">
        <v>20500</v>
      </c>
      <c r="E299" s="21">
        <v>20500</v>
      </c>
      <c r="F299" s="21">
        <v>20500</v>
      </c>
      <c r="G299" s="12">
        <v>0</v>
      </c>
      <c r="H299" s="14">
        <f t="shared" si="3"/>
        <v>0</v>
      </c>
      <c r="I299" s="14">
        <v>0</v>
      </c>
      <c r="J299" s="14">
        <v>0</v>
      </c>
      <c r="K299" s="14">
        <f t="shared" si="9"/>
        <v>0</v>
      </c>
      <c r="L299" s="14">
        <v>0</v>
      </c>
      <c r="M299" s="14">
        <v>0</v>
      </c>
      <c r="N299" s="14">
        <f t="shared" ref="N299:P526" si="12">IFERROR(K299/H299,0)</f>
        <v>0</v>
      </c>
      <c r="O299" s="14">
        <f t="shared" si="12"/>
        <v>0</v>
      </c>
      <c r="P299" s="4">
        <f t="shared" si="12"/>
        <v>0</v>
      </c>
      <c r="Q299" s="4"/>
      <c r="T299" s="17"/>
    </row>
    <row r="300" spans="2:20" x14ac:dyDescent="0.4">
      <c r="B300" s="16">
        <v>42944</v>
      </c>
      <c r="C300" s="21">
        <v>20500</v>
      </c>
      <c r="D300" s="21">
        <v>20500</v>
      </c>
      <c r="E300" s="21">
        <v>20500</v>
      </c>
      <c r="F300" s="21">
        <v>20500</v>
      </c>
      <c r="G300" s="12">
        <v>0</v>
      </c>
      <c r="H300" s="14">
        <f t="shared" si="3"/>
        <v>0</v>
      </c>
      <c r="I300" s="14">
        <v>0</v>
      </c>
      <c r="J300" s="14">
        <v>0</v>
      </c>
      <c r="K300" s="14">
        <f t="shared" si="9"/>
        <v>0</v>
      </c>
      <c r="L300" s="14">
        <v>0</v>
      </c>
      <c r="M300" s="14">
        <v>0</v>
      </c>
      <c r="N300" s="14">
        <f t="shared" si="12"/>
        <v>0</v>
      </c>
      <c r="O300" s="14">
        <f t="shared" si="12"/>
        <v>0</v>
      </c>
      <c r="P300" s="4">
        <f t="shared" si="12"/>
        <v>0</v>
      </c>
      <c r="Q300" s="4" t="str">
        <f>IFERROR(SUM(M296:M300)/SUM(J296:J300),"")</f>
        <v/>
      </c>
      <c r="T300" s="17"/>
    </row>
    <row r="301" spans="2:20" x14ac:dyDescent="0.4">
      <c r="B301" s="16">
        <v>42947</v>
      </c>
      <c r="C301" s="21">
        <v>20500</v>
      </c>
      <c r="D301" s="21">
        <v>20500</v>
      </c>
      <c r="E301" s="21">
        <v>20500</v>
      </c>
      <c r="F301" s="21">
        <v>20500</v>
      </c>
      <c r="G301" s="12">
        <v>0</v>
      </c>
      <c r="H301" s="14">
        <f t="shared" si="3"/>
        <v>0</v>
      </c>
      <c r="I301" s="14">
        <v>0</v>
      </c>
      <c r="J301" s="14">
        <v>0</v>
      </c>
      <c r="K301" s="14">
        <f t="shared" si="9"/>
        <v>0</v>
      </c>
      <c r="L301" s="14">
        <v>0</v>
      </c>
      <c r="M301" s="14">
        <v>0</v>
      </c>
      <c r="N301" s="14">
        <f t="shared" si="12"/>
        <v>0</v>
      </c>
      <c r="O301" s="14">
        <f t="shared" si="12"/>
        <v>0</v>
      </c>
      <c r="P301" s="4">
        <f t="shared" si="12"/>
        <v>0</v>
      </c>
      <c r="Q301" s="22"/>
      <c r="T301" s="17"/>
    </row>
    <row r="302" spans="2:20" x14ac:dyDescent="0.4">
      <c r="B302" s="16">
        <v>42948</v>
      </c>
      <c r="C302" s="21">
        <v>20500</v>
      </c>
      <c r="D302" s="21">
        <v>20500</v>
      </c>
      <c r="E302" s="21">
        <v>20500</v>
      </c>
      <c r="F302" s="21">
        <v>20500</v>
      </c>
      <c r="G302" s="12">
        <v>0</v>
      </c>
      <c r="H302" s="14">
        <f t="shared" si="3"/>
        <v>4000</v>
      </c>
      <c r="I302" s="14">
        <v>0</v>
      </c>
      <c r="J302" s="14">
        <v>4000</v>
      </c>
      <c r="K302" s="14">
        <f t="shared" si="9"/>
        <v>82000000</v>
      </c>
      <c r="L302" s="14">
        <v>0</v>
      </c>
      <c r="M302" s="14">
        <v>82000000</v>
      </c>
      <c r="N302" s="14">
        <f t="shared" si="12"/>
        <v>20500</v>
      </c>
      <c r="O302" s="14">
        <f t="shared" si="12"/>
        <v>0</v>
      </c>
      <c r="P302" s="4">
        <f t="shared" si="12"/>
        <v>20500</v>
      </c>
      <c r="Q302" s="22"/>
      <c r="T302" s="17"/>
    </row>
    <row r="303" spans="2:20" x14ac:dyDescent="0.4">
      <c r="B303" s="16">
        <v>42949</v>
      </c>
      <c r="C303" s="21">
        <v>20500</v>
      </c>
      <c r="D303" s="21">
        <v>20500</v>
      </c>
      <c r="E303" s="21">
        <v>20500</v>
      </c>
      <c r="F303" s="21">
        <v>20500</v>
      </c>
      <c r="G303" s="12">
        <v>0</v>
      </c>
      <c r="H303" s="14">
        <f t="shared" si="3"/>
        <v>0</v>
      </c>
      <c r="I303" s="14">
        <v>0</v>
      </c>
      <c r="J303" s="14">
        <v>0</v>
      </c>
      <c r="K303" s="14">
        <f t="shared" si="9"/>
        <v>0</v>
      </c>
      <c r="L303" s="14">
        <v>0</v>
      </c>
      <c r="M303" s="14">
        <v>0</v>
      </c>
      <c r="N303" s="14">
        <f t="shared" si="12"/>
        <v>0</v>
      </c>
      <c r="O303" s="14">
        <f t="shared" si="12"/>
        <v>0</v>
      </c>
      <c r="P303" s="4">
        <f t="shared" si="12"/>
        <v>0</v>
      </c>
      <c r="Q303" s="22"/>
      <c r="T303" s="17"/>
    </row>
    <row r="304" spans="2:20" x14ac:dyDescent="0.4">
      <c r="B304" s="16">
        <v>42950</v>
      </c>
      <c r="C304" s="21">
        <v>20500</v>
      </c>
      <c r="D304" s="21">
        <v>20500</v>
      </c>
      <c r="E304" s="21">
        <v>20500</v>
      </c>
      <c r="F304" s="21">
        <v>20500</v>
      </c>
      <c r="G304" s="12">
        <v>0</v>
      </c>
      <c r="H304" s="14">
        <f t="shared" si="3"/>
        <v>0</v>
      </c>
      <c r="I304" s="14">
        <v>0</v>
      </c>
      <c r="J304" s="14">
        <v>0</v>
      </c>
      <c r="K304" s="14">
        <f t="shared" si="9"/>
        <v>0</v>
      </c>
      <c r="L304" s="14">
        <v>0</v>
      </c>
      <c r="M304" s="14">
        <v>0</v>
      </c>
      <c r="N304" s="14">
        <f t="shared" si="12"/>
        <v>0</v>
      </c>
      <c r="O304" s="14">
        <f t="shared" si="12"/>
        <v>0</v>
      </c>
      <c r="P304" s="4">
        <f t="shared" si="12"/>
        <v>0</v>
      </c>
      <c r="Q304" s="22"/>
      <c r="T304" s="17"/>
    </row>
    <row r="305" spans="2:20" x14ac:dyDescent="0.4">
      <c r="B305" s="16">
        <v>42951</v>
      </c>
      <c r="C305" s="21">
        <v>20500</v>
      </c>
      <c r="D305" s="21">
        <v>20500</v>
      </c>
      <c r="E305" s="21">
        <v>20500</v>
      </c>
      <c r="F305" s="21">
        <v>20500</v>
      </c>
      <c r="G305" s="12">
        <v>0</v>
      </c>
      <c r="H305" s="14">
        <f t="shared" si="3"/>
        <v>0</v>
      </c>
      <c r="I305" s="14">
        <v>0</v>
      </c>
      <c r="J305" s="14">
        <v>0</v>
      </c>
      <c r="K305" s="14">
        <f t="shared" si="9"/>
        <v>0</v>
      </c>
      <c r="L305" s="14">
        <v>0</v>
      </c>
      <c r="M305" s="14">
        <v>0</v>
      </c>
      <c r="N305" s="14">
        <f t="shared" si="12"/>
        <v>0</v>
      </c>
      <c r="O305" s="14">
        <f t="shared" si="12"/>
        <v>0</v>
      </c>
      <c r="P305" s="4">
        <f t="shared" si="12"/>
        <v>0</v>
      </c>
      <c r="Q305" s="4">
        <f>IFERROR(SUM(M301:M305)/SUM(J301:J305),"")</f>
        <v>20500</v>
      </c>
      <c r="T305" s="17"/>
    </row>
    <row r="306" spans="2:20" x14ac:dyDescent="0.4">
      <c r="B306" s="16">
        <v>42954</v>
      </c>
      <c r="C306" s="21">
        <v>20500</v>
      </c>
      <c r="D306" s="21">
        <v>20500</v>
      </c>
      <c r="E306" s="21">
        <v>20500</v>
      </c>
      <c r="F306" s="21">
        <v>20500</v>
      </c>
      <c r="G306" s="12">
        <v>0</v>
      </c>
      <c r="H306" s="14">
        <f t="shared" si="3"/>
        <v>0</v>
      </c>
      <c r="I306" s="14">
        <v>0</v>
      </c>
      <c r="J306" s="14">
        <v>0</v>
      </c>
      <c r="K306" s="14">
        <f t="shared" si="9"/>
        <v>0</v>
      </c>
      <c r="L306" s="14">
        <v>0</v>
      </c>
      <c r="M306" s="14">
        <v>0</v>
      </c>
      <c r="N306" s="14">
        <f t="shared" si="12"/>
        <v>0</v>
      </c>
      <c r="O306" s="14">
        <f t="shared" si="12"/>
        <v>0</v>
      </c>
      <c r="P306" s="4">
        <f t="shared" si="12"/>
        <v>0</v>
      </c>
      <c r="Q306" s="22"/>
      <c r="T306" s="17"/>
    </row>
    <row r="307" spans="2:20" x14ac:dyDescent="0.4">
      <c r="B307" s="16">
        <v>42955</v>
      </c>
      <c r="C307" s="21">
        <v>20500</v>
      </c>
      <c r="D307" s="21">
        <v>20500</v>
      </c>
      <c r="E307" s="21">
        <v>20500</v>
      </c>
      <c r="F307" s="21">
        <v>20500</v>
      </c>
      <c r="G307" s="12">
        <v>0</v>
      </c>
      <c r="H307" s="14">
        <f t="shared" si="3"/>
        <v>0</v>
      </c>
      <c r="I307" s="14">
        <v>0</v>
      </c>
      <c r="J307" s="14">
        <v>0</v>
      </c>
      <c r="K307" s="14">
        <f t="shared" si="9"/>
        <v>0</v>
      </c>
      <c r="L307" s="14">
        <v>0</v>
      </c>
      <c r="M307" s="14">
        <v>0</v>
      </c>
      <c r="N307" s="14">
        <f t="shared" si="12"/>
        <v>0</v>
      </c>
      <c r="O307" s="14">
        <f t="shared" si="12"/>
        <v>0</v>
      </c>
      <c r="P307" s="4">
        <f t="shared" si="12"/>
        <v>0</v>
      </c>
      <c r="Q307" s="22"/>
      <c r="T307" s="17"/>
    </row>
    <row r="308" spans="2:20" x14ac:dyDescent="0.4">
      <c r="B308" s="16">
        <v>42956</v>
      </c>
      <c r="C308" s="21">
        <v>20500</v>
      </c>
      <c r="D308" s="21">
        <v>20500</v>
      </c>
      <c r="E308" s="21">
        <v>20500</v>
      </c>
      <c r="F308" s="21">
        <v>20500</v>
      </c>
      <c r="G308" s="12">
        <v>0</v>
      </c>
      <c r="H308" s="14">
        <f t="shared" si="3"/>
        <v>0</v>
      </c>
      <c r="I308" s="14">
        <v>0</v>
      </c>
      <c r="J308" s="14">
        <v>0</v>
      </c>
      <c r="K308" s="14">
        <f t="shared" si="9"/>
        <v>0</v>
      </c>
      <c r="L308" s="14">
        <v>0</v>
      </c>
      <c r="M308" s="14">
        <v>0</v>
      </c>
      <c r="N308" s="14">
        <f t="shared" si="12"/>
        <v>0</v>
      </c>
      <c r="O308" s="14">
        <f t="shared" si="12"/>
        <v>0</v>
      </c>
      <c r="P308" s="4">
        <f t="shared" si="12"/>
        <v>0</v>
      </c>
      <c r="Q308" s="22"/>
      <c r="T308" s="17"/>
    </row>
    <row r="309" spans="2:20" x14ac:dyDescent="0.4">
      <c r="B309" s="16">
        <v>42957</v>
      </c>
      <c r="C309" s="21">
        <v>20500</v>
      </c>
      <c r="D309" s="21">
        <v>20500</v>
      </c>
      <c r="E309" s="21">
        <v>20500</v>
      </c>
      <c r="F309" s="21">
        <v>20500</v>
      </c>
      <c r="G309" s="12">
        <v>0</v>
      </c>
      <c r="H309" s="14">
        <f t="shared" si="3"/>
        <v>0</v>
      </c>
      <c r="I309" s="14">
        <v>0</v>
      </c>
      <c r="J309" s="14">
        <v>0</v>
      </c>
      <c r="K309" s="14">
        <f t="shared" si="9"/>
        <v>0</v>
      </c>
      <c r="L309" s="14">
        <v>0</v>
      </c>
      <c r="M309" s="14">
        <v>0</v>
      </c>
      <c r="N309" s="14">
        <f t="shared" si="12"/>
        <v>0</v>
      </c>
      <c r="O309" s="14">
        <f t="shared" si="12"/>
        <v>0</v>
      </c>
      <c r="P309" s="4">
        <f t="shared" si="12"/>
        <v>0</v>
      </c>
      <c r="Q309" s="22"/>
      <c r="T309" s="17"/>
    </row>
    <row r="310" spans="2:20" x14ac:dyDescent="0.4">
      <c r="B310" s="16">
        <v>42958</v>
      </c>
      <c r="C310" s="21">
        <v>20500</v>
      </c>
      <c r="D310" s="21">
        <v>20500</v>
      </c>
      <c r="E310" s="21">
        <v>20500</v>
      </c>
      <c r="F310" s="21">
        <v>20500</v>
      </c>
      <c r="G310" s="12">
        <v>0</v>
      </c>
      <c r="H310" s="14">
        <f t="shared" si="3"/>
        <v>0</v>
      </c>
      <c r="I310" s="14">
        <v>0</v>
      </c>
      <c r="J310" s="14">
        <v>0</v>
      </c>
      <c r="K310" s="14">
        <f t="shared" si="9"/>
        <v>0</v>
      </c>
      <c r="L310" s="14">
        <v>0</v>
      </c>
      <c r="M310" s="14">
        <v>0</v>
      </c>
      <c r="N310" s="14">
        <f t="shared" si="12"/>
        <v>0</v>
      </c>
      <c r="O310" s="14">
        <f t="shared" si="12"/>
        <v>0</v>
      </c>
      <c r="P310" s="4">
        <f t="shared" si="12"/>
        <v>0</v>
      </c>
      <c r="Q310" s="4" t="str">
        <f>IFERROR(SUM(M306:M310)/SUM(J306:J310),"")</f>
        <v/>
      </c>
      <c r="T310" s="17"/>
    </row>
    <row r="311" spans="2:20" x14ac:dyDescent="0.4">
      <c r="B311" s="16">
        <v>42961</v>
      </c>
      <c r="C311" s="21">
        <v>20500</v>
      </c>
      <c r="D311" s="21">
        <v>20500</v>
      </c>
      <c r="E311" s="21">
        <v>20500</v>
      </c>
      <c r="F311" s="21">
        <v>20500</v>
      </c>
      <c r="G311" s="12">
        <v>0</v>
      </c>
      <c r="H311" s="14">
        <f t="shared" si="3"/>
        <v>0</v>
      </c>
      <c r="I311" s="14">
        <v>0</v>
      </c>
      <c r="J311" s="14">
        <v>0</v>
      </c>
      <c r="K311" s="14">
        <f t="shared" si="9"/>
        <v>0</v>
      </c>
      <c r="L311" s="14">
        <v>0</v>
      </c>
      <c r="M311" s="14">
        <v>0</v>
      </c>
      <c r="N311" s="14">
        <f t="shared" si="12"/>
        <v>0</v>
      </c>
      <c r="O311" s="14">
        <f t="shared" si="12"/>
        <v>0</v>
      </c>
      <c r="P311" s="4">
        <f t="shared" si="12"/>
        <v>0</v>
      </c>
      <c r="Q311" s="22"/>
      <c r="T311" s="17"/>
    </row>
    <row r="312" spans="2:20" x14ac:dyDescent="0.4">
      <c r="B312" s="16">
        <v>42963</v>
      </c>
      <c r="C312" s="21">
        <v>20500</v>
      </c>
      <c r="D312" s="21">
        <v>20500</v>
      </c>
      <c r="E312" s="21">
        <v>20500</v>
      </c>
      <c r="F312" s="21">
        <v>20500</v>
      </c>
      <c r="G312" s="12">
        <v>0</v>
      </c>
      <c r="H312" s="14">
        <f t="shared" si="3"/>
        <v>0</v>
      </c>
      <c r="I312" s="14">
        <v>0</v>
      </c>
      <c r="J312" s="14">
        <v>0</v>
      </c>
      <c r="K312" s="14">
        <f t="shared" si="9"/>
        <v>0</v>
      </c>
      <c r="L312" s="14">
        <v>0</v>
      </c>
      <c r="M312" s="14">
        <v>0</v>
      </c>
      <c r="N312" s="14">
        <f t="shared" si="12"/>
        <v>0</v>
      </c>
      <c r="O312" s="14">
        <f t="shared" si="12"/>
        <v>0</v>
      </c>
      <c r="P312" s="4">
        <f t="shared" si="12"/>
        <v>0</v>
      </c>
      <c r="Q312" s="22"/>
      <c r="T312" s="17"/>
    </row>
    <row r="313" spans="2:20" x14ac:dyDescent="0.4">
      <c r="B313" s="16">
        <v>42964</v>
      </c>
      <c r="C313" s="21">
        <v>20500</v>
      </c>
      <c r="D313" s="21">
        <v>20500</v>
      </c>
      <c r="E313" s="21">
        <v>20500</v>
      </c>
      <c r="F313" s="21">
        <v>20500</v>
      </c>
      <c r="G313" s="12">
        <v>0</v>
      </c>
      <c r="H313" s="14">
        <f t="shared" si="3"/>
        <v>0</v>
      </c>
      <c r="I313" s="14">
        <v>0</v>
      </c>
      <c r="J313" s="14">
        <v>0</v>
      </c>
      <c r="K313" s="14">
        <f t="shared" si="9"/>
        <v>0</v>
      </c>
      <c r="L313" s="14">
        <v>0</v>
      </c>
      <c r="M313" s="14">
        <v>0</v>
      </c>
      <c r="N313" s="14">
        <f t="shared" si="12"/>
        <v>0</v>
      </c>
      <c r="O313" s="14">
        <f t="shared" si="12"/>
        <v>0</v>
      </c>
      <c r="P313" s="4">
        <f t="shared" si="12"/>
        <v>0</v>
      </c>
      <c r="Q313" s="22"/>
      <c r="T313" s="17"/>
    </row>
    <row r="314" spans="2:20" x14ac:dyDescent="0.4">
      <c r="B314" s="16">
        <v>42965</v>
      </c>
      <c r="C314" s="21">
        <v>20500</v>
      </c>
      <c r="D314" s="21">
        <v>20500</v>
      </c>
      <c r="E314" s="21">
        <v>20500</v>
      </c>
      <c r="F314" s="21">
        <v>20500</v>
      </c>
      <c r="G314" s="12">
        <v>0</v>
      </c>
      <c r="H314" s="14">
        <f t="shared" si="3"/>
        <v>0</v>
      </c>
      <c r="I314" s="14">
        <v>0</v>
      </c>
      <c r="J314" s="14">
        <v>0</v>
      </c>
      <c r="K314" s="14">
        <f t="shared" si="9"/>
        <v>0</v>
      </c>
      <c r="L314" s="14">
        <v>0</v>
      </c>
      <c r="M314" s="14">
        <v>0</v>
      </c>
      <c r="N314" s="14">
        <f t="shared" si="12"/>
        <v>0</v>
      </c>
      <c r="O314" s="14">
        <f t="shared" si="12"/>
        <v>0</v>
      </c>
      <c r="P314" s="4">
        <f t="shared" si="12"/>
        <v>0</v>
      </c>
      <c r="Q314" s="4" t="str">
        <f>IFERROR(SUM(M311:M314)/SUM(J311:J314),"")</f>
        <v/>
      </c>
      <c r="T314" s="17"/>
    </row>
    <row r="315" spans="2:20" x14ac:dyDescent="0.4">
      <c r="B315" s="16">
        <v>42968</v>
      </c>
      <c r="C315" s="21">
        <v>20500</v>
      </c>
      <c r="D315" s="21">
        <v>20500</v>
      </c>
      <c r="E315" s="21">
        <v>20500</v>
      </c>
      <c r="F315" s="21">
        <v>20500</v>
      </c>
      <c r="G315" s="12">
        <v>0</v>
      </c>
      <c r="H315" s="14">
        <f t="shared" si="3"/>
        <v>0</v>
      </c>
      <c r="I315" s="14">
        <v>0</v>
      </c>
      <c r="J315" s="14">
        <v>0</v>
      </c>
      <c r="K315" s="14">
        <f t="shared" si="9"/>
        <v>0</v>
      </c>
      <c r="L315" s="14">
        <v>0</v>
      </c>
      <c r="M315" s="14">
        <v>0</v>
      </c>
      <c r="N315" s="14">
        <f t="shared" si="12"/>
        <v>0</v>
      </c>
      <c r="O315" s="14">
        <f t="shared" si="12"/>
        <v>0</v>
      </c>
      <c r="P315" s="4">
        <f t="shared" si="12"/>
        <v>0</v>
      </c>
      <c r="Q315" s="22"/>
      <c r="T315" s="17"/>
    </row>
    <row r="316" spans="2:20" x14ac:dyDescent="0.4">
      <c r="B316" s="16">
        <v>42969</v>
      </c>
      <c r="C316" s="21">
        <v>20500</v>
      </c>
      <c r="D316" s="21">
        <v>20500</v>
      </c>
      <c r="E316" s="21">
        <v>20500</v>
      </c>
      <c r="F316" s="21">
        <v>20500</v>
      </c>
      <c r="G316" s="12">
        <v>0</v>
      </c>
      <c r="H316" s="14">
        <f t="shared" si="3"/>
        <v>0</v>
      </c>
      <c r="I316" s="14">
        <v>0</v>
      </c>
      <c r="J316" s="14">
        <v>0</v>
      </c>
      <c r="K316" s="14">
        <f t="shared" si="9"/>
        <v>0</v>
      </c>
      <c r="L316" s="14">
        <v>0</v>
      </c>
      <c r="M316" s="14">
        <v>0</v>
      </c>
      <c r="N316" s="14">
        <f t="shared" si="12"/>
        <v>0</v>
      </c>
      <c r="O316" s="14">
        <f t="shared" si="12"/>
        <v>0</v>
      </c>
      <c r="P316" s="4">
        <f t="shared" si="12"/>
        <v>0</v>
      </c>
      <c r="Q316" s="22"/>
      <c r="T316" s="17"/>
    </row>
    <row r="317" spans="2:20" x14ac:dyDescent="0.4">
      <c r="B317" s="16">
        <v>42970</v>
      </c>
      <c r="C317" s="21">
        <v>20500</v>
      </c>
      <c r="D317" s="21">
        <v>20500</v>
      </c>
      <c r="E317" s="21">
        <v>20500</v>
      </c>
      <c r="F317" s="21">
        <v>20500</v>
      </c>
      <c r="G317" s="12">
        <v>0</v>
      </c>
      <c r="H317" s="14">
        <f t="shared" si="3"/>
        <v>0</v>
      </c>
      <c r="I317" s="14">
        <v>0</v>
      </c>
      <c r="J317" s="14">
        <v>0</v>
      </c>
      <c r="K317" s="14">
        <f t="shared" si="9"/>
        <v>0</v>
      </c>
      <c r="L317" s="14">
        <v>0</v>
      </c>
      <c r="M317" s="14">
        <v>0</v>
      </c>
      <c r="N317" s="14">
        <f t="shared" si="12"/>
        <v>0</v>
      </c>
      <c r="O317" s="14">
        <f t="shared" si="12"/>
        <v>0</v>
      </c>
      <c r="P317" s="4">
        <f t="shared" si="12"/>
        <v>0</v>
      </c>
      <c r="Q317" s="22"/>
      <c r="T317" s="17"/>
    </row>
    <row r="318" spans="2:20" x14ac:dyDescent="0.4">
      <c r="B318" s="16">
        <v>42971</v>
      </c>
      <c r="C318" s="21">
        <v>20500</v>
      </c>
      <c r="D318" s="21">
        <v>20500</v>
      </c>
      <c r="E318" s="21">
        <v>20500</v>
      </c>
      <c r="F318" s="21">
        <v>20500</v>
      </c>
      <c r="G318" s="12">
        <v>0</v>
      </c>
      <c r="H318" s="14">
        <f t="shared" si="3"/>
        <v>0</v>
      </c>
      <c r="I318" s="14">
        <v>0</v>
      </c>
      <c r="J318" s="14">
        <v>0</v>
      </c>
      <c r="K318" s="14">
        <f t="shared" si="9"/>
        <v>0</v>
      </c>
      <c r="L318" s="14">
        <v>0</v>
      </c>
      <c r="M318" s="14">
        <v>0</v>
      </c>
      <c r="N318" s="14">
        <f t="shared" si="12"/>
        <v>0</v>
      </c>
      <c r="O318" s="14">
        <f t="shared" si="12"/>
        <v>0</v>
      </c>
      <c r="P318" s="4">
        <f t="shared" si="12"/>
        <v>0</v>
      </c>
      <c r="Q318" s="22"/>
      <c r="T318" s="17"/>
    </row>
    <row r="319" spans="2:20" x14ac:dyDescent="0.4">
      <c r="B319" s="16">
        <v>42972</v>
      </c>
      <c r="C319" s="21">
        <v>20500</v>
      </c>
      <c r="D319" s="21">
        <v>20500</v>
      </c>
      <c r="E319" s="21">
        <v>20500</v>
      </c>
      <c r="F319" s="21">
        <v>20500</v>
      </c>
      <c r="G319" s="12">
        <v>0</v>
      </c>
      <c r="H319" s="14">
        <f t="shared" si="3"/>
        <v>0</v>
      </c>
      <c r="I319" s="14">
        <v>0</v>
      </c>
      <c r="J319" s="14">
        <v>0</v>
      </c>
      <c r="K319" s="14">
        <f t="shared" si="9"/>
        <v>0</v>
      </c>
      <c r="L319" s="14">
        <v>0</v>
      </c>
      <c r="M319" s="14">
        <v>0</v>
      </c>
      <c r="N319" s="14">
        <f t="shared" si="12"/>
        <v>0</v>
      </c>
      <c r="O319" s="14">
        <f t="shared" si="12"/>
        <v>0</v>
      </c>
      <c r="P319" s="4">
        <f t="shared" si="12"/>
        <v>0</v>
      </c>
      <c r="Q319" s="4" t="str">
        <f>IFERROR(SUM(M315:M319)/SUM(J315:J319),"")</f>
        <v/>
      </c>
      <c r="T319" s="17"/>
    </row>
    <row r="320" spans="2:20" x14ac:dyDescent="0.4">
      <c r="B320" s="16">
        <v>42975</v>
      </c>
      <c r="C320" s="21">
        <v>20500</v>
      </c>
      <c r="D320" s="21">
        <v>20500</v>
      </c>
      <c r="E320" s="21">
        <v>20500</v>
      </c>
      <c r="F320" s="21">
        <v>20500</v>
      </c>
      <c r="G320" s="12">
        <v>0</v>
      </c>
      <c r="H320" s="14">
        <f t="shared" si="3"/>
        <v>10000</v>
      </c>
      <c r="I320" s="14">
        <v>0</v>
      </c>
      <c r="J320" s="14">
        <v>10000</v>
      </c>
      <c r="K320" s="14">
        <f t="shared" si="9"/>
        <v>205000000</v>
      </c>
      <c r="L320" s="14">
        <v>0</v>
      </c>
      <c r="M320" s="14">
        <v>205000000</v>
      </c>
      <c r="N320" s="14">
        <f t="shared" si="12"/>
        <v>20500</v>
      </c>
      <c r="O320" s="14">
        <f t="shared" si="12"/>
        <v>0</v>
      </c>
      <c r="P320" s="4">
        <f t="shared" si="12"/>
        <v>20500</v>
      </c>
      <c r="Q320" s="22"/>
      <c r="T320" s="17"/>
    </row>
    <row r="321" spans="2:20" x14ac:dyDescent="0.4">
      <c r="B321" s="16">
        <v>42976</v>
      </c>
      <c r="C321" s="21">
        <v>20500</v>
      </c>
      <c r="D321" s="21">
        <v>20500</v>
      </c>
      <c r="E321" s="21">
        <v>20500</v>
      </c>
      <c r="F321" s="21">
        <v>20500</v>
      </c>
      <c r="G321" s="12">
        <v>0</v>
      </c>
      <c r="H321" s="14">
        <f t="shared" si="3"/>
        <v>0</v>
      </c>
      <c r="I321" s="14">
        <v>0</v>
      </c>
      <c r="J321" s="14">
        <v>0</v>
      </c>
      <c r="K321" s="14">
        <f t="shared" si="9"/>
        <v>0</v>
      </c>
      <c r="L321" s="14">
        <v>0</v>
      </c>
      <c r="M321" s="14">
        <v>0</v>
      </c>
      <c r="N321" s="14">
        <f t="shared" si="12"/>
        <v>0</v>
      </c>
      <c r="O321" s="14">
        <f t="shared" si="12"/>
        <v>0</v>
      </c>
      <c r="P321" s="4">
        <f t="shared" si="12"/>
        <v>0</v>
      </c>
      <c r="Q321" s="22"/>
      <c r="T321" s="17"/>
    </row>
    <row r="322" spans="2:20" x14ac:dyDescent="0.4">
      <c r="B322" s="16">
        <v>42977</v>
      </c>
      <c r="C322" s="21">
        <v>20500</v>
      </c>
      <c r="D322" s="21">
        <v>20500</v>
      </c>
      <c r="E322" s="21">
        <v>20500</v>
      </c>
      <c r="F322" s="21">
        <v>20500</v>
      </c>
      <c r="G322" s="12">
        <v>0</v>
      </c>
      <c r="H322" s="14">
        <f t="shared" si="3"/>
        <v>0</v>
      </c>
      <c r="I322" s="14">
        <v>0</v>
      </c>
      <c r="J322" s="14">
        <v>0</v>
      </c>
      <c r="K322" s="14">
        <f t="shared" si="9"/>
        <v>0</v>
      </c>
      <c r="L322" s="14">
        <v>0</v>
      </c>
      <c r="M322" s="14">
        <v>0</v>
      </c>
      <c r="N322" s="14">
        <f t="shared" si="12"/>
        <v>0</v>
      </c>
      <c r="O322" s="14">
        <f t="shared" si="12"/>
        <v>0</v>
      </c>
      <c r="P322" s="4">
        <f t="shared" si="12"/>
        <v>0</v>
      </c>
      <c r="Q322" s="22"/>
      <c r="T322" s="17"/>
    </row>
    <row r="323" spans="2:20" x14ac:dyDescent="0.4">
      <c r="B323" s="16">
        <v>42978</v>
      </c>
      <c r="C323" s="21">
        <v>20500</v>
      </c>
      <c r="D323" s="21">
        <v>20500</v>
      </c>
      <c r="E323" s="21">
        <v>20500</v>
      </c>
      <c r="F323" s="21">
        <v>20500</v>
      </c>
      <c r="G323" s="12">
        <v>0</v>
      </c>
      <c r="H323" s="14">
        <f t="shared" si="3"/>
        <v>20000</v>
      </c>
      <c r="I323" s="14">
        <v>0</v>
      </c>
      <c r="J323" s="14">
        <v>20000</v>
      </c>
      <c r="K323" s="14">
        <f t="shared" si="9"/>
        <v>410000000</v>
      </c>
      <c r="L323" s="14">
        <v>0</v>
      </c>
      <c r="M323" s="14">
        <v>410000000</v>
      </c>
      <c r="N323" s="14">
        <f t="shared" si="12"/>
        <v>20500</v>
      </c>
      <c r="O323" s="14">
        <f t="shared" si="12"/>
        <v>0</v>
      </c>
      <c r="P323" s="4">
        <f t="shared" si="12"/>
        <v>20500</v>
      </c>
      <c r="Q323" s="22"/>
      <c r="T323" s="17"/>
    </row>
    <row r="324" spans="2:20" x14ac:dyDescent="0.4">
      <c r="B324" s="16">
        <v>42979</v>
      </c>
      <c r="C324" s="21">
        <v>20500</v>
      </c>
      <c r="D324" s="21">
        <v>20500</v>
      </c>
      <c r="E324" s="21">
        <v>20500</v>
      </c>
      <c r="F324" s="21">
        <v>20500</v>
      </c>
      <c r="G324" s="12">
        <v>0</v>
      </c>
      <c r="H324" s="14">
        <f t="shared" si="3"/>
        <v>0</v>
      </c>
      <c r="I324" s="14">
        <v>0</v>
      </c>
      <c r="J324" s="14">
        <v>0</v>
      </c>
      <c r="K324" s="14">
        <f t="shared" si="9"/>
        <v>0</v>
      </c>
      <c r="L324" s="14">
        <v>0</v>
      </c>
      <c r="M324" s="14">
        <v>0</v>
      </c>
      <c r="N324" s="14">
        <f t="shared" si="12"/>
        <v>0</v>
      </c>
      <c r="O324" s="14">
        <f t="shared" si="12"/>
        <v>0</v>
      </c>
      <c r="P324" s="4">
        <f t="shared" si="12"/>
        <v>0</v>
      </c>
      <c r="Q324" s="4">
        <f>IFERROR(SUM(M320:M324)/SUM(J320:J324),"")</f>
        <v>20500</v>
      </c>
      <c r="T324" s="17"/>
    </row>
    <row r="325" spans="2:20" x14ac:dyDescent="0.4">
      <c r="B325" s="16">
        <v>42982</v>
      </c>
      <c r="C325" s="21">
        <v>20500</v>
      </c>
      <c r="D325" s="21">
        <v>20500</v>
      </c>
      <c r="E325" s="21">
        <v>20500</v>
      </c>
      <c r="F325" s="21">
        <v>20500</v>
      </c>
      <c r="G325" s="12">
        <v>0</v>
      </c>
      <c r="H325" s="14">
        <f t="shared" si="3"/>
        <v>0</v>
      </c>
      <c r="I325" s="14">
        <v>0</v>
      </c>
      <c r="J325" s="14">
        <v>0</v>
      </c>
      <c r="K325" s="14">
        <f t="shared" si="9"/>
        <v>0</v>
      </c>
      <c r="L325" s="14">
        <v>0</v>
      </c>
      <c r="M325" s="14">
        <v>0</v>
      </c>
      <c r="N325" s="14">
        <f t="shared" si="12"/>
        <v>0</v>
      </c>
      <c r="O325" s="14">
        <f t="shared" si="12"/>
        <v>0</v>
      </c>
      <c r="P325" s="4">
        <f t="shared" si="12"/>
        <v>0</v>
      </c>
      <c r="Q325" s="22"/>
      <c r="T325" s="17"/>
    </row>
    <row r="326" spans="2:20" x14ac:dyDescent="0.4">
      <c r="B326" s="16">
        <v>42983</v>
      </c>
      <c r="C326" s="21">
        <v>20500</v>
      </c>
      <c r="D326" s="21">
        <v>20500</v>
      </c>
      <c r="E326" s="21">
        <v>20500</v>
      </c>
      <c r="F326" s="21">
        <v>20500</v>
      </c>
      <c r="G326" s="12">
        <v>0</v>
      </c>
      <c r="H326" s="14">
        <f t="shared" si="3"/>
        <v>0</v>
      </c>
      <c r="I326" s="14">
        <v>0</v>
      </c>
      <c r="J326" s="14">
        <v>0</v>
      </c>
      <c r="K326" s="14">
        <f t="shared" si="9"/>
        <v>0</v>
      </c>
      <c r="L326" s="14">
        <v>0</v>
      </c>
      <c r="M326" s="14">
        <v>0</v>
      </c>
      <c r="N326" s="14">
        <f t="shared" si="12"/>
        <v>0</v>
      </c>
      <c r="O326" s="14">
        <f t="shared" si="12"/>
        <v>0</v>
      </c>
      <c r="P326" s="4">
        <f t="shared" si="12"/>
        <v>0</v>
      </c>
      <c r="Q326" s="22"/>
      <c r="T326" s="17"/>
    </row>
    <row r="327" spans="2:20" x14ac:dyDescent="0.4">
      <c r="B327" s="16">
        <v>42984</v>
      </c>
      <c r="C327" s="21">
        <v>20500</v>
      </c>
      <c r="D327" s="21">
        <v>20500</v>
      </c>
      <c r="E327" s="21">
        <v>20500</v>
      </c>
      <c r="F327" s="21">
        <v>20500</v>
      </c>
      <c r="G327" s="12">
        <v>0</v>
      </c>
      <c r="H327" s="14">
        <f t="shared" si="3"/>
        <v>0</v>
      </c>
      <c r="I327" s="14">
        <v>0</v>
      </c>
      <c r="J327" s="14">
        <v>0</v>
      </c>
      <c r="K327" s="14">
        <f t="shared" si="9"/>
        <v>0</v>
      </c>
      <c r="L327" s="14">
        <v>0</v>
      </c>
      <c r="M327" s="14">
        <v>0</v>
      </c>
      <c r="N327" s="14">
        <f t="shared" si="12"/>
        <v>0</v>
      </c>
      <c r="O327" s="14">
        <f t="shared" si="12"/>
        <v>0</v>
      </c>
      <c r="P327" s="4">
        <f t="shared" si="12"/>
        <v>0</v>
      </c>
      <c r="Q327" s="22"/>
      <c r="T327" s="17"/>
    </row>
    <row r="328" spans="2:20" x14ac:dyDescent="0.4">
      <c r="B328" s="16">
        <v>42985</v>
      </c>
      <c r="C328" s="21">
        <v>20500</v>
      </c>
      <c r="D328" s="21">
        <v>20500</v>
      </c>
      <c r="E328" s="21">
        <v>20500</v>
      </c>
      <c r="F328" s="21">
        <v>20500</v>
      </c>
      <c r="G328" s="12">
        <v>0</v>
      </c>
      <c r="H328" s="14">
        <f t="shared" ref="H328:H343" si="13">J328-I328</f>
        <v>0</v>
      </c>
      <c r="I328" s="14">
        <v>0</v>
      </c>
      <c r="J328" s="14">
        <v>0</v>
      </c>
      <c r="K328" s="14">
        <f t="shared" si="9"/>
        <v>0</v>
      </c>
      <c r="L328" s="14">
        <v>0</v>
      </c>
      <c r="M328" s="14">
        <v>0</v>
      </c>
      <c r="N328" s="14">
        <f t="shared" si="12"/>
        <v>0</v>
      </c>
      <c r="O328" s="14">
        <f t="shared" si="12"/>
        <v>0</v>
      </c>
      <c r="P328" s="4">
        <f t="shared" si="12"/>
        <v>0</v>
      </c>
      <c r="Q328" s="22"/>
      <c r="T328" s="17"/>
    </row>
    <row r="329" spans="2:20" x14ac:dyDescent="0.4">
      <c r="B329" s="16">
        <v>42986</v>
      </c>
      <c r="C329" s="21">
        <v>20500</v>
      </c>
      <c r="D329" s="21">
        <v>20500</v>
      </c>
      <c r="E329" s="21">
        <v>20500</v>
      </c>
      <c r="F329" s="21">
        <v>20500</v>
      </c>
      <c r="G329" s="12">
        <v>0</v>
      </c>
      <c r="H329" s="14">
        <f t="shared" si="13"/>
        <v>0</v>
      </c>
      <c r="I329" s="14">
        <v>0</v>
      </c>
      <c r="J329" s="14">
        <v>0</v>
      </c>
      <c r="K329" s="14">
        <f t="shared" si="9"/>
        <v>0</v>
      </c>
      <c r="L329" s="14">
        <v>0</v>
      </c>
      <c r="M329" s="14">
        <v>0</v>
      </c>
      <c r="N329" s="14">
        <f t="shared" si="12"/>
        <v>0</v>
      </c>
      <c r="O329" s="14">
        <f t="shared" si="12"/>
        <v>0</v>
      </c>
      <c r="P329" s="4">
        <f t="shared" si="12"/>
        <v>0</v>
      </c>
      <c r="Q329" s="4" t="str">
        <f>IFERROR(SUM(M325:M329)/SUM(J325:J329),"")</f>
        <v/>
      </c>
      <c r="T329" s="17"/>
    </row>
    <row r="330" spans="2:20" x14ac:dyDescent="0.4">
      <c r="B330" s="16">
        <v>42989</v>
      </c>
      <c r="C330" s="21">
        <v>20500</v>
      </c>
      <c r="D330" s="21">
        <v>20500</v>
      </c>
      <c r="E330" s="21">
        <v>20500</v>
      </c>
      <c r="F330" s="21">
        <v>20500</v>
      </c>
      <c r="G330" s="12">
        <v>0</v>
      </c>
      <c r="H330" s="14">
        <f t="shared" si="13"/>
        <v>0</v>
      </c>
      <c r="I330" s="14">
        <v>0</v>
      </c>
      <c r="J330" s="14">
        <v>0</v>
      </c>
      <c r="K330" s="14">
        <f t="shared" si="9"/>
        <v>0</v>
      </c>
      <c r="L330" s="14">
        <v>0</v>
      </c>
      <c r="M330" s="14">
        <v>0</v>
      </c>
      <c r="N330" s="14">
        <f t="shared" si="12"/>
        <v>0</v>
      </c>
      <c r="O330" s="14">
        <f t="shared" si="12"/>
        <v>0</v>
      </c>
      <c r="P330" s="4">
        <f t="shared" si="12"/>
        <v>0</v>
      </c>
      <c r="Q330" s="22"/>
      <c r="T330" s="17"/>
    </row>
    <row r="331" spans="2:20" x14ac:dyDescent="0.4">
      <c r="B331" s="16">
        <v>42990</v>
      </c>
      <c r="C331" s="21">
        <v>20500</v>
      </c>
      <c r="D331" s="21">
        <v>20500</v>
      </c>
      <c r="E331" s="21">
        <v>20500</v>
      </c>
      <c r="F331" s="21">
        <v>20500</v>
      </c>
      <c r="G331" s="12">
        <v>0</v>
      </c>
      <c r="H331" s="14">
        <f t="shared" si="13"/>
        <v>0</v>
      </c>
      <c r="I331" s="14">
        <v>0</v>
      </c>
      <c r="J331" s="14">
        <v>0</v>
      </c>
      <c r="K331" s="14">
        <f t="shared" si="9"/>
        <v>0</v>
      </c>
      <c r="L331" s="14">
        <v>0</v>
      </c>
      <c r="M331" s="14">
        <v>0</v>
      </c>
      <c r="N331" s="14">
        <f t="shared" si="12"/>
        <v>0</v>
      </c>
      <c r="O331" s="14">
        <f t="shared" si="12"/>
        <v>0</v>
      </c>
      <c r="P331" s="4">
        <f t="shared" si="12"/>
        <v>0</v>
      </c>
      <c r="Q331" s="22"/>
      <c r="T331" s="17"/>
    </row>
    <row r="332" spans="2:20" x14ac:dyDescent="0.4">
      <c r="B332" s="16">
        <v>42991</v>
      </c>
      <c r="C332" s="21">
        <v>20500</v>
      </c>
      <c r="D332" s="21">
        <v>20500</v>
      </c>
      <c r="E332" s="21">
        <v>20500</v>
      </c>
      <c r="F332" s="21">
        <v>20500</v>
      </c>
      <c r="G332" s="12">
        <v>0</v>
      </c>
      <c r="H332" s="14">
        <f t="shared" si="13"/>
        <v>0</v>
      </c>
      <c r="I332" s="14">
        <v>0</v>
      </c>
      <c r="J332" s="14">
        <v>0</v>
      </c>
      <c r="K332" s="14">
        <f t="shared" si="9"/>
        <v>0</v>
      </c>
      <c r="L332" s="14">
        <v>0</v>
      </c>
      <c r="M332" s="14">
        <v>0</v>
      </c>
      <c r="N332" s="14">
        <f t="shared" si="12"/>
        <v>0</v>
      </c>
      <c r="O332" s="14">
        <f t="shared" si="12"/>
        <v>0</v>
      </c>
      <c r="P332" s="4">
        <f t="shared" si="12"/>
        <v>0</v>
      </c>
      <c r="Q332" s="22"/>
      <c r="T332" s="17"/>
    </row>
    <row r="333" spans="2:20" x14ac:dyDescent="0.4">
      <c r="B333" s="16">
        <v>42992</v>
      </c>
      <c r="C333" s="21">
        <v>20500</v>
      </c>
      <c r="D333" s="21">
        <v>20500</v>
      </c>
      <c r="E333" s="21">
        <v>20500</v>
      </c>
      <c r="F333" s="21">
        <v>20500</v>
      </c>
      <c r="G333" s="12">
        <v>0</v>
      </c>
      <c r="H333" s="14">
        <f t="shared" si="13"/>
        <v>0</v>
      </c>
      <c r="I333" s="14">
        <v>0</v>
      </c>
      <c r="J333" s="14">
        <v>0</v>
      </c>
      <c r="K333" s="14">
        <f t="shared" si="9"/>
        <v>0</v>
      </c>
      <c r="L333" s="14">
        <v>0</v>
      </c>
      <c r="M333" s="14">
        <v>0</v>
      </c>
      <c r="N333" s="14">
        <f t="shared" si="12"/>
        <v>0</v>
      </c>
      <c r="O333" s="14">
        <f t="shared" si="12"/>
        <v>0</v>
      </c>
      <c r="P333" s="4">
        <f t="shared" si="12"/>
        <v>0</v>
      </c>
      <c r="Q333" s="22"/>
      <c r="T333" s="17"/>
    </row>
    <row r="334" spans="2:20" x14ac:dyDescent="0.4">
      <c r="B334" s="16">
        <v>42993</v>
      </c>
      <c r="C334" s="21">
        <v>20500</v>
      </c>
      <c r="D334" s="21">
        <v>20500</v>
      </c>
      <c r="E334" s="21">
        <v>20500</v>
      </c>
      <c r="F334" s="21">
        <v>20500</v>
      </c>
      <c r="G334" s="12">
        <v>0</v>
      </c>
      <c r="H334" s="14">
        <f t="shared" si="13"/>
        <v>0</v>
      </c>
      <c r="I334" s="14">
        <v>0</v>
      </c>
      <c r="J334" s="14">
        <v>0</v>
      </c>
      <c r="K334" s="14">
        <f t="shared" si="9"/>
        <v>0</v>
      </c>
      <c r="L334" s="14">
        <v>0</v>
      </c>
      <c r="M334" s="14">
        <v>0</v>
      </c>
      <c r="N334" s="14">
        <f t="shared" si="12"/>
        <v>0</v>
      </c>
      <c r="O334" s="14">
        <f t="shared" si="12"/>
        <v>0</v>
      </c>
      <c r="P334" s="4">
        <f t="shared" si="12"/>
        <v>0</v>
      </c>
      <c r="Q334" s="4" t="str">
        <f>IFERROR(SUM(M330:M334)/SUM(J330:J334),"")</f>
        <v/>
      </c>
      <c r="T334" s="17"/>
    </row>
    <row r="335" spans="2:20" x14ac:dyDescent="0.4">
      <c r="B335" s="16">
        <v>42996</v>
      </c>
      <c r="C335" s="21">
        <v>20500</v>
      </c>
      <c r="D335" s="21">
        <v>20500</v>
      </c>
      <c r="E335" s="21">
        <v>20500</v>
      </c>
      <c r="F335" s="21">
        <v>20500</v>
      </c>
      <c r="G335" s="12">
        <v>0</v>
      </c>
      <c r="H335" s="14">
        <f t="shared" si="13"/>
        <v>0</v>
      </c>
      <c r="I335" s="14">
        <v>0</v>
      </c>
      <c r="J335" s="14">
        <v>0</v>
      </c>
      <c r="K335" s="14">
        <f t="shared" si="9"/>
        <v>0</v>
      </c>
      <c r="L335" s="14">
        <v>0</v>
      </c>
      <c r="M335" s="14">
        <v>0</v>
      </c>
      <c r="N335" s="14">
        <f t="shared" si="12"/>
        <v>0</v>
      </c>
      <c r="O335" s="14">
        <f t="shared" si="12"/>
        <v>0</v>
      </c>
      <c r="P335" s="4">
        <f t="shared" si="12"/>
        <v>0</v>
      </c>
      <c r="Q335" s="22"/>
      <c r="T335" s="17"/>
    </row>
    <row r="336" spans="2:20" x14ac:dyDescent="0.4">
      <c r="B336" s="16">
        <v>42997</v>
      </c>
      <c r="C336" s="21">
        <v>20700</v>
      </c>
      <c r="D336" s="21">
        <v>20700</v>
      </c>
      <c r="E336" s="21">
        <v>20700</v>
      </c>
      <c r="F336" s="21">
        <v>20700</v>
      </c>
      <c r="G336" s="12">
        <v>0.98</v>
      </c>
      <c r="H336" s="14">
        <f t="shared" si="13"/>
        <v>4500</v>
      </c>
      <c r="I336" s="14">
        <v>0</v>
      </c>
      <c r="J336" s="14">
        <v>4500</v>
      </c>
      <c r="K336" s="14">
        <f t="shared" si="9"/>
        <v>93150000</v>
      </c>
      <c r="L336" s="14">
        <v>0</v>
      </c>
      <c r="M336" s="14">
        <v>93150000</v>
      </c>
      <c r="N336" s="14">
        <f t="shared" si="12"/>
        <v>20700</v>
      </c>
      <c r="O336" s="14">
        <f t="shared" si="12"/>
        <v>0</v>
      </c>
      <c r="P336" s="4">
        <f t="shared" si="12"/>
        <v>20700</v>
      </c>
      <c r="Q336" s="22"/>
      <c r="T336" s="17"/>
    </row>
    <row r="337" spans="2:21" x14ac:dyDescent="0.4">
      <c r="B337" s="16">
        <v>42998</v>
      </c>
      <c r="C337" s="21">
        <v>20700</v>
      </c>
      <c r="D337" s="21">
        <v>20700</v>
      </c>
      <c r="E337" s="21">
        <v>20700</v>
      </c>
      <c r="F337" s="21">
        <v>20700</v>
      </c>
      <c r="G337" s="12">
        <v>0</v>
      </c>
      <c r="H337" s="14">
        <f t="shared" si="13"/>
        <v>0</v>
      </c>
      <c r="I337" s="14">
        <v>0</v>
      </c>
      <c r="J337" s="14">
        <v>0</v>
      </c>
      <c r="K337" s="14">
        <f t="shared" si="9"/>
        <v>0</v>
      </c>
      <c r="L337" s="14">
        <v>0</v>
      </c>
      <c r="M337" s="14">
        <v>0</v>
      </c>
      <c r="N337" s="14">
        <f t="shared" si="12"/>
        <v>0</v>
      </c>
      <c r="O337" s="14">
        <f t="shared" si="12"/>
        <v>0</v>
      </c>
      <c r="P337" s="4">
        <f t="shared" si="12"/>
        <v>0</v>
      </c>
      <c r="Q337" s="22"/>
      <c r="T337" s="17"/>
    </row>
    <row r="338" spans="2:21" x14ac:dyDescent="0.4">
      <c r="B338" s="16">
        <v>42999</v>
      </c>
      <c r="C338" s="21">
        <v>20700</v>
      </c>
      <c r="D338" s="21">
        <v>20700</v>
      </c>
      <c r="E338" s="21">
        <v>20700</v>
      </c>
      <c r="F338" s="21">
        <v>20700</v>
      </c>
      <c r="G338" s="12">
        <v>0</v>
      </c>
      <c r="H338" s="14">
        <f t="shared" si="13"/>
        <v>2320</v>
      </c>
      <c r="I338" s="14">
        <v>0</v>
      </c>
      <c r="J338" s="14">
        <v>2320</v>
      </c>
      <c r="K338" s="14">
        <f t="shared" si="9"/>
        <v>48024000</v>
      </c>
      <c r="L338" s="14">
        <v>0</v>
      </c>
      <c r="M338" s="14">
        <v>48024000</v>
      </c>
      <c r="N338" s="14">
        <f t="shared" si="12"/>
        <v>20700</v>
      </c>
      <c r="O338" s="14">
        <f t="shared" si="12"/>
        <v>0</v>
      </c>
      <c r="P338" s="4">
        <f t="shared" si="12"/>
        <v>20700</v>
      </c>
      <c r="Q338" s="22"/>
      <c r="T338" s="17"/>
    </row>
    <row r="339" spans="2:21" x14ac:dyDescent="0.4">
      <c r="B339" s="16">
        <v>43000</v>
      </c>
      <c r="C339" s="21">
        <v>20700</v>
      </c>
      <c r="D339" s="21">
        <v>20700</v>
      </c>
      <c r="E339" s="21">
        <v>20700</v>
      </c>
      <c r="F339" s="21">
        <v>20700</v>
      </c>
      <c r="G339" s="12">
        <v>0</v>
      </c>
      <c r="H339" s="14">
        <f t="shared" si="13"/>
        <v>0</v>
      </c>
      <c r="I339" s="14">
        <v>0</v>
      </c>
      <c r="J339" s="14">
        <v>0</v>
      </c>
      <c r="K339" s="14">
        <f t="shared" si="9"/>
        <v>0</v>
      </c>
      <c r="L339" s="14">
        <v>0</v>
      </c>
      <c r="M339" s="14">
        <v>0</v>
      </c>
      <c r="N339" s="14">
        <f t="shared" si="12"/>
        <v>0</v>
      </c>
      <c r="O339" s="14">
        <f t="shared" si="12"/>
        <v>0</v>
      </c>
      <c r="P339" s="4">
        <f t="shared" si="12"/>
        <v>0</v>
      </c>
      <c r="Q339" s="4">
        <f>IFERROR(SUM(M335:M339)/SUM(J335:J339),"")</f>
        <v>20700</v>
      </c>
      <c r="T339" s="17"/>
    </row>
    <row r="340" spans="2:21" x14ac:dyDescent="0.4">
      <c r="B340" s="16">
        <v>43003</v>
      </c>
      <c r="C340" s="21">
        <v>20700</v>
      </c>
      <c r="D340" s="21">
        <v>20700</v>
      </c>
      <c r="E340" s="21">
        <v>20700</v>
      </c>
      <c r="F340" s="21">
        <v>20700</v>
      </c>
      <c r="G340" s="12">
        <v>0</v>
      </c>
      <c r="H340" s="14">
        <f t="shared" si="13"/>
        <v>50000</v>
      </c>
      <c r="I340" s="14">
        <v>0</v>
      </c>
      <c r="J340" s="14">
        <v>50000</v>
      </c>
      <c r="K340" s="14">
        <f t="shared" si="9"/>
        <v>1035000000</v>
      </c>
      <c r="L340" s="14">
        <v>0</v>
      </c>
      <c r="M340" s="14">
        <v>1035000000</v>
      </c>
      <c r="N340" s="14">
        <f t="shared" si="12"/>
        <v>20700</v>
      </c>
      <c r="O340" s="14">
        <f t="shared" si="12"/>
        <v>0</v>
      </c>
      <c r="P340" s="4">
        <f t="shared" si="12"/>
        <v>20700</v>
      </c>
      <c r="Q340" s="22"/>
      <c r="T340" s="17"/>
    </row>
    <row r="341" spans="2:21" x14ac:dyDescent="0.4">
      <c r="B341" s="16">
        <v>43004</v>
      </c>
      <c r="C341" s="21">
        <v>20700</v>
      </c>
      <c r="D341" s="21">
        <v>20700</v>
      </c>
      <c r="E341" s="21">
        <v>20700</v>
      </c>
      <c r="F341" s="21">
        <v>20700</v>
      </c>
      <c r="G341" s="12">
        <v>0</v>
      </c>
      <c r="H341" s="14">
        <f t="shared" si="13"/>
        <v>0</v>
      </c>
      <c r="I341" s="14">
        <v>0</v>
      </c>
      <c r="J341" s="14">
        <v>0</v>
      </c>
      <c r="K341" s="14">
        <f t="shared" si="9"/>
        <v>0</v>
      </c>
      <c r="L341" s="14">
        <v>0</v>
      </c>
      <c r="M341" s="14">
        <v>0</v>
      </c>
      <c r="N341" s="14">
        <f t="shared" si="12"/>
        <v>0</v>
      </c>
      <c r="O341" s="14">
        <f t="shared" si="12"/>
        <v>0</v>
      </c>
      <c r="P341" s="4">
        <f t="shared" si="12"/>
        <v>0</v>
      </c>
      <c r="Q341" s="22"/>
      <c r="T341" s="17"/>
    </row>
    <row r="342" spans="2:21" x14ac:dyDescent="0.4">
      <c r="B342" s="16">
        <v>43005</v>
      </c>
      <c r="C342" s="21">
        <v>20700</v>
      </c>
      <c r="D342" s="21">
        <v>20700</v>
      </c>
      <c r="E342" s="21">
        <v>20700</v>
      </c>
      <c r="F342" s="21">
        <v>20700</v>
      </c>
      <c r="G342" s="12">
        <v>0</v>
      </c>
      <c r="H342" s="14">
        <f t="shared" si="13"/>
        <v>0</v>
      </c>
      <c r="I342" s="14">
        <v>0</v>
      </c>
      <c r="J342" s="14">
        <v>0</v>
      </c>
      <c r="K342" s="14">
        <f t="shared" si="9"/>
        <v>0</v>
      </c>
      <c r="L342" s="14">
        <v>0</v>
      </c>
      <c r="M342" s="14">
        <v>0</v>
      </c>
      <c r="N342" s="14">
        <f t="shared" si="12"/>
        <v>0</v>
      </c>
      <c r="O342" s="14">
        <f t="shared" si="12"/>
        <v>0</v>
      </c>
      <c r="P342" s="4">
        <f t="shared" si="12"/>
        <v>0</v>
      </c>
      <c r="Q342" s="22"/>
      <c r="T342" s="17"/>
    </row>
    <row r="343" spans="2:21" x14ac:dyDescent="0.4">
      <c r="B343" s="16">
        <v>43006</v>
      </c>
      <c r="C343" s="21">
        <v>20700</v>
      </c>
      <c r="D343" s="21">
        <v>20700</v>
      </c>
      <c r="E343" s="21">
        <v>20700</v>
      </c>
      <c r="F343" s="21">
        <v>20700</v>
      </c>
      <c r="G343" s="12">
        <v>0</v>
      </c>
      <c r="H343" s="14">
        <f t="shared" si="13"/>
        <v>0</v>
      </c>
      <c r="I343" s="14">
        <v>0</v>
      </c>
      <c r="J343" s="14">
        <v>0</v>
      </c>
      <c r="K343" s="14">
        <f t="shared" si="9"/>
        <v>0</v>
      </c>
      <c r="L343" s="14">
        <v>0</v>
      </c>
      <c r="M343" s="14">
        <v>0</v>
      </c>
      <c r="N343" s="14">
        <f t="shared" si="12"/>
        <v>0</v>
      </c>
      <c r="O343" s="14">
        <f t="shared" si="12"/>
        <v>0</v>
      </c>
      <c r="P343" s="4">
        <f t="shared" si="12"/>
        <v>0</v>
      </c>
      <c r="Q343" s="22"/>
      <c r="S343" s="17"/>
      <c r="T343" s="17"/>
      <c r="U343" s="17"/>
    </row>
    <row r="344" spans="2:21" x14ac:dyDescent="0.4">
      <c r="B344" s="16">
        <v>43007</v>
      </c>
      <c r="C344" s="21"/>
      <c r="D344" s="25"/>
      <c r="E344" s="21"/>
      <c r="F344" s="21"/>
      <c r="G344" s="21"/>
      <c r="H344" s="14"/>
      <c r="I344" s="14"/>
      <c r="J344" s="14"/>
      <c r="K344" s="14"/>
      <c r="L344" s="14"/>
      <c r="M344" s="14"/>
      <c r="N344" s="14"/>
      <c r="O344" s="14"/>
      <c r="P344" s="4"/>
      <c r="Q344" s="22"/>
      <c r="S344" s="43"/>
    </row>
    <row r="345" spans="2:21" x14ac:dyDescent="0.4">
      <c r="B345" s="16">
        <v>43010</v>
      </c>
      <c r="C345" s="21"/>
      <c r="D345" s="25"/>
      <c r="E345" s="21"/>
      <c r="F345" s="21"/>
      <c r="G345" s="21"/>
      <c r="H345" s="14"/>
      <c r="I345" s="14"/>
      <c r="J345" s="14"/>
      <c r="K345" s="14"/>
      <c r="L345" s="14"/>
      <c r="M345" s="14"/>
      <c r="N345" s="14"/>
      <c r="O345" s="14"/>
      <c r="P345" s="4"/>
      <c r="Q345" s="22"/>
    </row>
    <row r="346" spans="2:21" x14ac:dyDescent="0.4">
      <c r="B346" s="16">
        <v>43018</v>
      </c>
      <c r="C346" s="21"/>
      <c r="D346" s="25"/>
      <c r="E346" s="21"/>
      <c r="F346" s="21"/>
      <c r="G346" s="21"/>
      <c r="H346" s="14"/>
      <c r="I346" s="14"/>
      <c r="J346" s="14"/>
      <c r="K346" s="14"/>
      <c r="L346" s="14"/>
      <c r="M346" s="14"/>
      <c r="N346" s="14"/>
      <c r="O346" s="14"/>
      <c r="P346" s="4"/>
      <c r="Q346" s="22"/>
    </row>
    <row r="347" spans="2:21" x14ac:dyDescent="0.4">
      <c r="B347" s="16">
        <v>43019</v>
      </c>
      <c r="C347" s="21"/>
      <c r="D347" s="25"/>
      <c r="E347" s="21"/>
      <c r="F347" s="21"/>
      <c r="G347" s="21"/>
      <c r="H347" s="14"/>
      <c r="I347" s="14"/>
      <c r="J347" s="14"/>
      <c r="K347" s="14"/>
      <c r="L347" s="14"/>
      <c r="M347" s="14"/>
      <c r="N347" s="14"/>
      <c r="O347" s="14"/>
      <c r="P347" s="4"/>
      <c r="Q347" s="22"/>
    </row>
    <row r="348" spans="2:21" x14ac:dyDescent="0.4">
      <c r="B348" s="16">
        <v>43020</v>
      </c>
      <c r="C348" s="21"/>
      <c r="D348" s="25"/>
      <c r="E348" s="21"/>
      <c r="F348" s="21"/>
      <c r="G348" s="21"/>
      <c r="H348" s="14"/>
      <c r="I348" s="14"/>
      <c r="J348" s="14"/>
      <c r="K348" s="14"/>
      <c r="L348" s="14"/>
      <c r="M348" s="14"/>
      <c r="N348" s="14"/>
      <c r="O348" s="14"/>
      <c r="P348" s="4"/>
      <c r="Q348" s="22"/>
    </row>
    <row r="349" spans="2:21" x14ac:dyDescent="0.4">
      <c r="B349" s="16">
        <v>43021</v>
      </c>
      <c r="C349" s="21"/>
      <c r="D349" s="25"/>
      <c r="E349" s="21"/>
      <c r="F349" s="21"/>
      <c r="G349" s="21"/>
      <c r="H349" s="14"/>
      <c r="I349" s="14"/>
      <c r="J349" s="14"/>
      <c r="K349" s="14"/>
      <c r="L349" s="14"/>
      <c r="M349" s="14"/>
      <c r="N349" s="14"/>
      <c r="O349" s="14"/>
      <c r="P349" s="4"/>
      <c r="Q349" s="22"/>
    </row>
    <row r="350" spans="2:21" x14ac:dyDescent="0.4">
      <c r="B350" s="16">
        <v>43024</v>
      </c>
      <c r="C350" s="21"/>
      <c r="D350" s="25"/>
      <c r="E350" s="21"/>
      <c r="F350" s="21"/>
      <c r="G350" s="21"/>
      <c r="H350" s="14"/>
      <c r="I350" s="14"/>
      <c r="J350" s="14"/>
      <c r="K350" s="14"/>
      <c r="L350" s="14"/>
      <c r="M350" s="14"/>
      <c r="N350" s="14"/>
      <c r="O350" s="14"/>
      <c r="P350" s="4"/>
      <c r="Q350" s="22"/>
    </row>
    <row r="351" spans="2:21" x14ac:dyDescent="0.4">
      <c r="B351" s="16">
        <v>43025</v>
      </c>
      <c r="C351" s="21"/>
      <c r="D351" s="25"/>
      <c r="E351" s="21"/>
      <c r="F351" s="21"/>
      <c r="G351" s="21"/>
      <c r="H351" s="14"/>
      <c r="I351" s="14"/>
      <c r="J351" s="14"/>
      <c r="K351" s="14"/>
      <c r="L351" s="14"/>
      <c r="M351" s="14"/>
      <c r="N351" s="14"/>
      <c r="O351" s="14"/>
      <c r="P351" s="4"/>
      <c r="Q351" s="22"/>
    </row>
    <row r="352" spans="2:21" x14ac:dyDescent="0.4">
      <c r="B352" s="16">
        <v>43026</v>
      </c>
      <c r="C352" s="21"/>
      <c r="D352" s="25"/>
      <c r="E352" s="21"/>
      <c r="F352" s="21"/>
      <c r="G352" s="21"/>
      <c r="H352" s="14"/>
      <c r="I352" s="14"/>
      <c r="J352" s="14"/>
      <c r="K352" s="14"/>
      <c r="L352" s="14"/>
      <c r="M352" s="14"/>
      <c r="N352" s="14"/>
      <c r="O352" s="14"/>
      <c r="P352" s="4"/>
      <c r="Q352" s="22"/>
    </row>
    <row r="353" spans="2:17" x14ac:dyDescent="0.4">
      <c r="B353" s="16">
        <v>43027</v>
      </c>
      <c r="C353" s="21"/>
      <c r="D353" s="25"/>
      <c r="E353" s="21"/>
      <c r="F353" s="21"/>
      <c r="G353" s="21"/>
      <c r="H353" s="14"/>
      <c r="I353" s="14"/>
      <c r="J353" s="14"/>
      <c r="K353" s="14"/>
      <c r="L353" s="14"/>
      <c r="M353" s="14"/>
      <c r="N353" s="14"/>
      <c r="O353" s="14"/>
      <c r="P353" s="4"/>
      <c r="Q353" s="22"/>
    </row>
    <row r="354" spans="2:17" x14ac:dyDescent="0.4">
      <c r="B354" s="16">
        <v>43028</v>
      </c>
      <c r="C354" s="21"/>
      <c r="D354" s="25"/>
      <c r="E354" s="21"/>
      <c r="F354" s="21"/>
      <c r="G354" s="21"/>
      <c r="H354" s="14"/>
      <c r="I354" s="14"/>
      <c r="J354" s="14"/>
      <c r="K354" s="14"/>
      <c r="L354" s="14"/>
      <c r="M354" s="14"/>
      <c r="N354" s="14"/>
      <c r="O354" s="14"/>
      <c r="P354" s="4"/>
      <c r="Q354" s="22"/>
    </row>
    <row r="355" spans="2:17" x14ac:dyDescent="0.4">
      <c r="B355" s="16">
        <v>43031</v>
      </c>
      <c r="C355" s="21"/>
      <c r="D355" s="25"/>
      <c r="E355" s="21"/>
      <c r="F355" s="21"/>
      <c r="G355" s="21"/>
      <c r="H355" s="14"/>
      <c r="I355" s="14"/>
      <c r="J355" s="14"/>
      <c r="K355" s="14"/>
      <c r="L355" s="14"/>
      <c r="M355" s="14"/>
      <c r="N355" s="14"/>
      <c r="O355" s="14"/>
      <c r="P355" s="4"/>
      <c r="Q355" s="22"/>
    </row>
    <row r="356" spans="2:17" x14ac:dyDescent="0.4">
      <c r="B356" s="16">
        <v>43032</v>
      </c>
      <c r="C356" s="21"/>
      <c r="D356" s="25"/>
      <c r="E356" s="21"/>
      <c r="F356" s="21"/>
      <c r="G356" s="21"/>
      <c r="H356" s="14"/>
      <c r="I356" s="14"/>
      <c r="J356" s="14"/>
      <c r="K356" s="14"/>
      <c r="L356" s="14"/>
      <c r="M356" s="14"/>
      <c r="N356" s="14"/>
      <c r="O356" s="14"/>
      <c r="P356" s="4"/>
      <c r="Q356" s="22"/>
    </row>
    <row r="357" spans="2:17" x14ac:dyDescent="0.4">
      <c r="B357" s="16">
        <v>43033</v>
      </c>
      <c r="C357" s="21"/>
      <c r="D357" s="25"/>
      <c r="E357" s="21"/>
      <c r="F357" s="21"/>
      <c r="G357" s="21"/>
      <c r="H357" s="14"/>
      <c r="I357" s="14"/>
      <c r="J357" s="14"/>
      <c r="K357" s="14"/>
      <c r="L357" s="14"/>
      <c r="M357" s="14"/>
      <c r="N357" s="14"/>
      <c r="O357" s="14"/>
      <c r="P357" s="4"/>
      <c r="Q357" s="22"/>
    </row>
    <row r="358" spans="2:17" x14ac:dyDescent="0.4">
      <c r="B358" s="16">
        <v>43034</v>
      </c>
      <c r="C358" s="21"/>
      <c r="D358" s="25"/>
      <c r="E358" s="21"/>
      <c r="F358" s="21"/>
      <c r="G358" s="21"/>
      <c r="H358" s="14"/>
      <c r="I358" s="14"/>
      <c r="J358" s="14"/>
      <c r="K358" s="14"/>
      <c r="L358" s="14"/>
      <c r="M358" s="14"/>
      <c r="N358" s="14"/>
      <c r="O358" s="14"/>
      <c r="P358" s="4"/>
      <c r="Q358" s="22"/>
    </row>
    <row r="359" spans="2:17" x14ac:dyDescent="0.4">
      <c r="B359" s="16">
        <v>43035</v>
      </c>
      <c r="C359" s="21"/>
      <c r="D359" s="25"/>
      <c r="E359" s="21"/>
      <c r="F359" s="21"/>
      <c r="G359" s="21"/>
      <c r="H359" s="14"/>
      <c r="I359" s="14"/>
      <c r="J359" s="14"/>
      <c r="K359" s="14"/>
      <c r="L359" s="14"/>
      <c r="M359" s="14"/>
      <c r="N359" s="14"/>
      <c r="O359" s="14"/>
      <c r="P359" s="4"/>
      <c r="Q359" s="22"/>
    </row>
    <row r="360" spans="2:17" x14ac:dyDescent="0.4">
      <c r="B360" s="16">
        <v>43038</v>
      </c>
      <c r="C360" s="21"/>
      <c r="D360" s="25"/>
      <c r="E360" s="21"/>
      <c r="F360" s="21"/>
      <c r="G360" s="21"/>
      <c r="H360" s="14"/>
      <c r="I360" s="14"/>
      <c r="J360" s="14"/>
      <c r="K360" s="14"/>
      <c r="L360" s="14"/>
      <c r="M360" s="14"/>
      <c r="N360" s="14"/>
      <c r="O360" s="14"/>
      <c r="P360" s="4"/>
      <c r="Q360" s="22"/>
    </row>
    <row r="361" spans="2:17" x14ac:dyDescent="0.4">
      <c r="B361" s="16">
        <v>43039</v>
      </c>
      <c r="C361" s="21"/>
      <c r="D361" s="25"/>
      <c r="E361" s="21"/>
      <c r="F361" s="21"/>
      <c r="G361" s="21"/>
      <c r="H361" s="14"/>
      <c r="I361" s="14"/>
      <c r="J361" s="14"/>
      <c r="K361" s="14"/>
      <c r="L361" s="14"/>
      <c r="M361" s="14"/>
      <c r="N361" s="14"/>
      <c r="O361" s="14"/>
      <c r="P361" s="4"/>
      <c r="Q361" s="22"/>
    </row>
    <row r="362" spans="2:17" x14ac:dyDescent="0.4">
      <c r="B362" s="16">
        <v>43040</v>
      </c>
      <c r="C362" s="21"/>
      <c r="D362" s="25"/>
      <c r="E362" s="21"/>
      <c r="F362" s="21"/>
      <c r="G362" s="21"/>
      <c r="H362" s="14"/>
      <c r="I362" s="14"/>
      <c r="J362" s="14"/>
      <c r="K362" s="14"/>
      <c r="L362" s="14"/>
      <c r="M362" s="14"/>
      <c r="N362" s="14"/>
      <c r="O362" s="14"/>
      <c r="P362" s="4"/>
      <c r="Q362" s="22"/>
    </row>
    <row r="363" spans="2:17" x14ac:dyDescent="0.4">
      <c r="B363" s="16">
        <v>43041</v>
      </c>
      <c r="C363" s="21"/>
      <c r="D363" s="25"/>
      <c r="E363" s="21"/>
      <c r="F363" s="21"/>
      <c r="G363" s="21"/>
      <c r="H363" s="14"/>
      <c r="I363" s="14"/>
      <c r="J363" s="14"/>
      <c r="K363" s="14"/>
      <c r="L363" s="14"/>
      <c r="M363" s="14"/>
      <c r="N363" s="14"/>
      <c r="O363" s="14"/>
      <c r="P363" s="4"/>
      <c r="Q363" s="22"/>
    </row>
    <row r="364" spans="2:17" x14ac:dyDescent="0.4">
      <c r="B364" s="16">
        <v>43042</v>
      </c>
      <c r="C364" s="21"/>
      <c r="D364" s="25"/>
      <c r="E364" s="21"/>
      <c r="F364" s="21"/>
      <c r="G364" s="21"/>
      <c r="H364" s="14"/>
      <c r="I364" s="14"/>
      <c r="J364" s="14"/>
      <c r="K364" s="14"/>
      <c r="L364" s="14"/>
      <c r="M364" s="14"/>
      <c r="N364" s="14"/>
      <c r="O364" s="14"/>
      <c r="P364" s="4"/>
      <c r="Q364" s="22"/>
    </row>
    <row r="365" spans="2:17" x14ac:dyDescent="0.4">
      <c r="B365" s="16">
        <v>43045</v>
      </c>
      <c r="C365" s="21"/>
      <c r="D365" s="25"/>
      <c r="E365" s="21"/>
      <c r="F365" s="21"/>
      <c r="G365" s="21"/>
      <c r="H365" s="14"/>
      <c r="I365" s="14"/>
      <c r="J365" s="14"/>
      <c r="K365" s="14"/>
      <c r="L365" s="14"/>
      <c r="M365" s="14"/>
      <c r="N365" s="14"/>
      <c r="O365" s="14"/>
      <c r="P365" s="4"/>
      <c r="Q365" s="22"/>
    </row>
    <row r="366" spans="2:17" x14ac:dyDescent="0.4">
      <c r="B366" s="16">
        <v>43046</v>
      </c>
      <c r="C366" s="21"/>
      <c r="D366" s="25"/>
      <c r="E366" s="21"/>
      <c r="F366" s="21"/>
      <c r="G366" s="21"/>
      <c r="H366" s="14"/>
      <c r="I366" s="14"/>
      <c r="J366" s="14"/>
      <c r="K366" s="14"/>
      <c r="L366" s="14"/>
      <c r="M366" s="14"/>
      <c r="N366" s="14"/>
      <c r="O366" s="14"/>
      <c r="P366" s="4"/>
      <c r="Q366" s="22"/>
    </row>
    <row r="367" spans="2:17" x14ac:dyDescent="0.4">
      <c r="B367" s="16">
        <v>43047</v>
      </c>
      <c r="C367" s="21"/>
      <c r="D367" s="25"/>
      <c r="E367" s="21"/>
      <c r="F367" s="21"/>
      <c r="G367" s="21"/>
      <c r="H367" s="14"/>
      <c r="I367" s="14"/>
      <c r="J367" s="14"/>
      <c r="K367" s="14"/>
      <c r="L367" s="14"/>
      <c r="M367" s="14"/>
      <c r="N367" s="14"/>
      <c r="O367" s="14"/>
      <c r="P367" s="4"/>
      <c r="Q367" s="22"/>
    </row>
    <row r="368" spans="2:17" x14ac:dyDescent="0.4">
      <c r="B368" s="16">
        <v>43048</v>
      </c>
      <c r="C368" s="21"/>
      <c r="D368" s="25"/>
      <c r="E368" s="21"/>
      <c r="F368" s="21"/>
      <c r="G368" s="21"/>
      <c r="H368" s="14"/>
      <c r="I368" s="14"/>
      <c r="J368" s="14"/>
      <c r="K368" s="14"/>
      <c r="L368" s="14"/>
      <c r="M368" s="14"/>
      <c r="N368" s="14"/>
      <c r="O368" s="14"/>
      <c r="P368" s="4"/>
      <c r="Q368" s="22"/>
    </row>
    <row r="369" spans="2:17" x14ac:dyDescent="0.4">
      <c r="B369" s="16">
        <v>43049</v>
      </c>
      <c r="C369" s="21"/>
      <c r="D369" s="25"/>
      <c r="E369" s="21"/>
      <c r="F369" s="21"/>
      <c r="G369" s="21"/>
      <c r="H369" s="14"/>
      <c r="I369" s="14"/>
      <c r="J369" s="14"/>
      <c r="K369" s="14"/>
      <c r="L369" s="14"/>
      <c r="M369" s="14"/>
      <c r="N369" s="14"/>
      <c r="O369" s="14"/>
      <c r="P369" s="4"/>
      <c r="Q369" s="22"/>
    </row>
    <row r="370" spans="2:17" x14ac:dyDescent="0.4">
      <c r="B370" s="26"/>
      <c r="C370" s="21"/>
      <c r="D370" s="25"/>
      <c r="E370" s="21"/>
      <c r="F370" s="21"/>
      <c r="G370" s="21"/>
      <c r="H370" s="14"/>
      <c r="I370" s="14"/>
      <c r="J370" s="14"/>
      <c r="K370" s="14"/>
      <c r="L370" s="14"/>
      <c r="M370" s="14"/>
      <c r="N370" s="14"/>
      <c r="O370" s="14"/>
      <c r="P370" s="4"/>
      <c r="Q370" s="22"/>
    </row>
    <row r="371" spans="2:17" x14ac:dyDescent="0.4">
      <c r="B371" s="26"/>
      <c r="C371" s="21"/>
      <c r="D371" s="25"/>
      <c r="E371" s="21"/>
      <c r="F371" s="21"/>
      <c r="G371" s="21"/>
      <c r="H371" s="14"/>
      <c r="I371" s="14"/>
      <c r="J371" s="14"/>
      <c r="K371" s="14"/>
      <c r="L371" s="14"/>
      <c r="M371" s="14"/>
      <c r="N371" s="14"/>
      <c r="O371" s="14"/>
      <c r="P371" s="4"/>
      <c r="Q371" s="22"/>
    </row>
    <row r="372" spans="2:17" x14ac:dyDescent="0.4">
      <c r="B372" s="26"/>
      <c r="C372" s="21"/>
      <c r="D372" s="25"/>
      <c r="E372" s="21"/>
      <c r="F372" s="21"/>
      <c r="G372" s="21"/>
      <c r="H372" s="14"/>
      <c r="I372" s="14"/>
      <c r="J372" s="14"/>
      <c r="K372" s="14"/>
      <c r="L372" s="14"/>
      <c r="M372" s="14"/>
      <c r="N372" s="14"/>
      <c r="O372" s="14"/>
      <c r="P372" s="4"/>
      <c r="Q372" s="22"/>
    </row>
    <row r="373" spans="2:17" x14ac:dyDescent="0.4">
      <c r="B373" s="26"/>
      <c r="C373" s="21"/>
      <c r="D373" s="25"/>
      <c r="E373" s="21"/>
      <c r="F373" s="21"/>
      <c r="G373" s="21"/>
      <c r="H373" s="14"/>
      <c r="I373" s="14"/>
      <c r="J373" s="14"/>
      <c r="K373" s="14"/>
      <c r="L373" s="14"/>
      <c r="M373" s="14"/>
      <c r="N373" s="14"/>
      <c r="O373" s="14"/>
      <c r="P373" s="4"/>
      <c r="Q373" s="22"/>
    </row>
    <row r="374" spans="2:17" x14ac:dyDescent="0.4">
      <c r="B374" s="26"/>
      <c r="C374" s="21"/>
      <c r="D374" s="25"/>
      <c r="E374" s="21"/>
      <c r="F374" s="21"/>
      <c r="G374" s="21"/>
      <c r="H374" s="14"/>
      <c r="I374" s="14"/>
      <c r="J374" s="14"/>
      <c r="K374" s="14"/>
      <c r="L374" s="14"/>
      <c r="M374" s="14"/>
      <c r="N374" s="14"/>
      <c r="O374" s="14"/>
      <c r="P374" s="4"/>
      <c r="Q374" s="22"/>
    </row>
    <row r="375" spans="2:17" x14ac:dyDescent="0.4">
      <c r="B375" s="26"/>
      <c r="C375" s="21"/>
      <c r="D375" s="25"/>
      <c r="E375" s="21"/>
      <c r="F375" s="21"/>
      <c r="G375" s="21"/>
      <c r="H375" s="14"/>
      <c r="I375" s="14"/>
      <c r="J375" s="14"/>
      <c r="K375" s="14"/>
      <c r="L375" s="14"/>
      <c r="M375" s="14"/>
      <c r="N375" s="14"/>
      <c r="O375" s="14"/>
      <c r="P375" s="4"/>
      <c r="Q375" s="22"/>
    </row>
    <row r="376" spans="2:17" x14ac:dyDescent="0.4">
      <c r="B376" s="26"/>
      <c r="C376" s="21"/>
      <c r="D376" s="25"/>
      <c r="E376" s="21"/>
      <c r="F376" s="21"/>
      <c r="G376" s="21"/>
      <c r="H376" s="14"/>
      <c r="I376" s="14"/>
      <c r="J376" s="14"/>
      <c r="K376" s="14"/>
      <c r="L376" s="14"/>
      <c r="M376" s="14"/>
      <c r="N376" s="14"/>
      <c r="O376" s="14"/>
      <c r="P376" s="4"/>
      <c r="Q376" s="22"/>
    </row>
    <row r="377" spans="2:17" x14ac:dyDescent="0.4">
      <c r="B377" s="26"/>
      <c r="C377" s="21"/>
      <c r="D377" s="25"/>
      <c r="E377" s="21"/>
      <c r="F377" s="21"/>
      <c r="G377" s="21"/>
      <c r="H377" s="14"/>
      <c r="I377" s="14"/>
      <c r="J377" s="14"/>
      <c r="K377" s="14"/>
      <c r="L377" s="14"/>
      <c r="M377" s="14"/>
      <c r="N377" s="14"/>
      <c r="O377" s="14"/>
      <c r="P377" s="4"/>
      <c r="Q377" s="22"/>
    </row>
    <row r="378" spans="2:17" x14ac:dyDescent="0.4">
      <c r="B378" s="26"/>
      <c r="C378" s="21"/>
      <c r="D378" s="25"/>
      <c r="E378" s="21"/>
      <c r="F378" s="21"/>
      <c r="G378" s="21"/>
      <c r="H378" s="14"/>
      <c r="I378" s="14"/>
      <c r="J378" s="14"/>
      <c r="K378" s="14"/>
      <c r="L378" s="14"/>
      <c r="M378" s="14"/>
      <c r="N378" s="14"/>
      <c r="O378" s="14"/>
      <c r="P378" s="4"/>
      <c r="Q378" s="22"/>
    </row>
    <row r="379" spans="2:17" x14ac:dyDescent="0.4">
      <c r="B379" s="26"/>
      <c r="C379" s="21"/>
      <c r="D379" s="25"/>
      <c r="E379" s="21"/>
      <c r="F379" s="21"/>
      <c r="G379" s="21"/>
      <c r="H379" s="14"/>
      <c r="I379" s="14"/>
      <c r="J379" s="14"/>
      <c r="K379" s="14"/>
      <c r="L379" s="14"/>
      <c r="M379" s="14"/>
      <c r="N379" s="14"/>
      <c r="O379" s="14"/>
      <c r="P379" s="4"/>
      <c r="Q379" s="22"/>
    </row>
    <row r="380" spans="2:17" x14ac:dyDescent="0.4">
      <c r="B380" s="26"/>
      <c r="C380" s="21"/>
      <c r="D380" s="25"/>
      <c r="E380" s="21"/>
      <c r="F380" s="21"/>
      <c r="G380" s="21"/>
      <c r="H380" s="14"/>
      <c r="I380" s="14"/>
      <c r="J380" s="14"/>
      <c r="K380" s="14"/>
      <c r="L380" s="14"/>
      <c r="M380" s="14"/>
      <c r="N380" s="14"/>
      <c r="O380" s="14"/>
      <c r="P380" s="4"/>
      <c r="Q380" s="22"/>
    </row>
    <row r="381" spans="2:17" x14ac:dyDescent="0.4">
      <c r="B381" s="26"/>
      <c r="C381" s="21"/>
      <c r="D381" s="25"/>
      <c r="E381" s="21"/>
      <c r="F381" s="21"/>
      <c r="G381" s="21"/>
      <c r="H381" s="14"/>
      <c r="I381" s="14"/>
      <c r="J381" s="14"/>
      <c r="K381" s="14"/>
      <c r="L381" s="14"/>
      <c r="M381" s="14"/>
      <c r="N381" s="14"/>
      <c r="O381" s="14"/>
      <c r="P381" s="4"/>
      <c r="Q381" s="22"/>
    </row>
    <row r="382" spans="2:17" x14ac:dyDescent="0.4">
      <c r="B382" s="26"/>
      <c r="C382" s="21"/>
      <c r="D382" s="25"/>
      <c r="E382" s="21"/>
      <c r="F382" s="21"/>
      <c r="G382" s="21"/>
      <c r="H382" s="14"/>
      <c r="I382" s="14"/>
      <c r="J382" s="14"/>
      <c r="K382" s="14"/>
      <c r="L382" s="14"/>
      <c r="M382" s="14"/>
      <c r="N382" s="14"/>
      <c r="O382" s="14"/>
      <c r="P382" s="4"/>
      <c r="Q382" s="22"/>
    </row>
    <row r="383" spans="2:17" x14ac:dyDescent="0.4">
      <c r="B383" s="26"/>
      <c r="C383" s="21"/>
      <c r="D383" s="25"/>
      <c r="E383" s="21"/>
      <c r="F383" s="21"/>
      <c r="G383" s="21"/>
      <c r="H383" s="14"/>
      <c r="I383" s="14"/>
      <c r="J383" s="14"/>
      <c r="K383" s="14"/>
      <c r="L383" s="14"/>
      <c r="M383" s="14"/>
      <c r="N383" s="14"/>
      <c r="O383" s="14"/>
      <c r="P383" s="4"/>
      <c r="Q383" s="22"/>
    </row>
    <row r="384" spans="2:17" x14ac:dyDescent="0.4">
      <c r="B384" s="26"/>
      <c r="C384" s="21"/>
      <c r="D384" s="25"/>
      <c r="E384" s="21"/>
      <c r="F384" s="21"/>
      <c r="G384" s="21"/>
      <c r="H384" s="14"/>
      <c r="I384" s="14"/>
      <c r="J384" s="14"/>
      <c r="K384" s="14"/>
      <c r="L384" s="14"/>
      <c r="M384" s="14"/>
      <c r="N384" s="14"/>
      <c r="O384" s="14"/>
      <c r="P384" s="4"/>
      <c r="Q384" s="22"/>
    </row>
    <row r="385" spans="2:17" x14ac:dyDescent="0.4">
      <c r="B385" s="26"/>
      <c r="C385" s="21"/>
      <c r="D385" s="25"/>
      <c r="E385" s="21"/>
      <c r="F385" s="21"/>
      <c r="G385" s="21"/>
      <c r="H385" s="14"/>
      <c r="I385" s="14"/>
      <c r="J385" s="14"/>
      <c r="K385" s="14"/>
      <c r="L385" s="14"/>
      <c r="M385" s="14"/>
      <c r="N385" s="14"/>
      <c r="O385" s="14"/>
      <c r="P385" s="4"/>
      <c r="Q385" s="22"/>
    </row>
    <row r="386" spans="2:17" x14ac:dyDescent="0.4">
      <c r="B386" s="26"/>
      <c r="C386" s="21"/>
      <c r="D386" s="25"/>
      <c r="E386" s="21"/>
      <c r="F386" s="21"/>
      <c r="G386" s="21"/>
      <c r="H386" s="14"/>
      <c r="I386" s="14"/>
      <c r="J386" s="14"/>
      <c r="K386" s="14"/>
      <c r="L386" s="14"/>
      <c r="M386" s="14"/>
      <c r="N386" s="14"/>
      <c r="O386" s="14"/>
      <c r="P386" s="4"/>
      <c r="Q386" s="22"/>
    </row>
    <row r="387" spans="2:17" x14ac:dyDescent="0.4">
      <c r="B387" s="26"/>
      <c r="C387" s="21"/>
      <c r="D387" s="25"/>
      <c r="E387" s="21"/>
      <c r="F387" s="21"/>
      <c r="G387" s="21"/>
      <c r="H387" s="14"/>
      <c r="I387" s="14"/>
      <c r="J387" s="14"/>
      <c r="K387" s="14"/>
      <c r="L387" s="14"/>
      <c r="M387" s="14"/>
      <c r="N387" s="14"/>
      <c r="O387" s="14"/>
      <c r="P387" s="4"/>
      <c r="Q387" s="22"/>
    </row>
    <row r="388" spans="2:17" x14ac:dyDescent="0.4">
      <c r="B388" s="26"/>
      <c r="C388" s="21"/>
      <c r="D388" s="25"/>
      <c r="E388" s="21"/>
      <c r="F388" s="21"/>
      <c r="G388" s="21"/>
      <c r="H388" s="14"/>
      <c r="I388" s="14"/>
      <c r="J388" s="14"/>
      <c r="K388" s="14"/>
      <c r="L388" s="14"/>
      <c r="M388" s="14"/>
      <c r="N388" s="14"/>
      <c r="O388" s="14"/>
      <c r="P388" s="4"/>
      <c r="Q388" s="22"/>
    </row>
    <row r="389" spans="2:17" x14ac:dyDescent="0.4">
      <c r="B389" s="26"/>
      <c r="C389" s="21"/>
      <c r="D389" s="25"/>
      <c r="E389" s="21"/>
      <c r="F389" s="21"/>
      <c r="G389" s="21"/>
      <c r="H389" s="14"/>
      <c r="I389" s="14"/>
      <c r="J389" s="14"/>
      <c r="K389" s="14"/>
      <c r="L389" s="14"/>
      <c r="M389" s="14"/>
      <c r="N389" s="14"/>
      <c r="O389" s="14"/>
      <c r="P389" s="4"/>
      <c r="Q389" s="22"/>
    </row>
    <row r="390" spans="2:17" x14ac:dyDescent="0.4">
      <c r="B390" s="26"/>
      <c r="C390" s="21"/>
      <c r="D390" s="25"/>
      <c r="E390" s="21"/>
      <c r="F390" s="21"/>
      <c r="G390" s="21"/>
      <c r="H390" s="14"/>
      <c r="I390" s="14"/>
      <c r="J390" s="14"/>
      <c r="K390" s="14"/>
      <c r="L390" s="14"/>
      <c r="M390" s="14"/>
      <c r="N390" s="14"/>
      <c r="O390" s="14"/>
      <c r="P390" s="4"/>
      <c r="Q390" s="22"/>
    </row>
    <row r="391" spans="2:17" x14ac:dyDescent="0.4">
      <c r="B391" s="26"/>
      <c r="C391" s="21"/>
      <c r="D391" s="25"/>
      <c r="E391" s="21"/>
      <c r="F391" s="21"/>
      <c r="G391" s="21"/>
      <c r="H391" s="14"/>
      <c r="I391" s="14"/>
      <c r="J391" s="14"/>
      <c r="K391" s="14"/>
      <c r="L391" s="14"/>
      <c r="M391" s="14"/>
      <c r="N391" s="14"/>
      <c r="O391" s="14"/>
      <c r="P391" s="4"/>
      <c r="Q391" s="22"/>
    </row>
    <row r="392" spans="2:17" x14ac:dyDescent="0.4">
      <c r="B392" s="26"/>
      <c r="C392" s="21"/>
      <c r="D392" s="25"/>
      <c r="E392" s="21"/>
      <c r="F392" s="21"/>
      <c r="G392" s="21"/>
      <c r="H392" s="14"/>
      <c r="I392" s="14"/>
      <c r="J392" s="14"/>
      <c r="K392" s="14"/>
      <c r="L392" s="14"/>
      <c r="M392" s="14"/>
      <c r="N392" s="14"/>
      <c r="O392" s="14"/>
      <c r="P392" s="4"/>
      <c r="Q392" s="22"/>
    </row>
    <row r="393" spans="2:17" x14ac:dyDescent="0.4">
      <c r="B393" s="26"/>
      <c r="C393" s="21"/>
      <c r="D393" s="25"/>
      <c r="E393" s="21"/>
      <c r="F393" s="21"/>
      <c r="G393" s="21"/>
      <c r="H393" s="14"/>
      <c r="I393" s="14"/>
      <c r="J393" s="14"/>
      <c r="K393" s="14"/>
      <c r="L393" s="14"/>
      <c r="M393" s="14"/>
      <c r="N393" s="14"/>
      <c r="O393" s="14"/>
      <c r="P393" s="4"/>
      <c r="Q393" s="22"/>
    </row>
    <row r="394" spans="2:17" x14ac:dyDescent="0.4">
      <c r="B394" s="26"/>
      <c r="C394" s="21"/>
      <c r="D394" s="25"/>
      <c r="E394" s="21"/>
      <c r="F394" s="21"/>
      <c r="G394" s="21"/>
      <c r="H394" s="14"/>
      <c r="I394" s="14"/>
      <c r="J394" s="14"/>
      <c r="K394" s="14"/>
      <c r="L394" s="14"/>
      <c r="M394" s="14"/>
      <c r="N394" s="14"/>
      <c r="O394" s="14"/>
      <c r="P394" s="4"/>
      <c r="Q394" s="22"/>
    </row>
    <row r="395" spans="2:17" x14ac:dyDescent="0.4">
      <c r="B395" s="26"/>
      <c r="C395" s="21"/>
      <c r="D395" s="25"/>
      <c r="E395" s="21"/>
      <c r="F395" s="21"/>
      <c r="G395" s="21"/>
      <c r="H395" s="14"/>
      <c r="I395" s="14"/>
      <c r="J395" s="14"/>
      <c r="K395" s="14"/>
      <c r="L395" s="14"/>
      <c r="M395" s="14"/>
      <c r="N395" s="14"/>
      <c r="O395" s="14"/>
      <c r="P395" s="4"/>
      <c r="Q395" s="22"/>
    </row>
    <row r="396" spans="2:17" x14ac:dyDescent="0.4">
      <c r="B396" s="26"/>
      <c r="C396" s="21"/>
      <c r="D396" s="25"/>
      <c r="E396" s="21"/>
      <c r="F396" s="21"/>
      <c r="G396" s="21"/>
      <c r="H396" s="14"/>
      <c r="I396" s="14"/>
      <c r="J396" s="14"/>
      <c r="K396" s="14"/>
      <c r="L396" s="14"/>
      <c r="M396" s="14"/>
      <c r="N396" s="14"/>
      <c r="O396" s="14"/>
      <c r="P396" s="4"/>
      <c r="Q396" s="22"/>
    </row>
    <row r="397" spans="2:17" x14ac:dyDescent="0.4">
      <c r="B397" s="26"/>
      <c r="C397" s="21"/>
      <c r="D397" s="25"/>
      <c r="E397" s="21"/>
      <c r="F397" s="21"/>
      <c r="G397" s="21"/>
      <c r="H397" s="14"/>
      <c r="I397" s="14"/>
      <c r="J397" s="14"/>
      <c r="K397" s="14"/>
      <c r="L397" s="14"/>
      <c r="M397" s="14"/>
      <c r="N397" s="14"/>
      <c r="O397" s="14"/>
      <c r="P397" s="4"/>
      <c r="Q397" s="22"/>
    </row>
    <row r="398" spans="2:17" x14ac:dyDescent="0.4">
      <c r="B398" s="26"/>
      <c r="C398" s="21"/>
      <c r="D398" s="25"/>
      <c r="E398" s="21"/>
      <c r="F398" s="21"/>
      <c r="G398" s="21"/>
      <c r="H398" s="14"/>
      <c r="I398" s="14"/>
      <c r="J398" s="14"/>
      <c r="K398" s="14"/>
      <c r="L398" s="14"/>
      <c r="M398" s="14"/>
      <c r="N398" s="14"/>
      <c r="O398" s="14"/>
      <c r="P398" s="4"/>
      <c r="Q398" s="22"/>
    </row>
    <row r="399" spans="2:17" x14ac:dyDescent="0.4">
      <c r="B399" s="26"/>
      <c r="C399" s="21"/>
      <c r="D399" s="25"/>
      <c r="E399" s="21"/>
      <c r="F399" s="21"/>
      <c r="G399" s="21"/>
      <c r="H399" s="14"/>
      <c r="I399" s="14"/>
      <c r="J399" s="14"/>
      <c r="K399" s="14"/>
      <c r="L399" s="14"/>
      <c r="M399" s="14"/>
      <c r="N399" s="14"/>
      <c r="O399" s="14"/>
      <c r="P399" s="4"/>
      <c r="Q399" s="22"/>
    </row>
    <row r="400" spans="2:17" x14ac:dyDescent="0.4">
      <c r="B400" s="26"/>
      <c r="C400" s="21"/>
      <c r="D400" s="25"/>
      <c r="E400" s="21"/>
      <c r="F400" s="21"/>
      <c r="G400" s="21"/>
      <c r="H400" s="14"/>
      <c r="I400" s="14"/>
      <c r="J400" s="14"/>
      <c r="K400" s="14"/>
      <c r="L400" s="14"/>
      <c r="M400" s="14"/>
      <c r="N400" s="14"/>
      <c r="O400" s="14"/>
      <c r="P400" s="4"/>
      <c r="Q400" s="22"/>
    </row>
    <row r="401" spans="2:17" x14ac:dyDescent="0.4">
      <c r="B401" s="26"/>
      <c r="C401" s="21"/>
      <c r="D401" s="25"/>
      <c r="E401" s="21"/>
      <c r="F401" s="21"/>
      <c r="G401" s="21"/>
      <c r="H401" s="14"/>
      <c r="I401" s="14"/>
      <c r="J401" s="14"/>
      <c r="K401" s="14"/>
      <c r="L401" s="14"/>
      <c r="M401" s="14"/>
      <c r="N401" s="14"/>
      <c r="O401" s="14"/>
      <c r="P401" s="4"/>
      <c r="Q401" s="22"/>
    </row>
    <row r="402" spans="2:17" x14ac:dyDescent="0.4">
      <c r="B402" s="26"/>
      <c r="C402" s="21"/>
      <c r="D402" s="25"/>
      <c r="E402" s="21"/>
      <c r="F402" s="21"/>
      <c r="G402" s="21"/>
      <c r="H402" s="14"/>
      <c r="I402" s="14"/>
      <c r="J402" s="14"/>
      <c r="K402" s="14"/>
      <c r="L402" s="14"/>
      <c r="M402" s="14"/>
      <c r="N402" s="14"/>
      <c r="O402" s="14"/>
      <c r="P402" s="4"/>
      <c r="Q402" s="22"/>
    </row>
    <row r="403" spans="2:17" x14ac:dyDescent="0.4">
      <c r="B403" s="26"/>
      <c r="C403" s="21"/>
      <c r="D403" s="25"/>
      <c r="E403" s="21"/>
      <c r="F403" s="21"/>
      <c r="G403" s="21"/>
      <c r="H403" s="14"/>
      <c r="I403" s="14"/>
      <c r="J403" s="14"/>
      <c r="K403" s="14"/>
      <c r="L403" s="14"/>
      <c r="M403" s="14"/>
      <c r="N403" s="14"/>
      <c r="O403" s="14"/>
      <c r="P403" s="4"/>
      <c r="Q403" s="22"/>
    </row>
    <row r="404" spans="2:17" x14ac:dyDescent="0.4">
      <c r="B404" s="26"/>
      <c r="C404" s="21"/>
      <c r="D404" s="25"/>
      <c r="E404" s="21"/>
      <c r="F404" s="21"/>
      <c r="G404" s="21"/>
      <c r="H404" s="14"/>
      <c r="I404" s="14"/>
      <c r="J404" s="14"/>
      <c r="K404" s="14"/>
      <c r="L404" s="14"/>
      <c r="M404" s="14"/>
      <c r="N404" s="14"/>
      <c r="O404" s="14"/>
      <c r="P404" s="4"/>
      <c r="Q404" s="22"/>
    </row>
    <row r="405" spans="2:17" x14ac:dyDescent="0.4">
      <c r="B405" s="26"/>
      <c r="C405" s="21"/>
      <c r="D405" s="25"/>
      <c r="E405" s="21"/>
      <c r="F405" s="21"/>
      <c r="G405" s="21"/>
      <c r="H405" s="14"/>
      <c r="I405" s="14"/>
      <c r="J405" s="14"/>
      <c r="K405" s="14"/>
      <c r="L405" s="14"/>
      <c r="M405" s="14"/>
      <c r="N405" s="14"/>
      <c r="O405" s="14"/>
      <c r="P405" s="4"/>
      <c r="Q405" s="22"/>
    </row>
    <row r="406" spans="2:17" x14ac:dyDescent="0.4">
      <c r="B406" s="26"/>
      <c r="C406" s="21"/>
      <c r="D406" s="25"/>
      <c r="E406" s="21"/>
      <c r="F406" s="21"/>
      <c r="G406" s="21"/>
      <c r="H406" s="14"/>
      <c r="I406" s="14"/>
      <c r="J406" s="14"/>
      <c r="K406" s="14"/>
      <c r="L406" s="14"/>
      <c r="M406" s="14"/>
      <c r="N406" s="14"/>
      <c r="O406" s="14"/>
      <c r="P406" s="4"/>
      <c r="Q406" s="22"/>
    </row>
    <row r="407" spans="2:17" x14ac:dyDescent="0.4">
      <c r="B407" s="26"/>
      <c r="C407" s="21"/>
      <c r="D407" s="25"/>
      <c r="E407" s="21"/>
      <c r="F407" s="21"/>
      <c r="G407" s="21"/>
      <c r="H407" s="14"/>
      <c r="I407" s="14"/>
      <c r="J407" s="14"/>
      <c r="K407" s="14"/>
      <c r="L407" s="14"/>
      <c r="M407" s="14"/>
      <c r="N407" s="14"/>
      <c r="O407" s="14"/>
      <c r="P407" s="4"/>
      <c r="Q407" s="22"/>
    </row>
    <row r="408" spans="2:17" x14ac:dyDescent="0.4">
      <c r="B408" s="26"/>
      <c r="C408" s="21"/>
      <c r="D408" s="25"/>
      <c r="E408" s="21"/>
      <c r="F408" s="21"/>
      <c r="G408" s="21"/>
      <c r="H408" s="14"/>
      <c r="I408" s="14"/>
      <c r="J408" s="14"/>
      <c r="K408" s="14"/>
      <c r="L408" s="14"/>
      <c r="M408" s="14"/>
      <c r="N408" s="14"/>
      <c r="O408" s="14"/>
      <c r="P408" s="4"/>
      <c r="Q408" s="22"/>
    </row>
    <row r="409" spans="2:17" x14ac:dyDescent="0.4">
      <c r="B409" s="26"/>
      <c r="C409" s="21"/>
      <c r="D409" s="25"/>
      <c r="E409" s="21"/>
      <c r="F409" s="21"/>
      <c r="G409" s="21"/>
      <c r="H409" s="14"/>
      <c r="I409" s="14"/>
      <c r="J409" s="14"/>
      <c r="K409" s="14"/>
      <c r="L409" s="14"/>
      <c r="M409" s="14"/>
      <c r="N409" s="14"/>
      <c r="O409" s="14"/>
      <c r="P409" s="4"/>
      <c r="Q409" s="22"/>
    </row>
    <row r="410" spans="2:17" x14ac:dyDescent="0.4">
      <c r="B410" s="26"/>
      <c r="C410" s="21"/>
      <c r="D410" s="25"/>
      <c r="E410" s="21"/>
      <c r="F410" s="21"/>
      <c r="G410" s="21"/>
      <c r="H410" s="14"/>
      <c r="I410" s="14"/>
      <c r="J410" s="14"/>
      <c r="K410" s="14"/>
      <c r="L410" s="14"/>
      <c r="M410" s="14"/>
      <c r="N410" s="14"/>
      <c r="O410" s="14"/>
      <c r="P410" s="4"/>
      <c r="Q410" s="22"/>
    </row>
    <row r="411" spans="2:17" x14ac:dyDescent="0.4">
      <c r="B411" s="26"/>
      <c r="C411" s="21"/>
      <c r="D411" s="25"/>
      <c r="E411" s="21"/>
      <c r="F411" s="21"/>
      <c r="G411" s="21"/>
      <c r="H411" s="14"/>
      <c r="I411" s="14"/>
      <c r="J411" s="14"/>
      <c r="K411" s="14"/>
      <c r="L411" s="14"/>
      <c r="M411" s="14"/>
      <c r="N411" s="14"/>
      <c r="O411" s="14"/>
      <c r="P411" s="4"/>
      <c r="Q411" s="22"/>
    </row>
    <row r="412" spans="2:17" x14ac:dyDescent="0.4">
      <c r="B412" s="26"/>
      <c r="C412" s="21"/>
      <c r="D412" s="25"/>
      <c r="E412" s="21"/>
      <c r="F412" s="21"/>
      <c r="G412" s="21"/>
      <c r="H412" s="14"/>
      <c r="I412" s="14"/>
      <c r="J412" s="14"/>
      <c r="K412" s="14"/>
      <c r="L412" s="14"/>
      <c r="M412" s="14"/>
      <c r="N412" s="14"/>
      <c r="O412" s="14"/>
      <c r="P412" s="4"/>
      <c r="Q412" s="22"/>
    </row>
    <row r="413" spans="2:17" x14ac:dyDescent="0.4">
      <c r="B413" s="26"/>
      <c r="C413" s="21"/>
      <c r="D413" s="25"/>
      <c r="E413" s="21"/>
      <c r="F413" s="21"/>
      <c r="G413" s="21"/>
      <c r="H413" s="14"/>
      <c r="I413" s="14"/>
      <c r="J413" s="14"/>
      <c r="K413" s="14"/>
      <c r="L413" s="14"/>
      <c r="M413" s="14"/>
      <c r="N413" s="14"/>
      <c r="O413" s="14"/>
      <c r="P413" s="4"/>
      <c r="Q413" s="22"/>
    </row>
    <row r="414" spans="2:17" x14ac:dyDescent="0.4">
      <c r="B414" s="26"/>
      <c r="C414" s="21"/>
      <c r="D414" s="25"/>
      <c r="E414" s="21"/>
      <c r="F414" s="21"/>
      <c r="G414" s="21"/>
      <c r="H414" s="14"/>
      <c r="I414" s="14"/>
      <c r="J414" s="14"/>
      <c r="K414" s="14"/>
      <c r="L414" s="14"/>
      <c r="M414" s="14"/>
      <c r="N414" s="14"/>
      <c r="O414" s="14"/>
      <c r="P414" s="4"/>
      <c r="Q414" s="22"/>
    </row>
    <row r="415" spans="2:17" x14ac:dyDescent="0.4">
      <c r="B415" s="26"/>
      <c r="C415" s="21"/>
      <c r="D415" s="25"/>
      <c r="E415" s="21"/>
      <c r="F415" s="21"/>
      <c r="G415" s="21"/>
      <c r="H415" s="14"/>
      <c r="I415" s="14"/>
      <c r="J415" s="14"/>
      <c r="K415" s="14"/>
      <c r="L415" s="14"/>
      <c r="M415" s="14"/>
      <c r="N415" s="14"/>
      <c r="O415" s="14"/>
      <c r="P415" s="4"/>
      <c r="Q415" s="22"/>
    </row>
    <row r="416" spans="2:17" x14ac:dyDescent="0.4">
      <c r="B416" s="26"/>
      <c r="C416" s="21"/>
      <c r="D416" s="25"/>
      <c r="E416" s="21"/>
      <c r="F416" s="21"/>
      <c r="G416" s="21"/>
      <c r="H416" s="14"/>
      <c r="I416" s="14"/>
      <c r="J416" s="14"/>
      <c r="K416" s="14"/>
      <c r="L416" s="14"/>
      <c r="M416" s="14"/>
      <c r="N416" s="14"/>
      <c r="O416" s="14"/>
      <c r="P416" s="4"/>
      <c r="Q416" s="22"/>
    </row>
    <row r="417" spans="2:17" x14ac:dyDescent="0.4">
      <c r="B417" s="26"/>
      <c r="C417" s="21"/>
      <c r="D417" s="25"/>
      <c r="E417" s="21"/>
      <c r="F417" s="21"/>
      <c r="G417" s="21"/>
      <c r="H417" s="14"/>
      <c r="I417" s="14"/>
      <c r="J417" s="14"/>
      <c r="K417" s="14"/>
      <c r="L417" s="14"/>
      <c r="M417" s="14"/>
      <c r="N417" s="14"/>
      <c r="O417" s="14"/>
      <c r="P417" s="4"/>
      <c r="Q417" s="22"/>
    </row>
    <row r="418" spans="2:17" x14ac:dyDescent="0.4">
      <c r="B418" s="26"/>
      <c r="C418" s="21"/>
      <c r="D418" s="25"/>
      <c r="E418" s="21"/>
      <c r="F418" s="21"/>
      <c r="G418" s="21"/>
      <c r="H418" s="14"/>
      <c r="I418" s="14"/>
      <c r="J418" s="14"/>
      <c r="K418" s="14"/>
      <c r="L418" s="14"/>
      <c r="M418" s="14"/>
      <c r="N418" s="14"/>
      <c r="O418" s="14"/>
      <c r="P418" s="4"/>
      <c r="Q418" s="22"/>
    </row>
    <row r="419" spans="2:17" x14ac:dyDescent="0.4">
      <c r="B419" s="26"/>
      <c r="C419" s="21"/>
      <c r="D419" s="25"/>
      <c r="E419" s="21"/>
      <c r="F419" s="21"/>
      <c r="G419" s="21"/>
      <c r="H419" s="14"/>
      <c r="I419" s="14"/>
      <c r="J419" s="14"/>
      <c r="K419" s="14"/>
      <c r="L419" s="14"/>
      <c r="M419" s="14"/>
      <c r="N419" s="14"/>
      <c r="O419" s="14"/>
      <c r="P419" s="4"/>
      <c r="Q419" s="22"/>
    </row>
    <row r="420" spans="2:17" x14ac:dyDescent="0.4">
      <c r="B420" s="26"/>
      <c r="C420" s="21"/>
      <c r="D420" s="25"/>
      <c r="E420" s="21"/>
      <c r="F420" s="21"/>
      <c r="G420" s="21"/>
      <c r="H420" s="14"/>
      <c r="I420" s="14"/>
      <c r="J420" s="14"/>
      <c r="K420" s="14"/>
      <c r="L420" s="14"/>
      <c r="M420" s="14"/>
      <c r="N420" s="14"/>
      <c r="O420" s="14"/>
      <c r="P420" s="4"/>
      <c r="Q420" s="22"/>
    </row>
    <row r="421" spans="2:17" x14ac:dyDescent="0.4">
      <c r="B421" s="26"/>
      <c r="C421" s="21"/>
      <c r="D421" s="25"/>
      <c r="E421" s="21"/>
      <c r="F421" s="21"/>
      <c r="G421" s="21"/>
      <c r="H421" s="14"/>
      <c r="I421" s="14"/>
      <c r="J421" s="14"/>
      <c r="K421" s="14"/>
      <c r="L421" s="14"/>
      <c r="M421" s="14"/>
      <c r="N421" s="14"/>
      <c r="O421" s="14"/>
      <c r="P421" s="4"/>
      <c r="Q421" s="22"/>
    </row>
    <row r="422" spans="2:17" x14ac:dyDescent="0.4">
      <c r="B422" s="26"/>
      <c r="C422" s="21"/>
      <c r="D422" s="25"/>
      <c r="E422" s="21"/>
      <c r="F422" s="21"/>
      <c r="G422" s="21"/>
      <c r="H422" s="14"/>
      <c r="I422" s="14"/>
      <c r="J422" s="14"/>
      <c r="K422" s="14"/>
      <c r="L422" s="14"/>
      <c r="M422" s="14"/>
      <c r="N422" s="14"/>
      <c r="O422" s="14"/>
      <c r="P422" s="4"/>
      <c r="Q422" s="22"/>
    </row>
    <row r="423" spans="2:17" x14ac:dyDescent="0.4">
      <c r="B423" s="26"/>
      <c r="C423" s="21"/>
      <c r="D423" s="25"/>
      <c r="E423" s="21"/>
      <c r="F423" s="21"/>
      <c r="G423" s="21"/>
      <c r="H423" s="14"/>
      <c r="I423" s="14"/>
      <c r="J423" s="14"/>
      <c r="K423" s="14"/>
      <c r="L423" s="14"/>
      <c r="M423" s="14"/>
      <c r="N423" s="14"/>
      <c r="O423" s="14"/>
      <c r="P423" s="4"/>
      <c r="Q423" s="22"/>
    </row>
    <row r="424" spans="2:17" x14ac:dyDescent="0.4">
      <c r="B424" s="26"/>
      <c r="C424" s="21"/>
      <c r="D424" s="25"/>
      <c r="E424" s="21"/>
      <c r="F424" s="21"/>
      <c r="G424" s="21"/>
      <c r="H424" s="14"/>
      <c r="I424" s="14"/>
      <c r="J424" s="14"/>
      <c r="K424" s="14"/>
      <c r="L424" s="14"/>
      <c r="M424" s="14"/>
      <c r="N424" s="14"/>
      <c r="O424" s="14"/>
      <c r="P424" s="4"/>
      <c r="Q424" s="22"/>
    </row>
    <row r="425" spans="2:17" x14ac:dyDescent="0.4">
      <c r="B425" s="26"/>
      <c r="C425" s="21"/>
      <c r="D425" s="25"/>
      <c r="E425" s="21"/>
      <c r="F425" s="21"/>
      <c r="G425" s="21"/>
      <c r="H425" s="14"/>
      <c r="I425" s="14"/>
      <c r="J425" s="14"/>
      <c r="K425" s="14"/>
      <c r="L425" s="14"/>
      <c r="M425" s="14"/>
      <c r="N425" s="14"/>
      <c r="O425" s="14"/>
      <c r="P425" s="4"/>
      <c r="Q425" s="22"/>
    </row>
    <row r="426" spans="2:17" x14ac:dyDescent="0.4">
      <c r="B426" s="26"/>
      <c r="C426" s="21"/>
      <c r="D426" s="25"/>
      <c r="E426" s="21"/>
      <c r="F426" s="21"/>
      <c r="G426" s="21"/>
      <c r="H426" s="14"/>
      <c r="I426" s="14"/>
      <c r="J426" s="14"/>
      <c r="K426" s="14"/>
      <c r="L426" s="14"/>
      <c r="M426" s="14"/>
      <c r="N426" s="14"/>
      <c r="O426" s="14"/>
      <c r="P426" s="4"/>
      <c r="Q426" s="22"/>
    </row>
    <row r="427" spans="2:17" x14ac:dyDescent="0.4">
      <c r="B427" s="26"/>
      <c r="C427" s="21"/>
      <c r="D427" s="25"/>
      <c r="E427" s="21"/>
      <c r="F427" s="21"/>
      <c r="G427" s="21"/>
      <c r="H427" s="14"/>
      <c r="I427" s="14"/>
      <c r="J427" s="14"/>
      <c r="K427" s="14"/>
      <c r="L427" s="14"/>
      <c r="M427" s="14"/>
      <c r="N427" s="14"/>
      <c r="O427" s="14"/>
      <c r="P427" s="4"/>
      <c r="Q427" s="22"/>
    </row>
    <row r="428" spans="2:17" x14ac:dyDescent="0.4">
      <c r="B428" s="26"/>
      <c r="C428" s="21"/>
      <c r="D428" s="25"/>
      <c r="E428" s="21"/>
      <c r="F428" s="21"/>
      <c r="G428" s="21"/>
      <c r="H428" s="14"/>
      <c r="I428" s="14"/>
      <c r="J428" s="14"/>
      <c r="K428" s="14"/>
      <c r="L428" s="14"/>
      <c r="M428" s="14"/>
      <c r="N428" s="14"/>
      <c r="O428" s="14"/>
      <c r="P428" s="4"/>
      <c r="Q428" s="22"/>
    </row>
    <row r="429" spans="2:17" x14ac:dyDescent="0.4">
      <c r="B429" s="26"/>
      <c r="C429" s="21"/>
      <c r="D429" s="25"/>
      <c r="E429" s="21"/>
      <c r="F429" s="21"/>
      <c r="G429" s="21"/>
      <c r="H429" s="14"/>
      <c r="I429" s="14"/>
      <c r="J429" s="14"/>
      <c r="K429" s="14"/>
      <c r="L429" s="14"/>
      <c r="M429" s="14"/>
      <c r="N429" s="14"/>
      <c r="O429" s="14"/>
      <c r="P429" s="4"/>
      <c r="Q429" s="22"/>
    </row>
    <row r="430" spans="2:17" x14ac:dyDescent="0.4">
      <c r="B430" s="26"/>
      <c r="C430" s="21"/>
      <c r="D430" s="25"/>
      <c r="E430" s="21"/>
      <c r="F430" s="21"/>
      <c r="G430" s="21"/>
      <c r="H430" s="14"/>
      <c r="I430" s="14"/>
      <c r="J430" s="14"/>
      <c r="K430" s="14"/>
      <c r="L430" s="14"/>
      <c r="M430" s="14"/>
      <c r="N430" s="14"/>
      <c r="O430" s="14"/>
      <c r="P430" s="4"/>
      <c r="Q430" s="22"/>
    </row>
    <row r="431" spans="2:17" x14ac:dyDescent="0.4">
      <c r="B431" s="26"/>
      <c r="C431" s="21"/>
      <c r="D431" s="25"/>
      <c r="E431" s="21"/>
      <c r="F431" s="21"/>
      <c r="G431" s="21"/>
      <c r="H431" s="14"/>
      <c r="I431" s="14"/>
      <c r="J431" s="14"/>
      <c r="K431" s="14"/>
      <c r="L431" s="14"/>
      <c r="M431" s="14"/>
      <c r="N431" s="14"/>
      <c r="O431" s="14"/>
      <c r="P431" s="4"/>
      <c r="Q431" s="22"/>
    </row>
    <row r="432" spans="2:17" x14ac:dyDescent="0.4">
      <c r="B432" s="26"/>
      <c r="C432" s="21"/>
      <c r="D432" s="25"/>
      <c r="E432" s="21"/>
      <c r="F432" s="21"/>
      <c r="G432" s="21"/>
      <c r="H432" s="14"/>
      <c r="I432" s="14"/>
      <c r="J432" s="14"/>
      <c r="K432" s="14"/>
      <c r="L432" s="14"/>
      <c r="M432" s="14"/>
      <c r="N432" s="14"/>
      <c r="O432" s="14"/>
      <c r="P432" s="4"/>
      <c r="Q432" s="22"/>
    </row>
    <row r="433" spans="2:17" x14ac:dyDescent="0.4">
      <c r="B433" s="26"/>
      <c r="C433" s="21"/>
      <c r="D433" s="25"/>
      <c r="E433" s="21"/>
      <c r="F433" s="21"/>
      <c r="G433" s="21"/>
      <c r="H433" s="14"/>
      <c r="I433" s="14"/>
      <c r="J433" s="14"/>
      <c r="K433" s="14"/>
      <c r="L433" s="14"/>
      <c r="M433" s="14"/>
      <c r="N433" s="14"/>
      <c r="O433" s="14"/>
      <c r="P433" s="4"/>
      <c r="Q433" s="22"/>
    </row>
    <row r="434" spans="2:17" x14ac:dyDescent="0.4">
      <c r="B434" s="26"/>
      <c r="C434" s="21"/>
      <c r="D434" s="25"/>
      <c r="E434" s="21"/>
      <c r="F434" s="21"/>
      <c r="G434" s="21"/>
      <c r="H434" s="14"/>
      <c r="I434" s="14"/>
      <c r="J434" s="14"/>
      <c r="K434" s="14"/>
      <c r="L434" s="14"/>
      <c r="M434" s="14"/>
      <c r="N434" s="14"/>
      <c r="O434" s="14"/>
      <c r="P434" s="4"/>
      <c r="Q434" s="22"/>
    </row>
    <row r="435" spans="2:17" x14ac:dyDescent="0.4">
      <c r="B435" s="26"/>
      <c r="C435" s="21"/>
      <c r="D435" s="25"/>
      <c r="E435" s="21"/>
      <c r="F435" s="21"/>
      <c r="G435" s="21"/>
      <c r="H435" s="14"/>
      <c r="I435" s="14"/>
      <c r="J435" s="14"/>
      <c r="K435" s="14"/>
      <c r="L435" s="14"/>
      <c r="M435" s="14"/>
      <c r="N435" s="14"/>
      <c r="O435" s="14"/>
      <c r="P435" s="4"/>
      <c r="Q435" s="22"/>
    </row>
    <row r="436" spans="2:17" x14ac:dyDescent="0.4">
      <c r="B436" s="26"/>
      <c r="C436" s="21"/>
      <c r="D436" s="25"/>
      <c r="E436" s="21"/>
      <c r="F436" s="21"/>
      <c r="G436" s="21"/>
      <c r="H436" s="14"/>
      <c r="I436" s="14"/>
      <c r="J436" s="14"/>
      <c r="K436" s="14"/>
      <c r="L436" s="14"/>
      <c r="M436" s="14"/>
      <c r="N436" s="14"/>
      <c r="O436" s="14"/>
      <c r="P436" s="4"/>
      <c r="Q436" s="22"/>
    </row>
    <row r="437" spans="2:17" x14ac:dyDescent="0.4">
      <c r="B437" s="26"/>
      <c r="C437" s="21"/>
      <c r="D437" s="25"/>
      <c r="E437" s="21"/>
      <c r="F437" s="21"/>
      <c r="G437" s="21"/>
      <c r="H437" s="14"/>
      <c r="I437" s="14"/>
      <c r="J437" s="14"/>
      <c r="K437" s="14"/>
      <c r="L437" s="14"/>
      <c r="M437" s="14"/>
      <c r="N437" s="14"/>
      <c r="O437" s="14"/>
      <c r="P437" s="4"/>
      <c r="Q437" s="22"/>
    </row>
    <row r="438" spans="2:17" x14ac:dyDescent="0.4">
      <c r="B438" s="26"/>
      <c r="C438" s="21"/>
      <c r="D438" s="25"/>
      <c r="E438" s="21"/>
      <c r="F438" s="21"/>
      <c r="G438" s="21"/>
      <c r="H438" s="14"/>
      <c r="I438" s="14"/>
      <c r="J438" s="14"/>
      <c r="K438" s="14"/>
      <c r="L438" s="14"/>
      <c r="M438" s="14"/>
      <c r="N438" s="14"/>
      <c r="O438" s="14"/>
      <c r="P438" s="4"/>
      <c r="Q438" s="22"/>
    </row>
    <row r="439" spans="2:17" x14ac:dyDescent="0.4">
      <c r="B439" s="26"/>
      <c r="C439" s="21"/>
      <c r="D439" s="25"/>
      <c r="E439" s="21"/>
      <c r="F439" s="21"/>
      <c r="G439" s="21"/>
      <c r="H439" s="14"/>
      <c r="I439" s="14"/>
      <c r="J439" s="14"/>
      <c r="K439" s="14"/>
      <c r="L439" s="14"/>
      <c r="M439" s="14"/>
      <c r="N439" s="14"/>
      <c r="O439" s="14"/>
      <c r="P439" s="4"/>
      <c r="Q439" s="22"/>
    </row>
    <row r="440" spans="2:17" x14ac:dyDescent="0.4">
      <c r="B440" s="26"/>
      <c r="C440" s="21"/>
      <c r="D440" s="25"/>
      <c r="E440" s="21"/>
      <c r="F440" s="21"/>
      <c r="G440" s="21"/>
      <c r="H440" s="14"/>
      <c r="I440" s="14"/>
      <c r="J440" s="14"/>
      <c r="K440" s="14"/>
      <c r="L440" s="14"/>
      <c r="M440" s="14"/>
      <c r="N440" s="14"/>
      <c r="O440" s="14"/>
      <c r="P440" s="4"/>
      <c r="Q440" s="22"/>
    </row>
    <row r="441" spans="2:17" x14ac:dyDescent="0.4">
      <c r="B441" s="26"/>
      <c r="C441" s="21"/>
      <c r="D441" s="25"/>
      <c r="E441" s="21"/>
      <c r="F441" s="21"/>
      <c r="G441" s="21"/>
      <c r="H441" s="14"/>
      <c r="I441" s="14"/>
      <c r="J441" s="14"/>
      <c r="K441" s="14"/>
      <c r="L441" s="14"/>
      <c r="M441" s="14"/>
      <c r="N441" s="14"/>
      <c r="O441" s="14"/>
      <c r="P441" s="4"/>
      <c r="Q441" s="22"/>
    </row>
    <row r="442" spans="2:17" x14ac:dyDescent="0.4">
      <c r="B442" s="26"/>
      <c r="C442" s="21"/>
      <c r="D442" s="25"/>
      <c r="E442" s="21"/>
      <c r="F442" s="21"/>
      <c r="G442" s="21"/>
      <c r="H442" s="14"/>
      <c r="I442" s="14"/>
      <c r="J442" s="14"/>
      <c r="K442" s="14"/>
      <c r="L442" s="14"/>
      <c r="M442" s="14"/>
      <c r="N442" s="14"/>
      <c r="O442" s="14"/>
      <c r="P442" s="4"/>
      <c r="Q442" s="22"/>
    </row>
    <row r="443" spans="2:17" x14ac:dyDescent="0.4">
      <c r="B443" s="26"/>
      <c r="C443" s="21"/>
      <c r="D443" s="25"/>
      <c r="E443" s="21"/>
      <c r="F443" s="21"/>
      <c r="G443" s="21"/>
      <c r="H443" s="14"/>
      <c r="I443" s="14"/>
      <c r="J443" s="14"/>
      <c r="K443" s="14"/>
      <c r="L443" s="14"/>
      <c r="M443" s="14"/>
      <c r="N443" s="14"/>
      <c r="O443" s="14"/>
      <c r="P443" s="4"/>
      <c r="Q443" s="22"/>
    </row>
    <row r="444" spans="2:17" x14ac:dyDescent="0.4">
      <c r="B444" s="26"/>
      <c r="C444" s="21"/>
      <c r="D444" s="25"/>
      <c r="E444" s="21"/>
      <c r="F444" s="21"/>
      <c r="G444" s="21"/>
      <c r="H444" s="14"/>
      <c r="I444" s="14"/>
      <c r="J444" s="14"/>
      <c r="K444" s="14"/>
      <c r="L444" s="14"/>
      <c r="M444" s="14"/>
      <c r="N444" s="14"/>
      <c r="O444" s="14"/>
      <c r="P444" s="4"/>
      <c r="Q444" s="22"/>
    </row>
    <row r="445" spans="2:17" x14ac:dyDescent="0.4">
      <c r="B445" s="26"/>
      <c r="C445" s="21"/>
      <c r="D445" s="25"/>
      <c r="E445" s="21"/>
      <c r="F445" s="21"/>
      <c r="G445" s="21"/>
      <c r="H445" s="14"/>
      <c r="I445" s="14"/>
      <c r="J445" s="14"/>
      <c r="K445" s="14"/>
      <c r="L445" s="14"/>
      <c r="M445" s="14"/>
      <c r="N445" s="14"/>
      <c r="O445" s="14"/>
      <c r="P445" s="4"/>
      <c r="Q445" s="22"/>
    </row>
    <row r="446" spans="2:17" x14ac:dyDescent="0.4">
      <c r="B446" s="26"/>
      <c r="C446" s="21"/>
      <c r="D446" s="25"/>
      <c r="E446" s="21"/>
      <c r="F446" s="21"/>
      <c r="G446" s="21"/>
      <c r="H446" s="14"/>
      <c r="I446" s="14"/>
      <c r="J446" s="14"/>
      <c r="K446" s="14"/>
      <c r="L446" s="14"/>
      <c r="M446" s="14"/>
      <c r="N446" s="14"/>
      <c r="O446" s="14"/>
      <c r="P446" s="4"/>
      <c r="Q446" s="22"/>
    </row>
    <row r="447" spans="2:17" x14ac:dyDescent="0.4">
      <c r="B447" s="26"/>
      <c r="C447" s="21"/>
      <c r="D447" s="25"/>
      <c r="E447" s="21"/>
      <c r="F447" s="21"/>
      <c r="G447" s="21"/>
      <c r="H447" s="14"/>
      <c r="I447" s="14"/>
      <c r="J447" s="14"/>
      <c r="K447" s="14"/>
      <c r="L447" s="14"/>
      <c r="M447" s="14"/>
      <c r="N447" s="14"/>
      <c r="O447" s="14"/>
      <c r="P447" s="4"/>
      <c r="Q447" s="22"/>
    </row>
    <row r="448" spans="2:17" x14ac:dyDescent="0.4">
      <c r="B448" s="26"/>
      <c r="C448" s="21"/>
      <c r="D448" s="25"/>
      <c r="E448" s="21"/>
      <c r="F448" s="21"/>
      <c r="G448" s="21"/>
      <c r="H448" s="14"/>
      <c r="I448" s="14"/>
      <c r="J448" s="14"/>
      <c r="K448" s="14"/>
      <c r="L448" s="14"/>
      <c r="M448" s="14"/>
      <c r="N448" s="14"/>
      <c r="O448" s="14"/>
      <c r="P448" s="4"/>
      <c r="Q448" s="22"/>
    </row>
    <row r="449" spans="2:17" x14ac:dyDescent="0.4">
      <c r="B449" s="26"/>
      <c r="C449" s="21"/>
      <c r="D449" s="25"/>
      <c r="E449" s="21"/>
      <c r="F449" s="21"/>
      <c r="G449" s="21"/>
      <c r="H449" s="14"/>
      <c r="I449" s="14"/>
      <c r="J449" s="14"/>
      <c r="K449" s="14"/>
      <c r="L449" s="14"/>
      <c r="M449" s="14"/>
      <c r="N449" s="14"/>
      <c r="O449" s="14"/>
      <c r="P449" s="4"/>
      <c r="Q449" s="22"/>
    </row>
    <row r="450" spans="2:17" x14ac:dyDescent="0.4">
      <c r="B450" s="26"/>
      <c r="C450" s="21"/>
      <c r="D450" s="25"/>
      <c r="E450" s="21"/>
      <c r="F450" s="21"/>
      <c r="G450" s="21"/>
      <c r="H450" s="14"/>
      <c r="I450" s="14"/>
      <c r="J450" s="14"/>
      <c r="K450" s="14"/>
      <c r="L450" s="14"/>
      <c r="M450" s="14"/>
      <c r="N450" s="14"/>
      <c r="O450" s="14"/>
      <c r="P450" s="4"/>
      <c r="Q450" s="22"/>
    </row>
    <row r="451" spans="2:17" x14ac:dyDescent="0.4">
      <c r="B451" s="26"/>
      <c r="C451" s="21"/>
      <c r="D451" s="25"/>
      <c r="E451" s="21"/>
      <c r="F451" s="21"/>
      <c r="G451" s="21"/>
      <c r="H451" s="14"/>
      <c r="I451" s="14"/>
      <c r="J451" s="14"/>
      <c r="K451" s="14"/>
      <c r="L451" s="14"/>
      <c r="M451" s="14"/>
      <c r="N451" s="14"/>
      <c r="O451" s="14"/>
      <c r="P451" s="4"/>
    </row>
    <row r="452" spans="2:17" x14ac:dyDescent="0.4">
      <c r="B452" s="26"/>
      <c r="C452" s="21"/>
      <c r="D452" s="25"/>
      <c r="E452" s="21"/>
      <c r="F452" s="21"/>
      <c r="G452" s="21"/>
      <c r="H452" s="14"/>
      <c r="I452" s="14"/>
      <c r="J452" s="14"/>
      <c r="K452" s="14"/>
      <c r="L452" s="14"/>
      <c r="M452" s="14"/>
      <c r="N452" s="14"/>
      <c r="O452" s="14"/>
      <c r="P452" s="4"/>
    </row>
  </sheetData>
  <autoFilter ref="C5:Q369" xr:uid="{00000000-0009-0000-0000-000002000000}"/>
  <mergeCells count="6">
    <mergeCell ref="B2:Q2"/>
    <mergeCell ref="B4:B5"/>
    <mergeCell ref="C4:G4"/>
    <mergeCell ref="H4:J4"/>
    <mergeCell ref="K4:M4"/>
    <mergeCell ref="N4:P4"/>
  </mergeCells>
  <phoneticPr fontId="1" type="noConversion"/>
  <conditionalFormatting sqref="G163 G6:G109 G113 G142:G144">
    <cfRule type="iconSet" priority="212">
      <iconSet iconSet="3Arrows">
        <cfvo type="percent" val="0"/>
        <cfvo type="num" val="0"/>
        <cfvo type="num" val="0" gte="0"/>
      </iconSet>
    </cfRule>
  </conditionalFormatting>
  <conditionalFormatting sqref="G110">
    <cfRule type="iconSet" priority="211">
      <iconSet iconSet="3Arrows">
        <cfvo type="percent" val="0"/>
        <cfvo type="num" val="0"/>
        <cfvo type="num" val="0" gte="0"/>
      </iconSet>
    </cfRule>
  </conditionalFormatting>
  <conditionalFormatting sqref="G111">
    <cfRule type="iconSet" priority="210">
      <iconSet iconSet="3Arrows">
        <cfvo type="percent" val="0"/>
        <cfvo type="num" val="0"/>
        <cfvo type="num" val="0" gte="0"/>
      </iconSet>
    </cfRule>
  </conditionalFormatting>
  <conditionalFormatting sqref="G112">
    <cfRule type="iconSet" priority="209">
      <iconSet iconSet="3Arrows">
        <cfvo type="percent" val="0"/>
        <cfvo type="num" val="0"/>
        <cfvo type="num" val="0" gte="0"/>
      </iconSet>
    </cfRule>
  </conditionalFormatting>
  <conditionalFormatting sqref="G114">
    <cfRule type="iconSet" priority="208">
      <iconSet iconSet="3Arrows">
        <cfvo type="percent" val="0"/>
        <cfvo type="num" val="0"/>
        <cfvo type="num" val="0" gte="0"/>
      </iconSet>
    </cfRule>
  </conditionalFormatting>
  <conditionalFormatting sqref="G115">
    <cfRule type="iconSet" priority="207">
      <iconSet iconSet="3Arrows">
        <cfvo type="percent" val="0"/>
        <cfvo type="num" val="0"/>
        <cfvo type="num" val="0" gte="0"/>
      </iconSet>
    </cfRule>
  </conditionalFormatting>
  <conditionalFormatting sqref="G116">
    <cfRule type="iconSet" priority="206">
      <iconSet iconSet="3Arrows">
        <cfvo type="percent" val="0"/>
        <cfvo type="num" val="0"/>
        <cfvo type="num" val="0" gte="0"/>
      </iconSet>
    </cfRule>
  </conditionalFormatting>
  <conditionalFormatting sqref="G117">
    <cfRule type="iconSet" priority="205">
      <iconSet iconSet="3Arrows">
        <cfvo type="percent" val="0"/>
        <cfvo type="num" val="0"/>
        <cfvo type="num" val="0" gte="0"/>
      </iconSet>
    </cfRule>
  </conditionalFormatting>
  <conditionalFormatting sqref="G118">
    <cfRule type="iconSet" priority="204">
      <iconSet iconSet="3Arrows">
        <cfvo type="percent" val="0"/>
        <cfvo type="num" val="0"/>
        <cfvo type="num" val="0" gte="0"/>
      </iconSet>
    </cfRule>
  </conditionalFormatting>
  <conditionalFormatting sqref="G119">
    <cfRule type="iconSet" priority="203">
      <iconSet iconSet="3Arrows">
        <cfvo type="percent" val="0"/>
        <cfvo type="num" val="0"/>
        <cfvo type="num" val="0" gte="0"/>
      </iconSet>
    </cfRule>
  </conditionalFormatting>
  <conditionalFormatting sqref="G120">
    <cfRule type="iconSet" priority="202">
      <iconSet iconSet="3Arrows">
        <cfvo type="percent" val="0"/>
        <cfvo type="num" val="0"/>
        <cfvo type="num" val="0" gte="0"/>
      </iconSet>
    </cfRule>
  </conditionalFormatting>
  <conditionalFormatting sqref="G121">
    <cfRule type="iconSet" priority="201">
      <iconSet iconSet="3Arrows">
        <cfvo type="percent" val="0"/>
        <cfvo type="num" val="0"/>
        <cfvo type="num" val="0" gte="0"/>
      </iconSet>
    </cfRule>
  </conditionalFormatting>
  <conditionalFormatting sqref="G122">
    <cfRule type="iconSet" priority="200">
      <iconSet iconSet="3Arrows">
        <cfvo type="percent" val="0"/>
        <cfvo type="num" val="0"/>
        <cfvo type="num" val="0" gte="0"/>
      </iconSet>
    </cfRule>
  </conditionalFormatting>
  <conditionalFormatting sqref="G123">
    <cfRule type="iconSet" priority="199">
      <iconSet iconSet="3Arrows">
        <cfvo type="percent" val="0"/>
        <cfvo type="num" val="0"/>
        <cfvo type="num" val="0" gte="0"/>
      </iconSet>
    </cfRule>
  </conditionalFormatting>
  <conditionalFormatting sqref="G124">
    <cfRule type="iconSet" priority="198">
      <iconSet iconSet="3Arrows">
        <cfvo type="percent" val="0"/>
        <cfvo type="num" val="0"/>
        <cfvo type="num" val="0" gte="0"/>
      </iconSet>
    </cfRule>
  </conditionalFormatting>
  <conditionalFormatting sqref="G125">
    <cfRule type="iconSet" priority="197">
      <iconSet iconSet="3Arrows">
        <cfvo type="percent" val="0"/>
        <cfvo type="num" val="0"/>
        <cfvo type="num" val="0" gte="0"/>
      </iconSet>
    </cfRule>
  </conditionalFormatting>
  <conditionalFormatting sqref="G126">
    <cfRule type="iconSet" priority="196">
      <iconSet iconSet="3Arrows">
        <cfvo type="percent" val="0"/>
        <cfvo type="num" val="0"/>
        <cfvo type="num" val="0" gte="0"/>
      </iconSet>
    </cfRule>
  </conditionalFormatting>
  <conditionalFormatting sqref="G127">
    <cfRule type="iconSet" priority="195">
      <iconSet iconSet="3Arrows">
        <cfvo type="percent" val="0"/>
        <cfvo type="num" val="0"/>
        <cfvo type="num" val="0" gte="0"/>
      </iconSet>
    </cfRule>
  </conditionalFormatting>
  <conditionalFormatting sqref="G128">
    <cfRule type="iconSet" priority="194">
      <iconSet iconSet="3Arrows">
        <cfvo type="percent" val="0"/>
        <cfvo type="num" val="0"/>
        <cfvo type="num" val="0" gte="0"/>
      </iconSet>
    </cfRule>
  </conditionalFormatting>
  <conditionalFormatting sqref="G129">
    <cfRule type="iconSet" priority="193">
      <iconSet iconSet="3Arrows">
        <cfvo type="percent" val="0"/>
        <cfvo type="num" val="0"/>
        <cfvo type="num" val="0" gte="0"/>
      </iconSet>
    </cfRule>
  </conditionalFormatting>
  <conditionalFormatting sqref="G130">
    <cfRule type="iconSet" priority="192">
      <iconSet iconSet="3Arrows">
        <cfvo type="percent" val="0"/>
        <cfvo type="num" val="0"/>
        <cfvo type="num" val="0" gte="0"/>
      </iconSet>
    </cfRule>
  </conditionalFormatting>
  <conditionalFormatting sqref="G131">
    <cfRule type="iconSet" priority="191">
      <iconSet iconSet="3Arrows">
        <cfvo type="percent" val="0"/>
        <cfvo type="num" val="0"/>
        <cfvo type="num" val="0" gte="0"/>
      </iconSet>
    </cfRule>
  </conditionalFormatting>
  <conditionalFormatting sqref="G132">
    <cfRule type="iconSet" priority="190">
      <iconSet iconSet="3Arrows">
        <cfvo type="percent" val="0"/>
        <cfvo type="num" val="0"/>
        <cfvo type="num" val="0" gte="0"/>
      </iconSet>
    </cfRule>
  </conditionalFormatting>
  <conditionalFormatting sqref="G133">
    <cfRule type="iconSet" priority="189">
      <iconSet iconSet="3Arrows">
        <cfvo type="percent" val="0"/>
        <cfvo type="num" val="0"/>
        <cfvo type="num" val="0" gte="0"/>
      </iconSet>
    </cfRule>
  </conditionalFormatting>
  <conditionalFormatting sqref="G134">
    <cfRule type="iconSet" priority="188">
      <iconSet iconSet="3Arrows">
        <cfvo type="percent" val="0"/>
        <cfvo type="num" val="0"/>
        <cfvo type="num" val="0" gte="0"/>
      </iconSet>
    </cfRule>
  </conditionalFormatting>
  <conditionalFormatting sqref="G135">
    <cfRule type="iconSet" priority="187">
      <iconSet iconSet="3Arrows">
        <cfvo type="percent" val="0"/>
        <cfvo type="num" val="0"/>
        <cfvo type="num" val="0" gte="0"/>
      </iconSet>
    </cfRule>
  </conditionalFormatting>
  <conditionalFormatting sqref="G136">
    <cfRule type="iconSet" priority="186">
      <iconSet iconSet="3Arrows">
        <cfvo type="percent" val="0"/>
        <cfvo type="num" val="0"/>
        <cfvo type="num" val="0" gte="0"/>
      </iconSet>
    </cfRule>
  </conditionalFormatting>
  <conditionalFormatting sqref="G137">
    <cfRule type="iconSet" priority="185">
      <iconSet iconSet="3Arrows">
        <cfvo type="percent" val="0"/>
        <cfvo type="num" val="0"/>
        <cfvo type="num" val="0" gte="0"/>
      </iconSet>
    </cfRule>
  </conditionalFormatting>
  <conditionalFormatting sqref="G138">
    <cfRule type="iconSet" priority="184">
      <iconSet iconSet="3Arrows">
        <cfvo type="percent" val="0"/>
        <cfvo type="num" val="0"/>
        <cfvo type="num" val="0" gte="0"/>
      </iconSet>
    </cfRule>
  </conditionalFormatting>
  <conditionalFormatting sqref="G139">
    <cfRule type="iconSet" priority="183">
      <iconSet iconSet="3Arrows">
        <cfvo type="percent" val="0"/>
        <cfvo type="num" val="0"/>
        <cfvo type="num" val="0" gte="0"/>
      </iconSet>
    </cfRule>
  </conditionalFormatting>
  <conditionalFormatting sqref="G140">
    <cfRule type="iconSet" priority="182">
      <iconSet iconSet="3Arrows">
        <cfvo type="percent" val="0"/>
        <cfvo type="num" val="0"/>
        <cfvo type="num" val="0" gte="0"/>
      </iconSet>
    </cfRule>
  </conditionalFormatting>
  <conditionalFormatting sqref="G141">
    <cfRule type="iconSet" priority="181">
      <iconSet iconSet="3Arrows">
        <cfvo type="percent" val="0"/>
        <cfvo type="num" val="0"/>
        <cfvo type="num" val="0" gte="0"/>
      </iconSet>
    </cfRule>
  </conditionalFormatting>
  <conditionalFormatting sqref="G145">
    <cfRule type="iconSet" priority="180">
      <iconSet iconSet="3Arrows">
        <cfvo type="percent" val="0"/>
        <cfvo type="num" val="0"/>
        <cfvo type="num" val="0" gte="0"/>
      </iconSet>
    </cfRule>
  </conditionalFormatting>
  <conditionalFormatting sqref="G146">
    <cfRule type="iconSet" priority="179">
      <iconSet iconSet="3Arrows">
        <cfvo type="percent" val="0"/>
        <cfvo type="num" val="0"/>
        <cfvo type="num" val="0" gte="0"/>
      </iconSet>
    </cfRule>
  </conditionalFormatting>
  <conditionalFormatting sqref="G147">
    <cfRule type="iconSet" priority="178">
      <iconSet iconSet="3Arrows">
        <cfvo type="percent" val="0"/>
        <cfvo type="num" val="0"/>
        <cfvo type="num" val="0" gte="0"/>
      </iconSet>
    </cfRule>
  </conditionalFormatting>
  <conditionalFormatting sqref="G148">
    <cfRule type="iconSet" priority="177">
      <iconSet iconSet="3Arrows">
        <cfvo type="percent" val="0"/>
        <cfvo type="num" val="0"/>
        <cfvo type="num" val="0" gte="0"/>
      </iconSet>
    </cfRule>
  </conditionalFormatting>
  <conditionalFormatting sqref="G149">
    <cfRule type="iconSet" priority="176">
      <iconSet iconSet="3Arrows">
        <cfvo type="percent" val="0"/>
        <cfvo type="num" val="0"/>
        <cfvo type="num" val="0" gte="0"/>
      </iconSet>
    </cfRule>
  </conditionalFormatting>
  <conditionalFormatting sqref="G150:G151">
    <cfRule type="iconSet" priority="175">
      <iconSet iconSet="3Arrows">
        <cfvo type="percent" val="0"/>
        <cfvo type="num" val="0"/>
        <cfvo type="num" val="0" gte="0"/>
      </iconSet>
    </cfRule>
  </conditionalFormatting>
  <conditionalFormatting sqref="G152">
    <cfRule type="iconSet" priority="174">
      <iconSet iconSet="3Arrows">
        <cfvo type="percent" val="0"/>
        <cfvo type="num" val="0"/>
        <cfvo type="num" val="0" gte="0"/>
      </iconSet>
    </cfRule>
  </conditionalFormatting>
  <conditionalFormatting sqref="G153">
    <cfRule type="iconSet" priority="173">
      <iconSet iconSet="3Arrows">
        <cfvo type="percent" val="0"/>
        <cfvo type="num" val="0"/>
        <cfvo type="num" val="0" gte="0"/>
      </iconSet>
    </cfRule>
  </conditionalFormatting>
  <conditionalFormatting sqref="G154">
    <cfRule type="iconSet" priority="172">
      <iconSet iconSet="3Arrows">
        <cfvo type="percent" val="0"/>
        <cfvo type="num" val="0"/>
        <cfvo type="num" val="0" gte="0"/>
      </iconSet>
    </cfRule>
  </conditionalFormatting>
  <conditionalFormatting sqref="G155:G158">
    <cfRule type="iconSet" priority="171">
      <iconSet iconSet="3Arrows">
        <cfvo type="percent" val="0"/>
        <cfvo type="num" val="0"/>
        <cfvo type="num" val="0" gte="0"/>
      </iconSet>
    </cfRule>
  </conditionalFormatting>
  <conditionalFormatting sqref="G159:G162">
    <cfRule type="iconSet" priority="170">
      <iconSet iconSet="3Arrows">
        <cfvo type="percent" val="0"/>
        <cfvo type="num" val="0"/>
        <cfvo type="num" val="0" gte="0"/>
      </iconSet>
    </cfRule>
  </conditionalFormatting>
  <conditionalFormatting sqref="G164">
    <cfRule type="iconSet" priority="169">
      <iconSet iconSet="3Arrows">
        <cfvo type="percent" val="0"/>
        <cfvo type="num" val="0"/>
        <cfvo type="num" val="0" gte="0"/>
      </iconSet>
    </cfRule>
  </conditionalFormatting>
  <conditionalFormatting sqref="G165">
    <cfRule type="iconSet" priority="168">
      <iconSet iconSet="3Arrows">
        <cfvo type="percent" val="0"/>
        <cfvo type="num" val="0"/>
        <cfvo type="num" val="0" gte="0"/>
      </iconSet>
    </cfRule>
  </conditionalFormatting>
  <conditionalFormatting sqref="G166">
    <cfRule type="iconSet" priority="167">
      <iconSet iconSet="3Arrows">
        <cfvo type="percent" val="0"/>
        <cfvo type="num" val="0"/>
        <cfvo type="num" val="0" gte="0"/>
      </iconSet>
    </cfRule>
  </conditionalFormatting>
  <conditionalFormatting sqref="G167">
    <cfRule type="iconSet" priority="166">
      <iconSet iconSet="3Arrows">
        <cfvo type="percent" val="0"/>
        <cfvo type="num" val="0"/>
        <cfvo type="num" val="0" gte="0"/>
      </iconSet>
    </cfRule>
  </conditionalFormatting>
  <conditionalFormatting sqref="G168">
    <cfRule type="iconSet" priority="165">
      <iconSet iconSet="3Arrows">
        <cfvo type="percent" val="0"/>
        <cfvo type="num" val="0"/>
        <cfvo type="num" val="0" gte="0"/>
      </iconSet>
    </cfRule>
  </conditionalFormatting>
  <conditionalFormatting sqref="G169">
    <cfRule type="iconSet" priority="164">
      <iconSet iconSet="3Arrows">
        <cfvo type="percent" val="0"/>
        <cfvo type="num" val="0"/>
        <cfvo type="num" val="0" gte="0"/>
      </iconSet>
    </cfRule>
  </conditionalFormatting>
  <conditionalFormatting sqref="G170">
    <cfRule type="iconSet" priority="163">
      <iconSet iconSet="3Arrows">
        <cfvo type="percent" val="0"/>
        <cfvo type="num" val="0"/>
        <cfvo type="num" val="0" gte="0"/>
      </iconSet>
    </cfRule>
  </conditionalFormatting>
  <conditionalFormatting sqref="G171">
    <cfRule type="iconSet" priority="162">
      <iconSet iconSet="3Arrows">
        <cfvo type="percent" val="0"/>
        <cfvo type="num" val="0"/>
        <cfvo type="num" val="0" gte="0"/>
      </iconSet>
    </cfRule>
  </conditionalFormatting>
  <conditionalFormatting sqref="G172:G173">
    <cfRule type="iconSet" priority="161">
      <iconSet iconSet="3Arrows">
        <cfvo type="percent" val="0"/>
        <cfvo type="num" val="0"/>
        <cfvo type="num" val="0" gte="0"/>
      </iconSet>
    </cfRule>
  </conditionalFormatting>
  <conditionalFormatting sqref="G174">
    <cfRule type="iconSet" priority="160">
      <iconSet iconSet="3Arrows">
        <cfvo type="percent" val="0"/>
        <cfvo type="num" val="0"/>
        <cfvo type="num" val="0" gte="0"/>
      </iconSet>
    </cfRule>
  </conditionalFormatting>
  <conditionalFormatting sqref="G175">
    <cfRule type="iconSet" priority="159">
      <iconSet iconSet="3Arrows">
        <cfvo type="percent" val="0"/>
        <cfvo type="num" val="0"/>
        <cfvo type="num" val="0" gte="0"/>
      </iconSet>
    </cfRule>
  </conditionalFormatting>
  <conditionalFormatting sqref="G176:G177">
    <cfRule type="iconSet" priority="158">
      <iconSet iconSet="3Arrows">
        <cfvo type="percent" val="0"/>
        <cfvo type="num" val="0"/>
        <cfvo type="num" val="0" gte="0"/>
      </iconSet>
    </cfRule>
  </conditionalFormatting>
  <conditionalFormatting sqref="G178">
    <cfRule type="iconSet" priority="157">
      <iconSet iconSet="3Arrows">
        <cfvo type="percent" val="0"/>
        <cfvo type="num" val="0"/>
        <cfvo type="num" val="0" gte="0"/>
      </iconSet>
    </cfRule>
  </conditionalFormatting>
  <conditionalFormatting sqref="G179">
    <cfRule type="iconSet" priority="156">
      <iconSet iconSet="3Arrows">
        <cfvo type="percent" val="0"/>
        <cfvo type="num" val="0"/>
        <cfvo type="num" val="0" gte="0"/>
      </iconSet>
    </cfRule>
  </conditionalFormatting>
  <conditionalFormatting sqref="G180:G181">
    <cfRule type="iconSet" priority="155">
      <iconSet iconSet="3Arrows">
        <cfvo type="percent" val="0"/>
        <cfvo type="num" val="0"/>
        <cfvo type="num" val="0" gte="0"/>
      </iconSet>
    </cfRule>
  </conditionalFormatting>
  <conditionalFormatting sqref="G182:G186">
    <cfRule type="iconSet" priority="154">
      <iconSet iconSet="3Arrows">
        <cfvo type="percent" val="0"/>
        <cfvo type="num" val="0"/>
        <cfvo type="num" val="0" gte="0"/>
      </iconSet>
    </cfRule>
  </conditionalFormatting>
  <conditionalFormatting sqref="G187">
    <cfRule type="iconSet" priority="153">
      <iconSet iconSet="3Arrows">
        <cfvo type="percent" val="0"/>
        <cfvo type="num" val="0"/>
        <cfvo type="num" val="0" gte="0"/>
      </iconSet>
    </cfRule>
  </conditionalFormatting>
  <conditionalFormatting sqref="G188">
    <cfRule type="iconSet" priority="152">
      <iconSet iconSet="3Arrows">
        <cfvo type="percent" val="0"/>
        <cfvo type="num" val="0"/>
        <cfvo type="num" val="0" gte="0"/>
      </iconSet>
    </cfRule>
  </conditionalFormatting>
  <conditionalFormatting sqref="G189">
    <cfRule type="iconSet" priority="151">
      <iconSet iconSet="3Arrows">
        <cfvo type="percent" val="0"/>
        <cfvo type="num" val="0"/>
        <cfvo type="num" val="0" gte="0"/>
      </iconSet>
    </cfRule>
  </conditionalFormatting>
  <conditionalFormatting sqref="G190">
    <cfRule type="iconSet" priority="150">
      <iconSet iconSet="3Arrows">
        <cfvo type="percent" val="0"/>
        <cfvo type="num" val="0"/>
        <cfvo type="num" val="0" gte="0"/>
      </iconSet>
    </cfRule>
  </conditionalFormatting>
  <conditionalFormatting sqref="G191">
    <cfRule type="iconSet" priority="149">
      <iconSet iconSet="3Arrows">
        <cfvo type="percent" val="0"/>
        <cfvo type="num" val="0"/>
        <cfvo type="num" val="0" gte="0"/>
      </iconSet>
    </cfRule>
  </conditionalFormatting>
  <conditionalFormatting sqref="G192">
    <cfRule type="iconSet" priority="148">
      <iconSet iconSet="3Arrows">
        <cfvo type="percent" val="0"/>
        <cfvo type="num" val="0"/>
        <cfvo type="num" val="0" gte="0"/>
      </iconSet>
    </cfRule>
  </conditionalFormatting>
  <conditionalFormatting sqref="G193:G194">
    <cfRule type="iconSet" priority="147">
      <iconSet iconSet="3Arrows">
        <cfvo type="percent" val="0"/>
        <cfvo type="num" val="0"/>
        <cfvo type="num" val="0" gte="0"/>
      </iconSet>
    </cfRule>
  </conditionalFormatting>
  <conditionalFormatting sqref="G195">
    <cfRule type="iconSet" priority="146">
      <iconSet iconSet="3Arrows">
        <cfvo type="percent" val="0"/>
        <cfvo type="num" val="0"/>
        <cfvo type="num" val="0" gte="0"/>
      </iconSet>
    </cfRule>
  </conditionalFormatting>
  <conditionalFormatting sqref="G196">
    <cfRule type="iconSet" priority="145">
      <iconSet iconSet="3Arrows">
        <cfvo type="percent" val="0"/>
        <cfvo type="num" val="0"/>
        <cfvo type="num" val="0" gte="0"/>
      </iconSet>
    </cfRule>
  </conditionalFormatting>
  <conditionalFormatting sqref="G197">
    <cfRule type="iconSet" priority="144">
      <iconSet iconSet="3Arrows">
        <cfvo type="percent" val="0"/>
        <cfvo type="num" val="0"/>
        <cfvo type="num" val="0" gte="0"/>
      </iconSet>
    </cfRule>
  </conditionalFormatting>
  <conditionalFormatting sqref="G198">
    <cfRule type="iconSet" priority="143">
      <iconSet iconSet="3Arrows">
        <cfvo type="percent" val="0"/>
        <cfvo type="num" val="0"/>
        <cfvo type="num" val="0" gte="0"/>
      </iconSet>
    </cfRule>
  </conditionalFormatting>
  <conditionalFormatting sqref="G199">
    <cfRule type="iconSet" priority="142">
      <iconSet iconSet="3Arrows">
        <cfvo type="percent" val="0"/>
        <cfvo type="num" val="0"/>
        <cfvo type="num" val="0" gte="0"/>
      </iconSet>
    </cfRule>
  </conditionalFormatting>
  <conditionalFormatting sqref="G200">
    <cfRule type="iconSet" priority="141">
      <iconSet iconSet="3Arrows">
        <cfvo type="percent" val="0"/>
        <cfvo type="num" val="0"/>
        <cfvo type="num" val="0" gte="0"/>
      </iconSet>
    </cfRule>
  </conditionalFormatting>
  <conditionalFormatting sqref="G201">
    <cfRule type="iconSet" priority="140">
      <iconSet iconSet="3Arrows">
        <cfvo type="percent" val="0"/>
        <cfvo type="num" val="0"/>
        <cfvo type="num" val="0" gte="0"/>
      </iconSet>
    </cfRule>
  </conditionalFormatting>
  <conditionalFormatting sqref="G202">
    <cfRule type="iconSet" priority="139">
      <iconSet iconSet="3Arrows">
        <cfvo type="percent" val="0"/>
        <cfvo type="num" val="0"/>
        <cfvo type="num" val="0" gte="0"/>
      </iconSet>
    </cfRule>
  </conditionalFormatting>
  <conditionalFormatting sqref="G203">
    <cfRule type="iconSet" priority="138">
      <iconSet iconSet="3Arrows">
        <cfvo type="percent" val="0"/>
        <cfvo type="num" val="0"/>
        <cfvo type="num" val="0" gte="0"/>
      </iconSet>
    </cfRule>
  </conditionalFormatting>
  <conditionalFormatting sqref="G204">
    <cfRule type="iconSet" priority="137">
      <iconSet iconSet="3Arrows">
        <cfvo type="percent" val="0"/>
        <cfvo type="num" val="0"/>
        <cfvo type="num" val="0" gte="0"/>
      </iconSet>
    </cfRule>
  </conditionalFormatting>
  <conditionalFormatting sqref="G205">
    <cfRule type="iconSet" priority="136">
      <iconSet iconSet="3Arrows">
        <cfvo type="percent" val="0"/>
        <cfvo type="num" val="0"/>
        <cfvo type="num" val="0" gte="0"/>
      </iconSet>
    </cfRule>
  </conditionalFormatting>
  <conditionalFormatting sqref="G206">
    <cfRule type="iconSet" priority="135">
      <iconSet iconSet="3Arrows">
        <cfvo type="percent" val="0"/>
        <cfvo type="num" val="0"/>
        <cfvo type="num" val="0" gte="0"/>
      </iconSet>
    </cfRule>
  </conditionalFormatting>
  <conditionalFormatting sqref="G207">
    <cfRule type="iconSet" priority="134">
      <iconSet iconSet="3Arrows">
        <cfvo type="percent" val="0"/>
        <cfvo type="num" val="0"/>
        <cfvo type="num" val="0" gte="0"/>
      </iconSet>
    </cfRule>
  </conditionalFormatting>
  <conditionalFormatting sqref="G208">
    <cfRule type="iconSet" priority="133">
      <iconSet iconSet="3Arrows">
        <cfvo type="percent" val="0"/>
        <cfvo type="num" val="0"/>
        <cfvo type="num" val="0" gte="0"/>
      </iconSet>
    </cfRule>
  </conditionalFormatting>
  <conditionalFormatting sqref="G209">
    <cfRule type="iconSet" priority="132">
      <iconSet iconSet="3Arrows">
        <cfvo type="percent" val="0"/>
        <cfvo type="num" val="0"/>
        <cfvo type="num" val="0" gte="0"/>
      </iconSet>
    </cfRule>
  </conditionalFormatting>
  <conditionalFormatting sqref="G210">
    <cfRule type="iconSet" priority="131">
      <iconSet iconSet="3Arrows">
        <cfvo type="percent" val="0"/>
        <cfvo type="num" val="0"/>
        <cfvo type="num" val="0" gte="0"/>
      </iconSet>
    </cfRule>
  </conditionalFormatting>
  <conditionalFormatting sqref="G211">
    <cfRule type="iconSet" priority="130">
      <iconSet iconSet="3Arrows">
        <cfvo type="percent" val="0"/>
        <cfvo type="num" val="0"/>
        <cfvo type="num" val="0" gte="0"/>
      </iconSet>
    </cfRule>
  </conditionalFormatting>
  <conditionalFormatting sqref="G212">
    <cfRule type="iconSet" priority="129">
      <iconSet iconSet="3Arrows">
        <cfvo type="percent" val="0"/>
        <cfvo type="num" val="0"/>
        <cfvo type="num" val="0" gte="0"/>
      </iconSet>
    </cfRule>
  </conditionalFormatting>
  <conditionalFormatting sqref="G213">
    <cfRule type="iconSet" priority="128">
      <iconSet iconSet="3Arrows">
        <cfvo type="percent" val="0"/>
        <cfvo type="num" val="0"/>
        <cfvo type="num" val="0" gte="0"/>
      </iconSet>
    </cfRule>
  </conditionalFormatting>
  <conditionalFormatting sqref="G214">
    <cfRule type="iconSet" priority="127">
      <iconSet iconSet="3Arrows">
        <cfvo type="percent" val="0"/>
        <cfvo type="num" val="0"/>
        <cfvo type="num" val="0" gte="0"/>
      </iconSet>
    </cfRule>
  </conditionalFormatting>
  <conditionalFormatting sqref="G215">
    <cfRule type="iconSet" priority="126">
      <iconSet iconSet="3Arrows">
        <cfvo type="percent" val="0"/>
        <cfvo type="num" val="0"/>
        <cfvo type="num" val="0" gte="0"/>
      </iconSet>
    </cfRule>
  </conditionalFormatting>
  <conditionalFormatting sqref="G216">
    <cfRule type="iconSet" priority="125">
      <iconSet iconSet="3Arrows">
        <cfvo type="percent" val="0"/>
        <cfvo type="num" val="0"/>
        <cfvo type="num" val="0" gte="0"/>
      </iconSet>
    </cfRule>
  </conditionalFormatting>
  <conditionalFormatting sqref="G217">
    <cfRule type="iconSet" priority="124">
      <iconSet iconSet="3Arrows">
        <cfvo type="percent" val="0"/>
        <cfvo type="num" val="0"/>
        <cfvo type="num" val="0" gte="0"/>
      </iconSet>
    </cfRule>
  </conditionalFormatting>
  <conditionalFormatting sqref="G218">
    <cfRule type="iconSet" priority="123">
      <iconSet iconSet="3Arrows">
        <cfvo type="percent" val="0"/>
        <cfvo type="num" val="0"/>
        <cfvo type="num" val="0" gte="0"/>
      </iconSet>
    </cfRule>
  </conditionalFormatting>
  <conditionalFormatting sqref="G219">
    <cfRule type="iconSet" priority="122">
      <iconSet iconSet="3Arrows">
        <cfvo type="percent" val="0"/>
        <cfvo type="num" val="0"/>
        <cfvo type="num" val="0" gte="0"/>
      </iconSet>
    </cfRule>
  </conditionalFormatting>
  <conditionalFormatting sqref="G220">
    <cfRule type="iconSet" priority="121">
      <iconSet iconSet="3Arrows">
        <cfvo type="percent" val="0"/>
        <cfvo type="num" val="0"/>
        <cfvo type="num" val="0" gte="0"/>
      </iconSet>
    </cfRule>
  </conditionalFormatting>
  <conditionalFormatting sqref="G221">
    <cfRule type="iconSet" priority="120">
      <iconSet iconSet="3Arrows">
        <cfvo type="percent" val="0"/>
        <cfvo type="num" val="0"/>
        <cfvo type="num" val="0" gte="0"/>
      </iconSet>
    </cfRule>
  </conditionalFormatting>
  <conditionalFormatting sqref="G222">
    <cfRule type="iconSet" priority="119">
      <iconSet iconSet="3Arrows">
        <cfvo type="percent" val="0"/>
        <cfvo type="num" val="0"/>
        <cfvo type="num" val="0" gte="0"/>
      </iconSet>
    </cfRule>
  </conditionalFormatting>
  <conditionalFormatting sqref="G223">
    <cfRule type="iconSet" priority="118">
      <iconSet iconSet="3Arrows">
        <cfvo type="percent" val="0"/>
        <cfvo type="num" val="0"/>
        <cfvo type="num" val="0" gte="0"/>
      </iconSet>
    </cfRule>
  </conditionalFormatting>
  <conditionalFormatting sqref="G224">
    <cfRule type="iconSet" priority="117">
      <iconSet iconSet="3Arrows">
        <cfvo type="percent" val="0"/>
        <cfvo type="num" val="0"/>
        <cfvo type="num" val="0" gte="0"/>
      </iconSet>
    </cfRule>
  </conditionalFormatting>
  <conditionalFormatting sqref="G225">
    <cfRule type="iconSet" priority="116">
      <iconSet iconSet="3Arrows">
        <cfvo type="percent" val="0"/>
        <cfvo type="num" val="0"/>
        <cfvo type="num" val="0" gte="0"/>
      </iconSet>
    </cfRule>
  </conditionalFormatting>
  <conditionalFormatting sqref="G226">
    <cfRule type="iconSet" priority="115">
      <iconSet iconSet="3Arrows">
        <cfvo type="percent" val="0"/>
        <cfvo type="num" val="0"/>
        <cfvo type="num" val="0" gte="0"/>
      </iconSet>
    </cfRule>
  </conditionalFormatting>
  <conditionalFormatting sqref="G227">
    <cfRule type="iconSet" priority="114">
      <iconSet iconSet="3Arrows">
        <cfvo type="percent" val="0"/>
        <cfvo type="num" val="0"/>
        <cfvo type="num" val="0" gte="0"/>
      </iconSet>
    </cfRule>
  </conditionalFormatting>
  <conditionalFormatting sqref="G228">
    <cfRule type="iconSet" priority="113">
      <iconSet iconSet="3Arrows">
        <cfvo type="percent" val="0"/>
        <cfvo type="num" val="0"/>
        <cfvo type="num" val="0" gte="0"/>
      </iconSet>
    </cfRule>
  </conditionalFormatting>
  <conditionalFormatting sqref="G229">
    <cfRule type="iconSet" priority="112">
      <iconSet iconSet="3Arrows">
        <cfvo type="percent" val="0"/>
        <cfvo type="num" val="0"/>
        <cfvo type="num" val="0" gte="0"/>
      </iconSet>
    </cfRule>
  </conditionalFormatting>
  <conditionalFormatting sqref="G230">
    <cfRule type="iconSet" priority="111">
      <iconSet iconSet="3Arrows">
        <cfvo type="percent" val="0"/>
        <cfvo type="num" val="0"/>
        <cfvo type="num" val="0" gte="0"/>
      </iconSet>
    </cfRule>
  </conditionalFormatting>
  <conditionalFormatting sqref="G231">
    <cfRule type="iconSet" priority="110">
      <iconSet iconSet="3Arrows">
        <cfvo type="percent" val="0"/>
        <cfvo type="num" val="0"/>
        <cfvo type="num" val="0" gte="0"/>
      </iconSet>
    </cfRule>
  </conditionalFormatting>
  <conditionalFormatting sqref="G232">
    <cfRule type="iconSet" priority="109">
      <iconSet iconSet="3Arrows">
        <cfvo type="percent" val="0"/>
        <cfvo type="num" val="0"/>
        <cfvo type="num" val="0" gte="0"/>
      </iconSet>
    </cfRule>
  </conditionalFormatting>
  <conditionalFormatting sqref="G233">
    <cfRule type="iconSet" priority="108">
      <iconSet iconSet="3Arrows">
        <cfvo type="percent" val="0"/>
        <cfvo type="num" val="0"/>
        <cfvo type="num" val="0" gte="0"/>
      </iconSet>
    </cfRule>
  </conditionalFormatting>
  <conditionalFormatting sqref="G234">
    <cfRule type="iconSet" priority="107">
      <iconSet iconSet="3Arrows">
        <cfvo type="percent" val="0"/>
        <cfvo type="num" val="0"/>
        <cfvo type="num" val="0" gte="0"/>
      </iconSet>
    </cfRule>
  </conditionalFormatting>
  <conditionalFormatting sqref="G235">
    <cfRule type="iconSet" priority="106">
      <iconSet iconSet="3Arrows">
        <cfvo type="percent" val="0"/>
        <cfvo type="num" val="0"/>
        <cfvo type="num" val="0" gte="0"/>
      </iconSet>
    </cfRule>
  </conditionalFormatting>
  <conditionalFormatting sqref="G236">
    <cfRule type="iconSet" priority="105">
      <iconSet iconSet="3Arrows">
        <cfvo type="percent" val="0"/>
        <cfvo type="num" val="0"/>
        <cfvo type="num" val="0" gte="0"/>
      </iconSet>
    </cfRule>
  </conditionalFormatting>
  <conditionalFormatting sqref="G237">
    <cfRule type="iconSet" priority="104">
      <iconSet iconSet="3Arrows">
        <cfvo type="percent" val="0"/>
        <cfvo type="num" val="0"/>
        <cfvo type="num" val="0" gte="0"/>
      </iconSet>
    </cfRule>
  </conditionalFormatting>
  <conditionalFormatting sqref="G238">
    <cfRule type="iconSet" priority="103">
      <iconSet iconSet="3Arrows">
        <cfvo type="percent" val="0"/>
        <cfvo type="num" val="0"/>
        <cfvo type="num" val="0" gte="0"/>
      </iconSet>
    </cfRule>
  </conditionalFormatting>
  <conditionalFormatting sqref="G239">
    <cfRule type="iconSet" priority="102">
      <iconSet iconSet="3Arrows">
        <cfvo type="percent" val="0"/>
        <cfvo type="num" val="0"/>
        <cfvo type="num" val="0" gte="0"/>
      </iconSet>
    </cfRule>
  </conditionalFormatting>
  <conditionalFormatting sqref="G240">
    <cfRule type="iconSet" priority="101">
      <iconSet iconSet="3Arrows">
        <cfvo type="percent" val="0"/>
        <cfvo type="num" val="0"/>
        <cfvo type="num" val="0" gte="0"/>
      </iconSet>
    </cfRule>
  </conditionalFormatting>
  <conditionalFormatting sqref="G241">
    <cfRule type="iconSet" priority="100">
      <iconSet iconSet="3Arrows">
        <cfvo type="percent" val="0"/>
        <cfvo type="num" val="0"/>
        <cfvo type="num" val="0" gte="0"/>
      </iconSet>
    </cfRule>
  </conditionalFormatting>
  <conditionalFormatting sqref="G242">
    <cfRule type="iconSet" priority="99">
      <iconSet iconSet="3Arrows">
        <cfvo type="percent" val="0"/>
        <cfvo type="num" val="0"/>
        <cfvo type="num" val="0" gte="0"/>
      </iconSet>
    </cfRule>
  </conditionalFormatting>
  <conditionalFormatting sqref="G243">
    <cfRule type="iconSet" priority="98">
      <iconSet iconSet="3Arrows">
        <cfvo type="percent" val="0"/>
        <cfvo type="num" val="0"/>
        <cfvo type="num" val="0" gte="0"/>
      </iconSet>
    </cfRule>
  </conditionalFormatting>
  <conditionalFormatting sqref="G244">
    <cfRule type="iconSet" priority="97">
      <iconSet iconSet="3Arrows">
        <cfvo type="percent" val="0"/>
        <cfvo type="num" val="0"/>
        <cfvo type="num" val="0" gte="0"/>
      </iconSet>
    </cfRule>
  </conditionalFormatting>
  <conditionalFormatting sqref="G245">
    <cfRule type="iconSet" priority="96">
      <iconSet iconSet="3Arrows">
        <cfvo type="percent" val="0"/>
        <cfvo type="num" val="0"/>
        <cfvo type="num" val="0" gte="0"/>
      </iconSet>
    </cfRule>
  </conditionalFormatting>
  <conditionalFormatting sqref="G246">
    <cfRule type="iconSet" priority="95">
      <iconSet iconSet="3Arrows">
        <cfvo type="percent" val="0"/>
        <cfvo type="num" val="0"/>
        <cfvo type="num" val="0" gte="0"/>
      </iconSet>
    </cfRule>
  </conditionalFormatting>
  <conditionalFormatting sqref="G247">
    <cfRule type="iconSet" priority="94">
      <iconSet iconSet="3Arrows">
        <cfvo type="percent" val="0"/>
        <cfvo type="num" val="0"/>
        <cfvo type="num" val="0" gte="0"/>
      </iconSet>
    </cfRule>
  </conditionalFormatting>
  <conditionalFormatting sqref="G248:G249">
    <cfRule type="iconSet" priority="93">
      <iconSet iconSet="3Arrows">
        <cfvo type="percent" val="0"/>
        <cfvo type="num" val="0"/>
        <cfvo type="num" val="0" gte="0"/>
      </iconSet>
    </cfRule>
  </conditionalFormatting>
  <conditionalFormatting sqref="G250">
    <cfRule type="iconSet" priority="92">
      <iconSet iconSet="3Arrows">
        <cfvo type="percent" val="0"/>
        <cfvo type="num" val="0"/>
        <cfvo type="num" val="0" gte="0"/>
      </iconSet>
    </cfRule>
  </conditionalFormatting>
  <conditionalFormatting sqref="G251">
    <cfRule type="iconSet" priority="91">
      <iconSet iconSet="3Arrows">
        <cfvo type="percent" val="0"/>
        <cfvo type="num" val="0"/>
        <cfvo type="num" val="0" gte="0"/>
      </iconSet>
    </cfRule>
  </conditionalFormatting>
  <conditionalFormatting sqref="G252">
    <cfRule type="iconSet" priority="90">
      <iconSet iconSet="3Arrows">
        <cfvo type="percent" val="0"/>
        <cfvo type="num" val="0"/>
        <cfvo type="num" val="0" gte="0"/>
      </iconSet>
    </cfRule>
  </conditionalFormatting>
  <conditionalFormatting sqref="G253">
    <cfRule type="iconSet" priority="89">
      <iconSet iconSet="3Arrows">
        <cfvo type="percent" val="0"/>
        <cfvo type="num" val="0"/>
        <cfvo type="num" val="0" gte="0"/>
      </iconSet>
    </cfRule>
  </conditionalFormatting>
  <conditionalFormatting sqref="G254">
    <cfRule type="iconSet" priority="88">
      <iconSet iconSet="3Arrows">
        <cfvo type="percent" val="0"/>
        <cfvo type="num" val="0"/>
        <cfvo type="num" val="0" gte="0"/>
      </iconSet>
    </cfRule>
  </conditionalFormatting>
  <conditionalFormatting sqref="G255">
    <cfRule type="iconSet" priority="87">
      <iconSet iconSet="3Arrows">
        <cfvo type="percent" val="0"/>
        <cfvo type="num" val="0"/>
        <cfvo type="num" val="0" gte="0"/>
      </iconSet>
    </cfRule>
  </conditionalFormatting>
  <conditionalFormatting sqref="G256">
    <cfRule type="iconSet" priority="86">
      <iconSet iconSet="3Arrows">
        <cfvo type="percent" val="0"/>
        <cfvo type="num" val="0"/>
        <cfvo type="num" val="0" gte="0"/>
      </iconSet>
    </cfRule>
  </conditionalFormatting>
  <conditionalFormatting sqref="G257">
    <cfRule type="iconSet" priority="85">
      <iconSet iconSet="3Arrows">
        <cfvo type="percent" val="0"/>
        <cfvo type="num" val="0"/>
        <cfvo type="num" val="0" gte="0"/>
      </iconSet>
    </cfRule>
  </conditionalFormatting>
  <conditionalFormatting sqref="G258">
    <cfRule type="iconSet" priority="84">
      <iconSet iconSet="3Arrows">
        <cfvo type="percent" val="0"/>
        <cfvo type="num" val="0"/>
        <cfvo type="num" val="0" gte="0"/>
      </iconSet>
    </cfRule>
  </conditionalFormatting>
  <conditionalFormatting sqref="G259">
    <cfRule type="iconSet" priority="83">
      <iconSet iconSet="3Arrows">
        <cfvo type="percent" val="0"/>
        <cfvo type="num" val="0"/>
        <cfvo type="num" val="0" gte="0"/>
      </iconSet>
    </cfRule>
  </conditionalFormatting>
  <conditionalFormatting sqref="G260">
    <cfRule type="iconSet" priority="82">
      <iconSet iconSet="3Arrows">
        <cfvo type="percent" val="0"/>
        <cfvo type="num" val="0"/>
        <cfvo type="num" val="0" gte="0"/>
      </iconSet>
    </cfRule>
  </conditionalFormatting>
  <conditionalFormatting sqref="G261">
    <cfRule type="iconSet" priority="81">
      <iconSet iconSet="3Arrows">
        <cfvo type="percent" val="0"/>
        <cfvo type="num" val="0"/>
        <cfvo type="num" val="0" gte="0"/>
      </iconSet>
    </cfRule>
  </conditionalFormatting>
  <conditionalFormatting sqref="G262:G263">
    <cfRule type="iconSet" priority="80">
      <iconSet iconSet="3Arrows">
        <cfvo type="percent" val="0"/>
        <cfvo type="num" val="0"/>
        <cfvo type="num" val="0" gte="0"/>
      </iconSet>
    </cfRule>
  </conditionalFormatting>
  <conditionalFormatting sqref="G264">
    <cfRule type="iconSet" priority="79">
      <iconSet iconSet="3Arrows">
        <cfvo type="percent" val="0"/>
        <cfvo type="num" val="0"/>
        <cfvo type="num" val="0" gte="0"/>
      </iconSet>
    </cfRule>
  </conditionalFormatting>
  <conditionalFormatting sqref="G265">
    <cfRule type="iconSet" priority="78">
      <iconSet iconSet="3Arrows">
        <cfvo type="percent" val="0"/>
        <cfvo type="num" val="0"/>
        <cfvo type="num" val="0" gte="0"/>
      </iconSet>
    </cfRule>
  </conditionalFormatting>
  <conditionalFormatting sqref="G266">
    <cfRule type="iconSet" priority="77">
      <iconSet iconSet="3Arrows">
        <cfvo type="percent" val="0"/>
        <cfvo type="num" val="0"/>
        <cfvo type="num" val="0" gte="0"/>
      </iconSet>
    </cfRule>
  </conditionalFormatting>
  <conditionalFormatting sqref="G267">
    <cfRule type="iconSet" priority="76">
      <iconSet iconSet="3Arrows">
        <cfvo type="percent" val="0"/>
        <cfvo type="num" val="0"/>
        <cfvo type="num" val="0" gte="0"/>
      </iconSet>
    </cfRule>
  </conditionalFormatting>
  <conditionalFormatting sqref="G268">
    <cfRule type="iconSet" priority="75">
      <iconSet iconSet="3Arrows">
        <cfvo type="percent" val="0"/>
        <cfvo type="num" val="0"/>
        <cfvo type="num" val="0" gte="0"/>
      </iconSet>
    </cfRule>
  </conditionalFormatting>
  <conditionalFormatting sqref="G269">
    <cfRule type="iconSet" priority="74">
      <iconSet iconSet="3Arrows">
        <cfvo type="percent" val="0"/>
        <cfvo type="num" val="0"/>
        <cfvo type="num" val="0" gte="0"/>
      </iconSet>
    </cfRule>
  </conditionalFormatting>
  <conditionalFormatting sqref="G270">
    <cfRule type="iconSet" priority="73">
      <iconSet iconSet="3Arrows">
        <cfvo type="percent" val="0"/>
        <cfvo type="num" val="0"/>
        <cfvo type="num" val="0" gte="0"/>
      </iconSet>
    </cfRule>
  </conditionalFormatting>
  <conditionalFormatting sqref="G271">
    <cfRule type="iconSet" priority="72">
      <iconSet iconSet="3Arrows">
        <cfvo type="percent" val="0"/>
        <cfvo type="num" val="0"/>
        <cfvo type="num" val="0" gte="0"/>
      </iconSet>
    </cfRule>
  </conditionalFormatting>
  <conditionalFormatting sqref="G272">
    <cfRule type="iconSet" priority="71">
      <iconSet iconSet="3Arrows">
        <cfvo type="percent" val="0"/>
        <cfvo type="num" val="0"/>
        <cfvo type="num" val="0" gte="0"/>
      </iconSet>
    </cfRule>
  </conditionalFormatting>
  <conditionalFormatting sqref="G273">
    <cfRule type="iconSet" priority="70">
      <iconSet iconSet="3Arrows">
        <cfvo type="percent" val="0"/>
        <cfvo type="num" val="0"/>
        <cfvo type="num" val="0" gte="0"/>
      </iconSet>
    </cfRule>
  </conditionalFormatting>
  <conditionalFormatting sqref="G274">
    <cfRule type="iconSet" priority="69">
      <iconSet iconSet="3Arrows">
        <cfvo type="percent" val="0"/>
        <cfvo type="num" val="0"/>
        <cfvo type="num" val="0" gte="0"/>
      </iconSet>
    </cfRule>
  </conditionalFormatting>
  <conditionalFormatting sqref="G275">
    <cfRule type="iconSet" priority="68">
      <iconSet iconSet="3Arrows">
        <cfvo type="percent" val="0"/>
        <cfvo type="num" val="0"/>
        <cfvo type="num" val="0" gte="0"/>
      </iconSet>
    </cfRule>
  </conditionalFormatting>
  <conditionalFormatting sqref="G276">
    <cfRule type="iconSet" priority="67">
      <iconSet iconSet="3Arrows">
        <cfvo type="percent" val="0"/>
        <cfvo type="num" val="0"/>
        <cfvo type="num" val="0" gte="0"/>
      </iconSet>
    </cfRule>
  </conditionalFormatting>
  <conditionalFormatting sqref="G277">
    <cfRule type="iconSet" priority="66">
      <iconSet iconSet="3Arrows">
        <cfvo type="percent" val="0"/>
        <cfvo type="num" val="0"/>
        <cfvo type="num" val="0" gte="0"/>
      </iconSet>
    </cfRule>
  </conditionalFormatting>
  <conditionalFormatting sqref="G278">
    <cfRule type="iconSet" priority="65">
      <iconSet iconSet="3Arrows">
        <cfvo type="percent" val="0"/>
        <cfvo type="num" val="0"/>
        <cfvo type="num" val="0" gte="0"/>
      </iconSet>
    </cfRule>
  </conditionalFormatting>
  <conditionalFormatting sqref="G279:G280">
    <cfRule type="iconSet" priority="64">
      <iconSet iconSet="3Arrows">
        <cfvo type="percent" val="0"/>
        <cfvo type="num" val="0"/>
        <cfvo type="num" val="0" gte="0"/>
      </iconSet>
    </cfRule>
  </conditionalFormatting>
  <conditionalFormatting sqref="G281">
    <cfRule type="iconSet" priority="63">
      <iconSet iconSet="3Arrows">
        <cfvo type="percent" val="0"/>
        <cfvo type="num" val="0"/>
        <cfvo type="num" val="0" gte="0"/>
      </iconSet>
    </cfRule>
  </conditionalFormatting>
  <conditionalFormatting sqref="G282">
    <cfRule type="iconSet" priority="62">
      <iconSet iconSet="3Arrows">
        <cfvo type="percent" val="0"/>
        <cfvo type="num" val="0"/>
        <cfvo type="num" val="0" gte="0"/>
      </iconSet>
    </cfRule>
  </conditionalFormatting>
  <conditionalFormatting sqref="G283">
    <cfRule type="iconSet" priority="61">
      <iconSet iconSet="3Arrows">
        <cfvo type="percent" val="0"/>
        <cfvo type="num" val="0"/>
        <cfvo type="num" val="0" gte="0"/>
      </iconSet>
    </cfRule>
  </conditionalFormatting>
  <conditionalFormatting sqref="G284">
    <cfRule type="iconSet" priority="60">
      <iconSet iconSet="3Arrows">
        <cfvo type="percent" val="0"/>
        <cfvo type="num" val="0"/>
        <cfvo type="num" val="0" gte="0"/>
      </iconSet>
    </cfRule>
  </conditionalFormatting>
  <conditionalFormatting sqref="G285">
    <cfRule type="iconSet" priority="59">
      <iconSet iconSet="3Arrows">
        <cfvo type="percent" val="0"/>
        <cfvo type="num" val="0"/>
        <cfvo type="num" val="0" gte="0"/>
      </iconSet>
    </cfRule>
  </conditionalFormatting>
  <conditionalFormatting sqref="G286">
    <cfRule type="iconSet" priority="58">
      <iconSet iconSet="3Arrows">
        <cfvo type="percent" val="0"/>
        <cfvo type="num" val="0"/>
        <cfvo type="num" val="0" gte="0"/>
      </iconSet>
    </cfRule>
  </conditionalFormatting>
  <conditionalFormatting sqref="G287">
    <cfRule type="iconSet" priority="57">
      <iconSet iconSet="3Arrows">
        <cfvo type="percent" val="0"/>
        <cfvo type="num" val="0"/>
        <cfvo type="num" val="0" gte="0"/>
      </iconSet>
    </cfRule>
  </conditionalFormatting>
  <conditionalFormatting sqref="G288">
    <cfRule type="iconSet" priority="56">
      <iconSet iconSet="3Arrows">
        <cfvo type="percent" val="0"/>
        <cfvo type="num" val="0"/>
        <cfvo type="num" val="0" gte="0"/>
      </iconSet>
    </cfRule>
  </conditionalFormatting>
  <conditionalFormatting sqref="G289">
    <cfRule type="iconSet" priority="55">
      <iconSet iconSet="3Arrows">
        <cfvo type="percent" val="0"/>
        <cfvo type="num" val="0"/>
        <cfvo type="num" val="0" gte="0"/>
      </iconSet>
    </cfRule>
  </conditionalFormatting>
  <conditionalFormatting sqref="G290">
    <cfRule type="iconSet" priority="54">
      <iconSet iconSet="3Arrows">
        <cfvo type="percent" val="0"/>
        <cfvo type="num" val="0"/>
        <cfvo type="num" val="0" gte="0"/>
      </iconSet>
    </cfRule>
  </conditionalFormatting>
  <conditionalFormatting sqref="G291">
    <cfRule type="iconSet" priority="53">
      <iconSet iconSet="3Arrows">
        <cfvo type="percent" val="0"/>
        <cfvo type="num" val="0"/>
        <cfvo type="num" val="0" gte="0"/>
      </iconSet>
    </cfRule>
  </conditionalFormatting>
  <conditionalFormatting sqref="G292">
    <cfRule type="iconSet" priority="52">
      <iconSet iconSet="3Arrows">
        <cfvo type="percent" val="0"/>
        <cfvo type="num" val="0"/>
        <cfvo type="num" val="0" gte="0"/>
      </iconSet>
    </cfRule>
  </conditionalFormatting>
  <conditionalFormatting sqref="G293">
    <cfRule type="iconSet" priority="51">
      <iconSet iconSet="3Arrows">
        <cfvo type="percent" val="0"/>
        <cfvo type="num" val="0"/>
        <cfvo type="num" val="0" gte="0"/>
      </iconSet>
    </cfRule>
  </conditionalFormatting>
  <conditionalFormatting sqref="G294">
    <cfRule type="iconSet" priority="50">
      <iconSet iconSet="3Arrows">
        <cfvo type="percent" val="0"/>
        <cfvo type="num" val="0"/>
        <cfvo type="num" val="0" gte="0"/>
      </iconSet>
    </cfRule>
  </conditionalFormatting>
  <conditionalFormatting sqref="G295">
    <cfRule type="iconSet" priority="49">
      <iconSet iconSet="3Arrows">
        <cfvo type="percent" val="0"/>
        <cfvo type="num" val="0"/>
        <cfvo type="num" val="0" gte="0"/>
      </iconSet>
    </cfRule>
  </conditionalFormatting>
  <conditionalFormatting sqref="G296">
    <cfRule type="iconSet" priority="48">
      <iconSet iconSet="3Arrows">
        <cfvo type="percent" val="0"/>
        <cfvo type="num" val="0"/>
        <cfvo type="num" val="0" gte="0"/>
      </iconSet>
    </cfRule>
  </conditionalFormatting>
  <conditionalFormatting sqref="G297">
    <cfRule type="iconSet" priority="47">
      <iconSet iconSet="3Arrows">
        <cfvo type="percent" val="0"/>
        <cfvo type="num" val="0"/>
        <cfvo type="num" val="0" gte="0"/>
      </iconSet>
    </cfRule>
  </conditionalFormatting>
  <conditionalFormatting sqref="G298">
    <cfRule type="iconSet" priority="46">
      <iconSet iconSet="3Arrows">
        <cfvo type="percent" val="0"/>
        <cfvo type="num" val="0"/>
        <cfvo type="num" val="0" gte="0"/>
      </iconSet>
    </cfRule>
  </conditionalFormatting>
  <conditionalFormatting sqref="G299">
    <cfRule type="iconSet" priority="45">
      <iconSet iconSet="3Arrows">
        <cfvo type="percent" val="0"/>
        <cfvo type="num" val="0"/>
        <cfvo type="num" val="0" gte="0"/>
      </iconSet>
    </cfRule>
  </conditionalFormatting>
  <conditionalFormatting sqref="G300">
    <cfRule type="iconSet" priority="44">
      <iconSet iconSet="3Arrows">
        <cfvo type="percent" val="0"/>
        <cfvo type="num" val="0"/>
        <cfvo type="num" val="0" gte="0"/>
      </iconSet>
    </cfRule>
  </conditionalFormatting>
  <conditionalFormatting sqref="G301">
    <cfRule type="iconSet" priority="43">
      <iconSet iconSet="3Arrows">
        <cfvo type="percent" val="0"/>
        <cfvo type="num" val="0"/>
        <cfvo type="num" val="0" gte="0"/>
      </iconSet>
    </cfRule>
  </conditionalFormatting>
  <conditionalFormatting sqref="G302">
    <cfRule type="iconSet" priority="42">
      <iconSet iconSet="3Arrows">
        <cfvo type="percent" val="0"/>
        <cfvo type="num" val="0"/>
        <cfvo type="num" val="0" gte="0"/>
      </iconSet>
    </cfRule>
  </conditionalFormatting>
  <conditionalFormatting sqref="G303">
    <cfRule type="iconSet" priority="41">
      <iconSet iconSet="3Arrows">
        <cfvo type="percent" val="0"/>
        <cfvo type="num" val="0"/>
        <cfvo type="num" val="0" gte="0"/>
      </iconSet>
    </cfRule>
  </conditionalFormatting>
  <conditionalFormatting sqref="G304">
    <cfRule type="iconSet" priority="40">
      <iconSet iconSet="3Arrows">
        <cfvo type="percent" val="0"/>
        <cfvo type="num" val="0"/>
        <cfvo type="num" val="0" gte="0"/>
      </iconSet>
    </cfRule>
  </conditionalFormatting>
  <conditionalFormatting sqref="G305">
    <cfRule type="iconSet" priority="39">
      <iconSet iconSet="3Arrows">
        <cfvo type="percent" val="0"/>
        <cfvo type="num" val="0"/>
        <cfvo type="num" val="0" gte="0"/>
      </iconSet>
    </cfRule>
  </conditionalFormatting>
  <conditionalFormatting sqref="G306">
    <cfRule type="iconSet" priority="38">
      <iconSet iconSet="3Arrows">
        <cfvo type="percent" val="0"/>
        <cfvo type="num" val="0"/>
        <cfvo type="num" val="0" gte="0"/>
      </iconSet>
    </cfRule>
  </conditionalFormatting>
  <conditionalFormatting sqref="G307">
    <cfRule type="iconSet" priority="37">
      <iconSet iconSet="3Arrows">
        <cfvo type="percent" val="0"/>
        <cfvo type="num" val="0"/>
        <cfvo type="num" val="0" gte="0"/>
      </iconSet>
    </cfRule>
  </conditionalFormatting>
  <conditionalFormatting sqref="G308">
    <cfRule type="iconSet" priority="36">
      <iconSet iconSet="3Arrows">
        <cfvo type="percent" val="0"/>
        <cfvo type="num" val="0"/>
        <cfvo type="num" val="0" gte="0"/>
      </iconSet>
    </cfRule>
  </conditionalFormatting>
  <conditionalFormatting sqref="G309">
    <cfRule type="iconSet" priority="35">
      <iconSet iconSet="3Arrows">
        <cfvo type="percent" val="0"/>
        <cfvo type="num" val="0"/>
        <cfvo type="num" val="0" gte="0"/>
      </iconSet>
    </cfRule>
  </conditionalFormatting>
  <conditionalFormatting sqref="G310">
    <cfRule type="iconSet" priority="34">
      <iconSet iconSet="3Arrows">
        <cfvo type="percent" val="0"/>
        <cfvo type="num" val="0"/>
        <cfvo type="num" val="0" gte="0"/>
      </iconSet>
    </cfRule>
  </conditionalFormatting>
  <conditionalFormatting sqref="G311">
    <cfRule type="iconSet" priority="33">
      <iconSet iconSet="3Arrows">
        <cfvo type="percent" val="0"/>
        <cfvo type="num" val="0"/>
        <cfvo type="num" val="0" gte="0"/>
      </iconSet>
    </cfRule>
  </conditionalFormatting>
  <conditionalFormatting sqref="G312">
    <cfRule type="iconSet" priority="32">
      <iconSet iconSet="3Arrows">
        <cfvo type="percent" val="0"/>
        <cfvo type="num" val="0"/>
        <cfvo type="num" val="0" gte="0"/>
      </iconSet>
    </cfRule>
  </conditionalFormatting>
  <conditionalFormatting sqref="G313">
    <cfRule type="iconSet" priority="31">
      <iconSet iconSet="3Arrows">
        <cfvo type="percent" val="0"/>
        <cfvo type="num" val="0"/>
        <cfvo type="num" val="0" gte="0"/>
      </iconSet>
    </cfRule>
  </conditionalFormatting>
  <conditionalFormatting sqref="G314">
    <cfRule type="iconSet" priority="30">
      <iconSet iconSet="3Arrows">
        <cfvo type="percent" val="0"/>
        <cfvo type="num" val="0"/>
        <cfvo type="num" val="0" gte="0"/>
      </iconSet>
    </cfRule>
  </conditionalFormatting>
  <conditionalFormatting sqref="G315">
    <cfRule type="iconSet" priority="29">
      <iconSet iconSet="3Arrows">
        <cfvo type="percent" val="0"/>
        <cfvo type="num" val="0"/>
        <cfvo type="num" val="0" gte="0"/>
      </iconSet>
    </cfRule>
  </conditionalFormatting>
  <conditionalFormatting sqref="G316">
    <cfRule type="iconSet" priority="28">
      <iconSet iconSet="3Arrows">
        <cfvo type="percent" val="0"/>
        <cfvo type="num" val="0"/>
        <cfvo type="num" val="0" gte="0"/>
      </iconSet>
    </cfRule>
  </conditionalFormatting>
  <conditionalFormatting sqref="G317">
    <cfRule type="iconSet" priority="27">
      <iconSet iconSet="3Arrows">
        <cfvo type="percent" val="0"/>
        <cfvo type="num" val="0"/>
        <cfvo type="num" val="0" gte="0"/>
      </iconSet>
    </cfRule>
  </conditionalFormatting>
  <conditionalFormatting sqref="G318">
    <cfRule type="iconSet" priority="26">
      <iconSet iconSet="3Arrows">
        <cfvo type="percent" val="0"/>
        <cfvo type="num" val="0"/>
        <cfvo type="num" val="0" gte="0"/>
      </iconSet>
    </cfRule>
  </conditionalFormatting>
  <conditionalFormatting sqref="G319">
    <cfRule type="iconSet" priority="25">
      <iconSet iconSet="3Arrows">
        <cfvo type="percent" val="0"/>
        <cfvo type="num" val="0"/>
        <cfvo type="num" val="0" gte="0"/>
      </iconSet>
    </cfRule>
  </conditionalFormatting>
  <conditionalFormatting sqref="G320">
    <cfRule type="iconSet" priority="24">
      <iconSet iconSet="3Arrows">
        <cfvo type="percent" val="0"/>
        <cfvo type="num" val="0"/>
        <cfvo type="num" val="0" gte="0"/>
      </iconSet>
    </cfRule>
  </conditionalFormatting>
  <conditionalFormatting sqref="G321">
    <cfRule type="iconSet" priority="23">
      <iconSet iconSet="3Arrows">
        <cfvo type="percent" val="0"/>
        <cfvo type="num" val="0"/>
        <cfvo type="num" val="0" gte="0"/>
      </iconSet>
    </cfRule>
  </conditionalFormatting>
  <conditionalFormatting sqref="G322">
    <cfRule type="iconSet" priority="22">
      <iconSet iconSet="3Arrows">
        <cfvo type="percent" val="0"/>
        <cfvo type="num" val="0"/>
        <cfvo type="num" val="0" gte="0"/>
      </iconSet>
    </cfRule>
  </conditionalFormatting>
  <conditionalFormatting sqref="G323">
    <cfRule type="iconSet" priority="21">
      <iconSet iconSet="3Arrows">
        <cfvo type="percent" val="0"/>
        <cfvo type="num" val="0"/>
        <cfvo type="num" val="0" gte="0"/>
      </iconSet>
    </cfRule>
  </conditionalFormatting>
  <conditionalFormatting sqref="G324">
    <cfRule type="iconSet" priority="20">
      <iconSet iconSet="3Arrows">
        <cfvo type="percent" val="0"/>
        <cfvo type="num" val="0"/>
        <cfvo type="num" val="0" gte="0"/>
      </iconSet>
    </cfRule>
  </conditionalFormatting>
  <conditionalFormatting sqref="G325">
    <cfRule type="iconSet" priority="19">
      <iconSet iconSet="3Arrows">
        <cfvo type="percent" val="0"/>
        <cfvo type="num" val="0"/>
        <cfvo type="num" val="0" gte="0"/>
      </iconSet>
    </cfRule>
  </conditionalFormatting>
  <conditionalFormatting sqref="G326">
    <cfRule type="iconSet" priority="18">
      <iconSet iconSet="3Arrows">
        <cfvo type="percent" val="0"/>
        <cfvo type="num" val="0"/>
        <cfvo type="num" val="0" gte="0"/>
      </iconSet>
    </cfRule>
  </conditionalFormatting>
  <conditionalFormatting sqref="G327">
    <cfRule type="iconSet" priority="17">
      <iconSet iconSet="3Arrows">
        <cfvo type="percent" val="0"/>
        <cfvo type="num" val="0"/>
        <cfvo type="num" val="0" gte="0"/>
      </iconSet>
    </cfRule>
  </conditionalFormatting>
  <conditionalFormatting sqref="G328">
    <cfRule type="iconSet" priority="16">
      <iconSet iconSet="3Arrows">
        <cfvo type="percent" val="0"/>
        <cfvo type="num" val="0"/>
        <cfvo type="num" val="0" gte="0"/>
      </iconSet>
    </cfRule>
  </conditionalFormatting>
  <conditionalFormatting sqref="G329">
    <cfRule type="iconSet" priority="15">
      <iconSet iconSet="3Arrows">
        <cfvo type="percent" val="0"/>
        <cfvo type="num" val="0"/>
        <cfvo type="num" val="0" gte="0"/>
      </iconSet>
    </cfRule>
  </conditionalFormatting>
  <conditionalFormatting sqref="G330">
    <cfRule type="iconSet" priority="14">
      <iconSet iconSet="3Arrows">
        <cfvo type="percent" val="0"/>
        <cfvo type="num" val="0"/>
        <cfvo type="num" val="0" gte="0"/>
      </iconSet>
    </cfRule>
  </conditionalFormatting>
  <conditionalFormatting sqref="G331">
    <cfRule type="iconSet" priority="13">
      <iconSet iconSet="3Arrows">
        <cfvo type="percent" val="0"/>
        <cfvo type="num" val="0"/>
        <cfvo type="num" val="0" gte="0"/>
      </iconSet>
    </cfRule>
  </conditionalFormatting>
  <conditionalFormatting sqref="G332">
    <cfRule type="iconSet" priority="12">
      <iconSet iconSet="3Arrows">
        <cfvo type="percent" val="0"/>
        <cfvo type="num" val="0"/>
        <cfvo type="num" val="0" gte="0"/>
      </iconSet>
    </cfRule>
  </conditionalFormatting>
  <conditionalFormatting sqref="G333">
    <cfRule type="iconSet" priority="11">
      <iconSet iconSet="3Arrows">
        <cfvo type="percent" val="0"/>
        <cfvo type="num" val="0"/>
        <cfvo type="num" val="0" gte="0"/>
      </iconSet>
    </cfRule>
  </conditionalFormatting>
  <conditionalFormatting sqref="G334">
    <cfRule type="iconSet" priority="10">
      <iconSet iconSet="3Arrows">
        <cfvo type="percent" val="0"/>
        <cfvo type="num" val="0"/>
        <cfvo type="num" val="0" gte="0"/>
      </iconSet>
    </cfRule>
  </conditionalFormatting>
  <conditionalFormatting sqref="G335">
    <cfRule type="iconSet" priority="9">
      <iconSet iconSet="3Arrows">
        <cfvo type="percent" val="0"/>
        <cfvo type="num" val="0"/>
        <cfvo type="num" val="0" gte="0"/>
      </iconSet>
    </cfRule>
  </conditionalFormatting>
  <conditionalFormatting sqref="G336">
    <cfRule type="iconSet" priority="8">
      <iconSet iconSet="3Arrows">
        <cfvo type="percent" val="0"/>
        <cfvo type="num" val="0"/>
        <cfvo type="num" val="0" gte="0"/>
      </iconSet>
    </cfRule>
  </conditionalFormatting>
  <conditionalFormatting sqref="G337">
    <cfRule type="iconSet" priority="7">
      <iconSet iconSet="3Arrows">
        <cfvo type="percent" val="0"/>
        <cfvo type="num" val="0"/>
        <cfvo type="num" val="0" gte="0"/>
      </iconSet>
    </cfRule>
  </conditionalFormatting>
  <conditionalFormatting sqref="G338">
    <cfRule type="iconSet" priority="6">
      <iconSet iconSet="3Arrows">
        <cfvo type="percent" val="0"/>
        <cfvo type="num" val="0"/>
        <cfvo type="num" val="0" gte="0"/>
      </iconSet>
    </cfRule>
  </conditionalFormatting>
  <conditionalFormatting sqref="G339">
    <cfRule type="iconSet" priority="5">
      <iconSet iconSet="3Arrows">
        <cfvo type="percent" val="0"/>
        <cfvo type="num" val="0"/>
        <cfvo type="num" val="0" gte="0"/>
      </iconSet>
    </cfRule>
  </conditionalFormatting>
  <conditionalFormatting sqref="G340">
    <cfRule type="iconSet" priority="4">
      <iconSet iconSet="3Arrows">
        <cfvo type="percent" val="0"/>
        <cfvo type="num" val="0"/>
        <cfvo type="num" val="0" gte="0"/>
      </iconSet>
    </cfRule>
  </conditionalFormatting>
  <conditionalFormatting sqref="G341">
    <cfRule type="iconSet" priority="3">
      <iconSet iconSet="3Arrows">
        <cfvo type="percent" val="0"/>
        <cfvo type="num" val="0"/>
        <cfvo type="num" val="0" gte="0"/>
      </iconSet>
    </cfRule>
  </conditionalFormatting>
  <conditionalFormatting sqref="G342">
    <cfRule type="iconSet" priority="2">
      <iconSet iconSet="3Arrows">
        <cfvo type="percent" val="0"/>
        <cfvo type="num" val="0"/>
        <cfvo type="num" val="0" gte="0"/>
      </iconSet>
    </cfRule>
  </conditionalFormatting>
  <conditionalFormatting sqref="G343">
    <cfRule type="iconSet" priority="1">
      <iconSet iconSet="3Arrows">
        <cfvo type="percent" val="0"/>
        <cfvo type="num" val="0"/>
        <cfvo type="num" val="0" gte="0"/>
      </iconSet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E5F64D-73BA-476C-83B4-FE234FB0A4B6}">
  <sheetPr codeName="Sheet11"/>
  <dimension ref="A1"/>
  <sheetViews>
    <sheetView workbookViewId="0"/>
  </sheetViews>
  <sheetFormatPr defaultRowHeight="17.399999999999999" x14ac:dyDescent="0.4"/>
  <sheetData/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1000"/>
  <sheetViews>
    <sheetView workbookViewId="0">
      <selection activeCell="H9" sqref="H9"/>
    </sheetView>
  </sheetViews>
  <sheetFormatPr defaultRowHeight="17.399999999999999" x14ac:dyDescent="0.4"/>
  <cols>
    <col min="1" max="1" width="10.8984375" bestFit="1" customWidth="1"/>
  </cols>
  <sheetData>
    <row r="1" spans="1:8" x14ac:dyDescent="0.4">
      <c r="A1" t="s">
        <v>0</v>
      </c>
      <c r="B1" t="s">
        <v>1</v>
      </c>
      <c r="C1" t="s">
        <v>3</v>
      </c>
      <c r="D1" t="s">
        <v>2</v>
      </c>
      <c r="E1" t="s">
        <v>4</v>
      </c>
    </row>
    <row r="2" spans="1:8" x14ac:dyDescent="0.4">
      <c r="A2" s="1">
        <v>42370</v>
      </c>
      <c r="B2">
        <v>10</v>
      </c>
      <c r="C2">
        <v>17</v>
      </c>
      <c r="D2">
        <v>4</v>
      </c>
      <c r="E2">
        <v>9</v>
      </c>
    </row>
    <row r="3" spans="1:8" x14ac:dyDescent="0.4">
      <c r="A3" s="1">
        <v>42371</v>
      </c>
      <c r="B3">
        <v>11</v>
      </c>
      <c r="C3">
        <v>7</v>
      </c>
      <c r="D3">
        <v>12</v>
      </c>
      <c r="E3">
        <v>7</v>
      </c>
    </row>
    <row r="4" spans="1:8" x14ac:dyDescent="0.4">
      <c r="A4" s="1">
        <v>42372</v>
      </c>
      <c r="B4">
        <v>5</v>
      </c>
      <c r="C4">
        <v>19</v>
      </c>
      <c r="D4">
        <v>11</v>
      </c>
      <c r="E4">
        <v>10</v>
      </c>
    </row>
    <row r="5" spans="1:8" x14ac:dyDescent="0.4">
      <c r="A5" s="1">
        <v>42373</v>
      </c>
      <c r="B5">
        <v>6</v>
      </c>
      <c r="C5">
        <v>10</v>
      </c>
      <c r="D5">
        <v>1</v>
      </c>
      <c r="E5">
        <v>7</v>
      </c>
    </row>
    <row r="6" spans="1:8" x14ac:dyDescent="0.4">
      <c r="A6" s="1">
        <v>42374</v>
      </c>
      <c r="B6">
        <v>15</v>
      </c>
      <c r="C6">
        <v>19</v>
      </c>
      <c r="D6">
        <v>9</v>
      </c>
      <c r="E6">
        <v>12</v>
      </c>
    </row>
    <row r="7" spans="1:8" x14ac:dyDescent="0.4">
      <c r="A7" s="1">
        <v>42375</v>
      </c>
      <c r="B7">
        <v>0</v>
      </c>
      <c r="C7">
        <v>8</v>
      </c>
      <c r="D7">
        <v>15</v>
      </c>
      <c r="E7">
        <v>11</v>
      </c>
    </row>
    <row r="8" spans="1:8" x14ac:dyDescent="0.4">
      <c r="A8" s="1">
        <v>42376</v>
      </c>
      <c r="B8">
        <v>15</v>
      </c>
      <c r="C8">
        <v>15</v>
      </c>
      <c r="D8">
        <v>11</v>
      </c>
      <c r="E8">
        <v>2</v>
      </c>
    </row>
    <row r="9" spans="1:8" x14ac:dyDescent="0.4">
      <c r="A9" s="1">
        <v>42377</v>
      </c>
      <c r="B9">
        <v>16</v>
      </c>
      <c r="C9">
        <v>6</v>
      </c>
      <c r="D9">
        <v>17</v>
      </c>
      <c r="E9">
        <v>5</v>
      </c>
      <c r="H9" s="5"/>
    </row>
    <row r="10" spans="1:8" x14ac:dyDescent="0.4">
      <c r="A10" s="1">
        <v>42378</v>
      </c>
      <c r="B10">
        <v>14</v>
      </c>
      <c r="C10">
        <v>1</v>
      </c>
      <c r="D10">
        <v>16</v>
      </c>
      <c r="E10">
        <v>7</v>
      </c>
    </row>
    <row r="11" spans="1:8" x14ac:dyDescent="0.4">
      <c r="A11" s="1">
        <v>42379</v>
      </c>
      <c r="B11">
        <v>0</v>
      </c>
      <c r="C11">
        <v>17</v>
      </c>
      <c r="D11">
        <v>13</v>
      </c>
      <c r="E11">
        <v>12</v>
      </c>
    </row>
    <row r="12" spans="1:8" x14ac:dyDescent="0.4">
      <c r="A12" s="1">
        <v>42380</v>
      </c>
      <c r="B12">
        <v>8</v>
      </c>
      <c r="C12">
        <v>11</v>
      </c>
      <c r="D12">
        <v>11</v>
      </c>
      <c r="E12">
        <v>10</v>
      </c>
    </row>
    <row r="13" spans="1:8" x14ac:dyDescent="0.4">
      <c r="A13" s="1">
        <v>42381</v>
      </c>
      <c r="B13">
        <v>17</v>
      </c>
      <c r="C13">
        <v>17</v>
      </c>
      <c r="D13">
        <v>1</v>
      </c>
      <c r="E13">
        <v>11</v>
      </c>
    </row>
    <row r="14" spans="1:8" x14ac:dyDescent="0.4">
      <c r="A14" s="1">
        <v>42382</v>
      </c>
      <c r="B14">
        <v>15</v>
      </c>
      <c r="C14">
        <v>16</v>
      </c>
      <c r="D14">
        <v>2</v>
      </c>
      <c r="E14">
        <v>18</v>
      </c>
    </row>
    <row r="15" spans="1:8" x14ac:dyDescent="0.4">
      <c r="A15" s="1">
        <v>42383</v>
      </c>
      <c r="B15">
        <v>7</v>
      </c>
      <c r="C15">
        <v>15</v>
      </c>
      <c r="D15">
        <v>12</v>
      </c>
      <c r="E15">
        <v>15</v>
      </c>
    </row>
    <row r="16" spans="1:8" x14ac:dyDescent="0.4">
      <c r="A16" s="1">
        <v>42384</v>
      </c>
      <c r="B16">
        <v>19</v>
      </c>
      <c r="C16">
        <v>18</v>
      </c>
      <c r="D16">
        <v>10</v>
      </c>
      <c r="E16">
        <v>15</v>
      </c>
    </row>
    <row r="17" spans="1:5" x14ac:dyDescent="0.4">
      <c r="A17" s="1">
        <v>42385</v>
      </c>
      <c r="B17">
        <v>17</v>
      </c>
      <c r="C17">
        <v>1</v>
      </c>
      <c r="D17">
        <v>4</v>
      </c>
      <c r="E17">
        <v>0</v>
      </c>
    </row>
    <row r="18" spans="1:5" x14ac:dyDescent="0.4">
      <c r="A18" s="1">
        <v>42386</v>
      </c>
      <c r="B18">
        <v>1</v>
      </c>
      <c r="C18">
        <v>16</v>
      </c>
      <c r="D18">
        <v>14</v>
      </c>
      <c r="E18">
        <v>7</v>
      </c>
    </row>
    <row r="19" spans="1:5" x14ac:dyDescent="0.4">
      <c r="A19" s="1">
        <v>42387</v>
      </c>
      <c r="B19">
        <v>18</v>
      </c>
      <c r="C19">
        <v>4</v>
      </c>
      <c r="D19">
        <v>13</v>
      </c>
      <c r="E19">
        <v>19</v>
      </c>
    </row>
    <row r="20" spans="1:5" x14ac:dyDescent="0.4">
      <c r="A20" s="1">
        <v>42388</v>
      </c>
      <c r="B20">
        <v>7</v>
      </c>
      <c r="C20">
        <v>5</v>
      </c>
      <c r="D20">
        <v>19</v>
      </c>
      <c r="E20">
        <v>17</v>
      </c>
    </row>
    <row r="21" spans="1:5" x14ac:dyDescent="0.4">
      <c r="A21" s="1">
        <v>42389</v>
      </c>
      <c r="B21">
        <v>10</v>
      </c>
      <c r="C21">
        <v>1</v>
      </c>
      <c r="D21">
        <v>7</v>
      </c>
      <c r="E21">
        <v>16</v>
      </c>
    </row>
    <row r="22" spans="1:5" x14ac:dyDescent="0.4">
      <c r="A22" s="1">
        <v>42390</v>
      </c>
      <c r="B22">
        <v>15</v>
      </c>
      <c r="C22">
        <v>18</v>
      </c>
      <c r="D22">
        <v>0</v>
      </c>
      <c r="E22">
        <v>14</v>
      </c>
    </row>
    <row r="23" spans="1:5" x14ac:dyDescent="0.4">
      <c r="A23" s="1">
        <v>42391</v>
      </c>
      <c r="B23">
        <v>1</v>
      </c>
      <c r="C23">
        <v>19</v>
      </c>
      <c r="D23">
        <v>16</v>
      </c>
      <c r="E23">
        <v>4</v>
      </c>
    </row>
    <row r="24" spans="1:5" x14ac:dyDescent="0.4">
      <c r="A24" s="1">
        <v>42392</v>
      </c>
      <c r="B24">
        <v>11</v>
      </c>
      <c r="C24">
        <v>5</v>
      </c>
      <c r="D24">
        <v>15</v>
      </c>
      <c r="E24">
        <v>12</v>
      </c>
    </row>
    <row r="25" spans="1:5" x14ac:dyDescent="0.4">
      <c r="A25" s="1">
        <v>42393</v>
      </c>
      <c r="B25">
        <v>9</v>
      </c>
      <c r="C25">
        <v>10</v>
      </c>
      <c r="D25">
        <v>10</v>
      </c>
      <c r="E25">
        <v>10</v>
      </c>
    </row>
    <row r="26" spans="1:5" x14ac:dyDescent="0.4">
      <c r="A26" s="1">
        <v>42394</v>
      </c>
      <c r="B26">
        <v>5</v>
      </c>
      <c r="C26">
        <v>6</v>
      </c>
      <c r="D26">
        <v>5</v>
      </c>
      <c r="E26">
        <v>5</v>
      </c>
    </row>
    <row r="27" spans="1:5" x14ac:dyDescent="0.4">
      <c r="A27" s="1">
        <v>42395</v>
      </c>
      <c r="B27">
        <v>12</v>
      </c>
      <c r="C27">
        <v>4</v>
      </c>
      <c r="D27">
        <v>5</v>
      </c>
      <c r="E27">
        <v>11</v>
      </c>
    </row>
    <row r="28" spans="1:5" x14ac:dyDescent="0.4">
      <c r="A28" s="1">
        <v>42396</v>
      </c>
      <c r="B28">
        <v>12</v>
      </c>
      <c r="C28">
        <v>4</v>
      </c>
      <c r="D28">
        <v>1</v>
      </c>
      <c r="E28">
        <v>10</v>
      </c>
    </row>
    <row r="29" spans="1:5" x14ac:dyDescent="0.4">
      <c r="A29" s="1">
        <v>42397</v>
      </c>
      <c r="B29">
        <v>5</v>
      </c>
      <c r="C29">
        <v>2</v>
      </c>
      <c r="D29">
        <v>13</v>
      </c>
      <c r="E29">
        <v>17</v>
      </c>
    </row>
    <row r="30" spans="1:5" x14ac:dyDescent="0.4">
      <c r="A30" s="1">
        <v>42398</v>
      </c>
      <c r="B30">
        <v>5</v>
      </c>
      <c r="C30">
        <v>12</v>
      </c>
      <c r="D30">
        <v>16</v>
      </c>
      <c r="E30">
        <v>7</v>
      </c>
    </row>
    <row r="31" spans="1:5" x14ac:dyDescent="0.4">
      <c r="A31" s="1">
        <v>42399</v>
      </c>
      <c r="B31">
        <v>16</v>
      </c>
      <c r="C31">
        <v>11</v>
      </c>
      <c r="D31">
        <v>1</v>
      </c>
      <c r="E31">
        <v>5</v>
      </c>
    </row>
    <row r="32" spans="1:5" x14ac:dyDescent="0.4">
      <c r="A32" s="1">
        <v>42400</v>
      </c>
      <c r="B32">
        <v>16</v>
      </c>
      <c r="C32">
        <v>17</v>
      </c>
      <c r="D32">
        <v>15</v>
      </c>
      <c r="E32">
        <v>19</v>
      </c>
    </row>
    <row r="33" spans="1:5" x14ac:dyDescent="0.4">
      <c r="A33" s="1">
        <v>42401</v>
      </c>
      <c r="B33">
        <v>11</v>
      </c>
      <c r="C33">
        <v>1</v>
      </c>
      <c r="D33">
        <v>19</v>
      </c>
      <c r="E33">
        <v>4</v>
      </c>
    </row>
    <row r="34" spans="1:5" x14ac:dyDescent="0.4">
      <c r="A34" s="1">
        <v>42402</v>
      </c>
      <c r="B34">
        <v>19</v>
      </c>
      <c r="C34">
        <v>4</v>
      </c>
      <c r="D34">
        <v>9</v>
      </c>
      <c r="E34">
        <v>3</v>
      </c>
    </row>
    <row r="35" spans="1:5" x14ac:dyDescent="0.4">
      <c r="A35" s="1">
        <v>42403</v>
      </c>
      <c r="B35">
        <v>18</v>
      </c>
      <c r="C35">
        <v>12</v>
      </c>
      <c r="D35">
        <v>15</v>
      </c>
      <c r="E35">
        <v>14</v>
      </c>
    </row>
    <row r="36" spans="1:5" x14ac:dyDescent="0.4">
      <c r="A36" s="1">
        <v>42404</v>
      </c>
      <c r="B36">
        <v>4</v>
      </c>
      <c r="C36">
        <v>9</v>
      </c>
      <c r="D36">
        <v>13</v>
      </c>
      <c r="E36">
        <v>5</v>
      </c>
    </row>
    <row r="37" spans="1:5" x14ac:dyDescent="0.4">
      <c r="A37" s="1">
        <v>42405</v>
      </c>
      <c r="B37">
        <v>13</v>
      </c>
      <c r="C37">
        <v>5</v>
      </c>
      <c r="D37">
        <v>3</v>
      </c>
      <c r="E37">
        <v>11</v>
      </c>
    </row>
    <row r="38" spans="1:5" x14ac:dyDescent="0.4">
      <c r="A38" s="1">
        <v>42406</v>
      </c>
      <c r="B38">
        <v>19</v>
      </c>
      <c r="C38">
        <v>16</v>
      </c>
      <c r="D38">
        <v>3</v>
      </c>
      <c r="E38">
        <v>16</v>
      </c>
    </row>
    <row r="39" spans="1:5" x14ac:dyDescent="0.4">
      <c r="A39" s="1">
        <v>42407</v>
      </c>
      <c r="B39">
        <v>4</v>
      </c>
      <c r="C39">
        <v>6</v>
      </c>
      <c r="D39">
        <v>16</v>
      </c>
      <c r="E39">
        <v>11</v>
      </c>
    </row>
    <row r="40" spans="1:5" x14ac:dyDescent="0.4">
      <c r="A40" s="1">
        <v>42408</v>
      </c>
      <c r="B40">
        <v>10</v>
      </c>
      <c r="C40">
        <v>19</v>
      </c>
      <c r="D40">
        <v>12</v>
      </c>
      <c r="E40">
        <v>9</v>
      </c>
    </row>
    <row r="41" spans="1:5" x14ac:dyDescent="0.4">
      <c r="A41" s="1">
        <v>42409</v>
      </c>
      <c r="B41">
        <v>2</v>
      </c>
      <c r="C41">
        <v>7</v>
      </c>
      <c r="D41">
        <v>10</v>
      </c>
      <c r="E41">
        <v>18</v>
      </c>
    </row>
    <row r="42" spans="1:5" x14ac:dyDescent="0.4">
      <c r="A42" s="1">
        <v>42410</v>
      </c>
      <c r="B42">
        <v>19</v>
      </c>
      <c r="C42">
        <v>15</v>
      </c>
      <c r="D42">
        <v>15</v>
      </c>
      <c r="E42">
        <v>18</v>
      </c>
    </row>
    <row r="43" spans="1:5" x14ac:dyDescent="0.4">
      <c r="A43" s="1">
        <v>42411</v>
      </c>
      <c r="B43">
        <v>13</v>
      </c>
      <c r="C43">
        <v>16</v>
      </c>
      <c r="D43">
        <v>9</v>
      </c>
      <c r="E43">
        <v>2</v>
      </c>
    </row>
    <row r="44" spans="1:5" x14ac:dyDescent="0.4">
      <c r="A44" s="1">
        <v>42412</v>
      </c>
      <c r="B44">
        <v>0</v>
      </c>
      <c r="C44">
        <v>12</v>
      </c>
      <c r="D44">
        <v>7</v>
      </c>
      <c r="E44">
        <v>9</v>
      </c>
    </row>
    <row r="45" spans="1:5" x14ac:dyDescent="0.4">
      <c r="A45" s="1">
        <v>42413</v>
      </c>
      <c r="B45">
        <v>11</v>
      </c>
      <c r="C45">
        <v>7</v>
      </c>
      <c r="D45">
        <v>6</v>
      </c>
      <c r="E45">
        <v>9</v>
      </c>
    </row>
    <row r="46" spans="1:5" x14ac:dyDescent="0.4">
      <c r="A46" s="1">
        <v>42414</v>
      </c>
      <c r="B46">
        <v>2</v>
      </c>
      <c r="C46">
        <v>11</v>
      </c>
      <c r="D46">
        <v>6</v>
      </c>
      <c r="E46">
        <v>2</v>
      </c>
    </row>
    <row r="47" spans="1:5" x14ac:dyDescent="0.4">
      <c r="A47" s="1">
        <v>42415</v>
      </c>
      <c r="B47">
        <v>2</v>
      </c>
      <c r="C47">
        <v>13</v>
      </c>
      <c r="D47">
        <v>15</v>
      </c>
      <c r="E47">
        <v>11</v>
      </c>
    </row>
    <row r="48" spans="1:5" x14ac:dyDescent="0.4">
      <c r="A48" s="1">
        <v>42416</v>
      </c>
      <c r="B48">
        <v>15</v>
      </c>
      <c r="C48">
        <v>11</v>
      </c>
      <c r="D48">
        <v>15</v>
      </c>
      <c r="E48">
        <v>6</v>
      </c>
    </row>
    <row r="49" spans="1:5" x14ac:dyDescent="0.4">
      <c r="A49" s="1">
        <v>42417</v>
      </c>
      <c r="B49">
        <v>5</v>
      </c>
      <c r="C49">
        <v>1</v>
      </c>
      <c r="D49">
        <v>12</v>
      </c>
      <c r="E49">
        <v>8</v>
      </c>
    </row>
    <row r="50" spans="1:5" x14ac:dyDescent="0.4">
      <c r="A50" s="1">
        <v>42418</v>
      </c>
      <c r="B50">
        <v>0</v>
      </c>
      <c r="C50">
        <v>16</v>
      </c>
      <c r="D50">
        <v>8</v>
      </c>
      <c r="E50">
        <v>17</v>
      </c>
    </row>
    <row r="51" spans="1:5" x14ac:dyDescent="0.4">
      <c r="A51" s="1">
        <v>42419</v>
      </c>
      <c r="B51">
        <v>5</v>
      </c>
      <c r="C51">
        <v>1</v>
      </c>
      <c r="D51">
        <v>1</v>
      </c>
      <c r="E51">
        <v>8</v>
      </c>
    </row>
    <row r="52" spans="1:5" x14ac:dyDescent="0.4">
      <c r="A52" s="1">
        <v>42420</v>
      </c>
      <c r="B52">
        <v>7</v>
      </c>
      <c r="C52">
        <v>3</v>
      </c>
      <c r="D52">
        <v>7</v>
      </c>
      <c r="E52">
        <v>9</v>
      </c>
    </row>
    <row r="53" spans="1:5" x14ac:dyDescent="0.4">
      <c r="A53" s="1">
        <v>42421</v>
      </c>
      <c r="B53">
        <v>6</v>
      </c>
      <c r="C53">
        <v>6</v>
      </c>
      <c r="D53">
        <v>4</v>
      </c>
      <c r="E53">
        <v>1</v>
      </c>
    </row>
    <row r="54" spans="1:5" x14ac:dyDescent="0.4">
      <c r="A54" s="1">
        <v>42422</v>
      </c>
      <c r="B54">
        <v>18</v>
      </c>
      <c r="C54">
        <v>8</v>
      </c>
      <c r="D54">
        <v>13</v>
      </c>
      <c r="E54">
        <v>17</v>
      </c>
    </row>
    <row r="55" spans="1:5" x14ac:dyDescent="0.4">
      <c r="A55" s="1">
        <v>42423</v>
      </c>
      <c r="B55">
        <v>19</v>
      </c>
      <c r="C55">
        <v>8</v>
      </c>
      <c r="D55">
        <v>8</v>
      </c>
      <c r="E55">
        <v>18</v>
      </c>
    </row>
    <row r="56" spans="1:5" x14ac:dyDescent="0.4">
      <c r="A56" s="1">
        <v>42424</v>
      </c>
      <c r="B56">
        <v>8</v>
      </c>
      <c r="C56">
        <v>17</v>
      </c>
      <c r="D56">
        <v>4</v>
      </c>
      <c r="E56">
        <v>19</v>
      </c>
    </row>
    <row r="57" spans="1:5" x14ac:dyDescent="0.4">
      <c r="A57" s="1">
        <v>42425</v>
      </c>
      <c r="B57">
        <v>5</v>
      </c>
      <c r="C57">
        <v>1</v>
      </c>
      <c r="D57">
        <v>12</v>
      </c>
      <c r="E57">
        <v>16</v>
      </c>
    </row>
    <row r="58" spans="1:5" x14ac:dyDescent="0.4">
      <c r="A58" s="1">
        <v>42426</v>
      </c>
      <c r="B58">
        <v>3</v>
      </c>
      <c r="C58">
        <v>17</v>
      </c>
      <c r="D58">
        <v>18</v>
      </c>
      <c r="E58">
        <v>1</v>
      </c>
    </row>
    <row r="59" spans="1:5" x14ac:dyDescent="0.4">
      <c r="A59" s="1">
        <v>42427</v>
      </c>
      <c r="B59">
        <v>3</v>
      </c>
      <c r="C59">
        <v>4</v>
      </c>
      <c r="D59">
        <v>9</v>
      </c>
      <c r="E59">
        <v>19</v>
      </c>
    </row>
    <row r="60" spans="1:5" x14ac:dyDescent="0.4">
      <c r="A60" s="1">
        <v>42428</v>
      </c>
      <c r="B60">
        <v>12</v>
      </c>
      <c r="C60">
        <v>1</v>
      </c>
      <c r="D60">
        <v>15</v>
      </c>
      <c r="E60">
        <v>19</v>
      </c>
    </row>
    <row r="61" spans="1:5" x14ac:dyDescent="0.4">
      <c r="A61" s="1">
        <v>42429</v>
      </c>
      <c r="B61">
        <v>8</v>
      </c>
      <c r="C61">
        <v>15</v>
      </c>
      <c r="D61">
        <v>19</v>
      </c>
      <c r="E61">
        <v>15</v>
      </c>
    </row>
    <row r="62" spans="1:5" x14ac:dyDescent="0.4">
      <c r="A62" s="1">
        <v>42430</v>
      </c>
      <c r="B62">
        <v>8</v>
      </c>
      <c r="C62">
        <v>0</v>
      </c>
      <c r="D62">
        <v>2</v>
      </c>
      <c r="E62">
        <v>14</v>
      </c>
    </row>
    <row r="63" spans="1:5" x14ac:dyDescent="0.4">
      <c r="A63" s="1">
        <v>42431</v>
      </c>
      <c r="B63">
        <v>14</v>
      </c>
      <c r="C63">
        <v>2</v>
      </c>
      <c r="D63">
        <v>9</v>
      </c>
      <c r="E63">
        <v>1</v>
      </c>
    </row>
    <row r="64" spans="1:5" x14ac:dyDescent="0.4">
      <c r="A64" s="1">
        <v>42432</v>
      </c>
      <c r="B64">
        <v>6</v>
      </c>
      <c r="C64">
        <v>13</v>
      </c>
      <c r="D64">
        <v>4</v>
      </c>
      <c r="E64">
        <v>11</v>
      </c>
    </row>
    <row r="65" spans="1:5" x14ac:dyDescent="0.4">
      <c r="A65" s="1">
        <v>42433</v>
      </c>
      <c r="B65">
        <v>12</v>
      </c>
      <c r="C65">
        <v>5</v>
      </c>
      <c r="D65">
        <v>3</v>
      </c>
      <c r="E65">
        <v>4</v>
      </c>
    </row>
    <row r="66" spans="1:5" x14ac:dyDescent="0.4">
      <c r="A66" s="1">
        <v>42434</v>
      </c>
      <c r="B66">
        <v>4</v>
      </c>
      <c r="C66">
        <v>16</v>
      </c>
      <c r="D66">
        <v>15</v>
      </c>
      <c r="E66">
        <v>19</v>
      </c>
    </row>
    <row r="67" spans="1:5" x14ac:dyDescent="0.4">
      <c r="A67" s="1">
        <v>42435</v>
      </c>
      <c r="B67">
        <v>3</v>
      </c>
      <c r="C67">
        <v>4</v>
      </c>
      <c r="D67">
        <v>18</v>
      </c>
      <c r="E67">
        <v>19</v>
      </c>
    </row>
    <row r="68" spans="1:5" x14ac:dyDescent="0.4">
      <c r="A68" s="1">
        <v>42436</v>
      </c>
      <c r="B68">
        <v>11</v>
      </c>
      <c r="C68">
        <v>4</v>
      </c>
      <c r="D68">
        <v>2</v>
      </c>
      <c r="E68">
        <v>14</v>
      </c>
    </row>
    <row r="69" spans="1:5" x14ac:dyDescent="0.4">
      <c r="A69" s="1">
        <v>42437</v>
      </c>
      <c r="B69">
        <v>1</v>
      </c>
      <c r="C69">
        <v>10</v>
      </c>
      <c r="D69">
        <v>8</v>
      </c>
      <c r="E69">
        <v>17</v>
      </c>
    </row>
    <row r="70" spans="1:5" x14ac:dyDescent="0.4">
      <c r="A70" s="1">
        <v>42438</v>
      </c>
      <c r="B70">
        <v>9</v>
      </c>
      <c r="C70">
        <v>12</v>
      </c>
      <c r="D70">
        <v>13</v>
      </c>
      <c r="E70">
        <v>0</v>
      </c>
    </row>
    <row r="71" spans="1:5" x14ac:dyDescent="0.4">
      <c r="A71" s="1">
        <v>42439</v>
      </c>
      <c r="B71">
        <v>18</v>
      </c>
      <c r="C71">
        <v>12</v>
      </c>
      <c r="D71">
        <v>10</v>
      </c>
      <c r="E71">
        <v>15</v>
      </c>
    </row>
    <row r="72" spans="1:5" x14ac:dyDescent="0.4">
      <c r="A72" s="1">
        <v>42440</v>
      </c>
      <c r="B72">
        <v>5</v>
      </c>
      <c r="C72">
        <v>2</v>
      </c>
      <c r="D72">
        <v>16</v>
      </c>
      <c r="E72">
        <v>9</v>
      </c>
    </row>
    <row r="73" spans="1:5" x14ac:dyDescent="0.4">
      <c r="A73" s="1">
        <v>42441</v>
      </c>
      <c r="B73">
        <v>15</v>
      </c>
      <c r="C73">
        <v>18</v>
      </c>
      <c r="D73">
        <v>17</v>
      </c>
      <c r="E73">
        <v>19</v>
      </c>
    </row>
    <row r="74" spans="1:5" x14ac:dyDescent="0.4">
      <c r="A74" s="1">
        <v>42442</v>
      </c>
      <c r="B74">
        <v>7</v>
      </c>
      <c r="C74">
        <v>7</v>
      </c>
      <c r="D74">
        <v>12</v>
      </c>
      <c r="E74">
        <v>14</v>
      </c>
    </row>
    <row r="75" spans="1:5" x14ac:dyDescent="0.4">
      <c r="A75" s="1">
        <v>42443</v>
      </c>
      <c r="B75">
        <v>5</v>
      </c>
      <c r="C75">
        <v>6</v>
      </c>
      <c r="D75">
        <v>14</v>
      </c>
      <c r="E75">
        <v>4</v>
      </c>
    </row>
    <row r="76" spans="1:5" x14ac:dyDescent="0.4">
      <c r="A76" s="1">
        <v>42444</v>
      </c>
      <c r="B76">
        <v>18</v>
      </c>
      <c r="C76">
        <v>0</v>
      </c>
      <c r="D76">
        <v>18</v>
      </c>
      <c r="E76">
        <v>15</v>
      </c>
    </row>
    <row r="77" spans="1:5" x14ac:dyDescent="0.4">
      <c r="A77" s="1">
        <v>42445</v>
      </c>
      <c r="B77">
        <v>12</v>
      </c>
      <c r="C77">
        <v>17</v>
      </c>
      <c r="D77">
        <v>12</v>
      </c>
      <c r="E77">
        <v>10</v>
      </c>
    </row>
    <row r="78" spans="1:5" x14ac:dyDescent="0.4">
      <c r="A78" s="1">
        <v>42446</v>
      </c>
      <c r="B78">
        <v>12</v>
      </c>
      <c r="C78">
        <v>9</v>
      </c>
      <c r="D78">
        <v>16</v>
      </c>
      <c r="E78">
        <v>0</v>
      </c>
    </row>
    <row r="79" spans="1:5" x14ac:dyDescent="0.4">
      <c r="A79" s="1">
        <v>42447</v>
      </c>
      <c r="B79">
        <v>8</v>
      </c>
      <c r="C79">
        <v>8</v>
      </c>
      <c r="D79">
        <v>5</v>
      </c>
      <c r="E79">
        <v>9</v>
      </c>
    </row>
    <row r="80" spans="1:5" x14ac:dyDescent="0.4">
      <c r="A80" s="1">
        <v>42448</v>
      </c>
      <c r="B80">
        <v>1</v>
      </c>
      <c r="C80">
        <v>18</v>
      </c>
      <c r="D80">
        <v>2</v>
      </c>
      <c r="E80">
        <v>15</v>
      </c>
    </row>
    <row r="81" spans="1:5" x14ac:dyDescent="0.4">
      <c r="A81" s="1">
        <v>42449</v>
      </c>
      <c r="B81">
        <v>11</v>
      </c>
      <c r="C81">
        <v>5</v>
      </c>
      <c r="D81">
        <v>15</v>
      </c>
      <c r="E81">
        <v>7</v>
      </c>
    </row>
    <row r="82" spans="1:5" x14ac:dyDescent="0.4">
      <c r="A82" s="1">
        <v>42450</v>
      </c>
      <c r="B82">
        <v>13</v>
      </c>
      <c r="C82">
        <v>11</v>
      </c>
      <c r="D82">
        <v>1</v>
      </c>
      <c r="E82">
        <v>18</v>
      </c>
    </row>
    <row r="83" spans="1:5" x14ac:dyDescent="0.4">
      <c r="A83" s="1">
        <v>42451</v>
      </c>
      <c r="B83">
        <v>18</v>
      </c>
      <c r="C83">
        <v>0</v>
      </c>
      <c r="D83">
        <v>16</v>
      </c>
      <c r="E83">
        <v>11</v>
      </c>
    </row>
    <row r="84" spans="1:5" x14ac:dyDescent="0.4">
      <c r="A84" s="1">
        <v>42452</v>
      </c>
      <c r="B84">
        <v>16</v>
      </c>
      <c r="C84">
        <v>16</v>
      </c>
      <c r="D84">
        <v>2</v>
      </c>
      <c r="E84">
        <v>6</v>
      </c>
    </row>
    <row r="85" spans="1:5" x14ac:dyDescent="0.4">
      <c r="A85" s="1">
        <v>42453</v>
      </c>
      <c r="B85">
        <v>0</v>
      </c>
      <c r="C85">
        <v>9</v>
      </c>
      <c r="D85">
        <v>2</v>
      </c>
      <c r="E85">
        <v>17</v>
      </c>
    </row>
    <row r="86" spans="1:5" x14ac:dyDescent="0.4">
      <c r="A86" s="1">
        <v>42454</v>
      </c>
      <c r="B86">
        <v>10</v>
      </c>
      <c r="C86">
        <v>10</v>
      </c>
      <c r="D86">
        <v>6</v>
      </c>
      <c r="E86">
        <v>13</v>
      </c>
    </row>
    <row r="87" spans="1:5" x14ac:dyDescent="0.4">
      <c r="A87" s="1">
        <v>42455</v>
      </c>
      <c r="B87">
        <v>18</v>
      </c>
      <c r="C87">
        <v>7</v>
      </c>
      <c r="D87">
        <v>5</v>
      </c>
      <c r="E87">
        <v>18</v>
      </c>
    </row>
    <row r="88" spans="1:5" x14ac:dyDescent="0.4">
      <c r="A88" s="1">
        <v>42456</v>
      </c>
      <c r="B88">
        <v>8</v>
      </c>
      <c r="C88">
        <v>2</v>
      </c>
      <c r="D88">
        <v>1</v>
      </c>
      <c r="E88">
        <v>14</v>
      </c>
    </row>
    <row r="89" spans="1:5" x14ac:dyDescent="0.4">
      <c r="A89" s="1">
        <v>42457</v>
      </c>
      <c r="B89">
        <v>13</v>
      </c>
      <c r="C89">
        <v>14</v>
      </c>
      <c r="D89">
        <v>13</v>
      </c>
      <c r="E89">
        <v>3</v>
      </c>
    </row>
    <row r="90" spans="1:5" x14ac:dyDescent="0.4">
      <c r="A90" s="1">
        <v>42458</v>
      </c>
      <c r="B90">
        <v>10</v>
      </c>
      <c r="C90">
        <v>4</v>
      </c>
      <c r="D90">
        <v>18</v>
      </c>
      <c r="E90">
        <v>0</v>
      </c>
    </row>
    <row r="91" spans="1:5" x14ac:dyDescent="0.4">
      <c r="A91" s="1">
        <v>42459</v>
      </c>
      <c r="B91">
        <v>10</v>
      </c>
      <c r="C91">
        <v>4</v>
      </c>
      <c r="D91">
        <v>19</v>
      </c>
      <c r="E91">
        <v>5</v>
      </c>
    </row>
    <row r="92" spans="1:5" x14ac:dyDescent="0.4">
      <c r="A92" s="1">
        <v>42460</v>
      </c>
      <c r="B92">
        <v>9</v>
      </c>
      <c r="C92">
        <v>6</v>
      </c>
      <c r="D92">
        <v>13</v>
      </c>
      <c r="E92">
        <v>16</v>
      </c>
    </row>
    <row r="93" spans="1:5" x14ac:dyDescent="0.4">
      <c r="A93" s="1">
        <v>42461</v>
      </c>
      <c r="B93">
        <v>7</v>
      </c>
      <c r="C93">
        <v>8</v>
      </c>
      <c r="D93">
        <v>13</v>
      </c>
      <c r="E93">
        <v>15</v>
      </c>
    </row>
    <row r="94" spans="1:5" x14ac:dyDescent="0.4">
      <c r="A94" s="1">
        <v>42462</v>
      </c>
      <c r="B94">
        <v>8</v>
      </c>
      <c r="C94">
        <v>14</v>
      </c>
      <c r="D94">
        <v>7</v>
      </c>
      <c r="E94">
        <v>19</v>
      </c>
    </row>
    <row r="95" spans="1:5" x14ac:dyDescent="0.4">
      <c r="A95" s="1">
        <v>42463</v>
      </c>
      <c r="B95">
        <v>5</v>
      </c>
      <c r="C95">
        <v>2</v>
      </c>
      <c r="D95">
        <v>7</v>
      </c>
      <c r="E95">
        <v>12</v>
      </c>
    </row>
    <row r="96" spans="1:5" x14ac:dyDescent="0.4">
      <c r="A96" s="1">
        <v>42464</v>
      </c>
      <c r="B96">
        <v>1</v>
      </c>
      <c r="C96">
        <v>8</v>
      </c>
      <c r="D96">
        <v>13</v>
      </c>
      <c r="E96">
        <v>6</v>
      </c>
    </row>
    <row r="97" spans="1:5" x14ac:dyDescent="0.4">
      <c r="A97" s="1">
        <v>42465</v>
      </c>
      <c r="B97">
        <v>4</v>
      </c>
      <c r="C97">
        <v>16</v>
      </c>
      <c r="D97">
        <v>17</v>
      </c>
      <c r="E97">
        <v>19</v>
      </c>
    </row>
    <row r="98" spans="1:5" x14ac:dyDescent="0.4">
      <c r="A98" s="1">
        <v>42466</v>
      </c>
      <c r="B98">
        <v>19</v>
      </c>
      <c r="C98">
        <v>11</v>
      </c>
      <c r="D98">
        <v>19</v>
      </c>
      <c r="E98">
        <v>13</v>
      </c>
    </row>
    <row r="99" spans="1:5" x14ac:dyDescent="0.4">
      <c r="A99" s="1">
        <v>42467</v>
      </c>
      <c r="B99">
        <v>1</v>
      </c>
      <c r="C99">
        <v>15</v>
      </c>
      <c r="D99">
        <v>12</v>
      </c>
      <c r="E99">
        <v>13</v>
      </c>
    </row>
    <row r="100" spans="1:5" x14ac:dyDescent="0.4">
      <c r="A100" s="1">
        <v>42468</v>
      </c>
      <c r="B100">
        <v>7</v>
      </c>
      <c r="C100">
        <v>5</v>
      </c>
      <c r="D100">
        <v>18</v>
      </c>
      <c r="E100">
        <v>18</v>
      </c>
    </row>
    <row r="101" spans="1:5" x14ac:dyDescent="0.4">
      <c r="A101" s="1">
        <v>42469</v>
      </c>
      <c r="B101">
        <v>7</v>
      </c>
      <c r="C101">
        <v>1</v>
      </c>
      <c r="D101">
        <v>14</v>
      </c>
      <c r="E101">
        <v>3</v>
      </c>
    </row>
    <row r="102" spans="1:5" x14ac:dyDescent="0.4">
      <c r="A102" s="1">
        <v>42470</v>
      </c>
      <c r="B102">
        <v>9</v>
      </c>
      <c r="C102">
        <v>12</v>
      </c>
      <c r="D102">
        <v>5</v>
      </c>
      <c r="E102">
        <v>9</v>
      </c>
    </row>
    <row r="103" spans="1:5" x14ac:dyDescent="0.4">
      <c r="A103" s="1">
        <v>42471</v>
      </c>
      <c r="B103">
        <v>3</v>
      </c>
      <c r="C103">
        <v>10</v>
      </c>
      <c r="D103">
        <v>1</v>
      </c>
      <c r="E103">
        <v>7</v>
      </c>
    </row>
    <row r="104" spans="1:5" x14ac:dyDescent="0.4">
      <c r="A104" s="1">
        <v>42472</v>
      </c>
      <c r="B104">
        <v>9</v>
      </c>
      <c r="C104">
        <v>13</v>
      </c>
      <c r="D104">
        <v>14</v>
      </c>
      <c r="E104">
        <v>13</v>
      </c>
    </row>
    <row r="105" spans="1:5" x14ac:dyDescent="0.4">
      <c r="A105" s="1">
        <v>42473</v>
      </c>
      <c r="B105">
        <v>5</v>
      </c>
      <c r="C105">
        <v>7</v>
      </c>
      <c r="D105">
        <v>9</v>
      </c>
      <c r="E105">
        <v>14</v>
      </c>
    </row>
    <row r="106" spans="1:5" x14ac:dyDescent="0.4">
      <c r="A106" s="1">
        <v>42474</v>
      </c>
      <c r="B106">
        <v>12</v>
      </c>
      <c r="C106">
        <v>12</v>
      </c>
      <c r="D106">
        <v>3</v>
      </c>
      <c r="E106">
        <v>9</v>
      </c>
    </row>
    <row r="107" spans="1:5" x14ac:dyDescent="0.4">
      <c r="A107" s="1">
        <v>42475</v>
      </c>
      <c r="B107">
        <v>10</v>
      </c>
      <c r="C107">
        <v>3</v>
      </c>
      <c r="D107">
        <v>3</v>
      </c>
      <c r="E107">
        <v>12</v>
      </c>
    </row>
    <row r="108" spans="1:5" x14ac:dyDescent="0.4">
      <c r="A108" s="1">
        <v>42476</v>
      </c>
      <c r="B108">
        <v>3</v>
      </c>
      <c r="C108">
        <v>18</v>
      </c>
      <c r="D108">
        <v>4</v>
      </c>
      <c r="E108">
        <v>9</v>
      </c>
    </row>
    <row r="109" spans="1:5" x14ac:dyDescent="0.4">
      <c r="A109" s="1">
        <v>42477</v>
      </c>
      <c r="B109">
        <v>18</v>
      </c>
      <c r="C109">
        <v>7</v>
      </c>
      <c r="D109">
        <v>15</v>
      </c>
      <c r="E109">
        <v>14</v>
      </c>
    </row>
    <row r="110" spans="1:5" x14ac:dyDescent="0.4">
      <c r="A110" s="1">
        <v>42478</v>
      </c>
      <c r="B110">
        <v>13</v>
      </c>
      <c r="C110">
        <v>16</v>
      </c>
      <c r="D110">
        <v>18</v>
      </c>
      <c r="E110">
        <v>18</v>
      </c>
    </row>
    <row r="111" spans="1:5" x14ac:dyDescent="0.4">
      <c r="A111" s="1">
        <v>42479</v>
      </c>
      <c r="B111">
        <v>10</v>
      </c>
      <c r="C111">
        <v>3</v>
      </c>
      <c r="D111">
        <v>5</v>
      </c>
      <c r="E111">
        <v>13</v>
      </c>
    </row>
    <row r="112" spans="1:5" x14ac:dyDescent="0.4">
      <c r="A112" s="1">
        <v>42480</v>
      </c>
      <c r="B112">
        <v>7</v>
      </c>
      <c r="C112">
        <v>9</v>
      </c>
      <c r="D112">
        <v>4</v>
      </c>
      <c r="E112">
        <v>13</v>
      </c>
    </row>
    <row r="113" spans="1:5" x14ac:dyDescent="0.4">
      <c r="A113" s="1">
        <v>42481</v>
      </c>
      <c r="B113">
        <v>2</v>
      </c>
      <c r="C113">
        <v>0</v>
      </c>
      <c r="D113">
        <v>1</v>
      </c>
      <c r="E113">
        <v>6</v>
      </c>
    </row>
    <row r="114" spans="1:5" x14ac:dyDescent="0.4">
      <c r="A114" s="1">
        <v>42482</v>
      </c>
      <c r="B114">
        <v>15</v>
      </c>
      <c r="C114">
        <v>14</v>
      </c>
      <c r="D114">
        <v>9</v>
      </c>
      <c r="E114">
        <v>5</v>
      </c>
    </row>
    <row r="115" spans="1:5" x14ac:dyDescent="0.4">
      <c r="A115" s="1">
        <v>42483</v>
      </c>
      <c r="B115">
        <v>9</v>
      </c>
      <c r="C115">
        <v>16</v>
      </c>
      <c r="D115">
        <v>9</v>
      </c>
      <c r="E115">
        <v>0</v>
      </c>
    </row>
    <row r="116" spans="1:5" x14ac:dyDescent="0.4">
      <c r="A116" s="1">
        <v>42484</v>
      </c>
      <c r="B116">
        <v>15</v>
      </c>
      <c r="C116">
        <v>5</v>
      </c>
      <c r="D116">
        <v>6</v>
      </c>
      <c r="E116">
        <v>7</v>
      </c>
    </row>
    <row r="117" spans="1:5" x14ac:dyDescent="0.4">
      <c r="A117" s="1">
        <v>42485</v>
      </c>
      <c r="B117">
        <v>11</v>
      </c>
      <c r="C117">
        <v>8</v>
      </c>
      <c r="D117">
        <v>0</v>
      </c>
      <c r="E117">
        <v>2</v>
      </c>
    </row>
    <row r="118" spans="1:5" x14ac:dyDescent="0.4">
      <c r="A118" s="1">
        <v>42486</v>
      </c>
      <c r="B118">
        <v>16</v>
      </c>
      <c r="C118">
        <v>10</v>
      </c>
      <c r="D118">
        <v>5</v>
      </c>
      <c r="E118">
        <v>8</v>
      </c>
    </row>
    <row r="119" spans="1:5" x14ac:dyDescent="0.4">
      <c r="A119" s="1">
        <v>42487</v>
      </c>
      <c r="B119">
        <v>0</v>
      </c>
      <c r="C119">
        <v>0</v>
      </c>
      <c r="D119">
        <v>11</v>
      </c>
      <c r="E119">
        <v>7</v>
      </c>
    </row>
    <row r="120" spans="1:5" x14ac:dyDescent="0.4">
      <c r="A120" s="1">
        <v>42488</v>
      </c>
      <c r="B120">
        <v>4</v>
      </c>
      <c r="C120">
        <v>13</v>
      </c>
      <c r="D120">
        <v>17</v>
      </c>
      <c r="E120">
        <v>9</v>
      </c>
    </row>
    <row r="121" spans="1:5" x14ac:dyDescent="0.4">
      <c r="A121" s="1">
        <v>42489</v>
      </c>
      <c r="B121">
        <v>1</v>
      </c>
      <c r="C121">
        <v>19</v>
      </c>
      <c r="D121">
        <v>2</v>
      </c>
      <c r="E121">
        <v>0</v>
      </c>
    </row>
    <row r="122" spans="1:5" x14ac:dyDescent="0.4">
      <c r="A122" s="1">
        <v>42490</v>
      </c>
      <c r="B122">
        <v>2</v>
      </c>
      <c r="C122">
        <v>1</v>
      </c>
      <c r="D122">
        <v>0</v>
      </c>
      <c r="E122">
        <v>16</v>
      </c>
    </row>
    <row r="123" spans="1:5" x14ac:dyDescent="0.4">
      <c r="A123" s="1">
        <v>42491</v>
      </c>
      <c r="B123">
        <v>6</v>
      </c>
      <c r="C123">
        <v>15</v>
      </c>
      <c r="D123">
        <v>9</v>
      </c>
      <c r="E123">
        <v>4</v>
      </c>
    </row>
    <row r="124" spans="1:5" x14ac:dyDescent="0.4">
      <c r="A124" s="1">
        <v>42492</v>
      </c>
      <c r="B124">
        <v>2</v>
      </c>
      <c r="C124">
        <v>0</v>
      </c>
      <c r="D124">
        <v>18</v>
      </c>
      <c r="E124">
        <v>2</v>
      </c>
    </row>
    <row r="125" spans="1:5" x14ac:dyDescent="0.4">
      <c r="A125" s="1">
        <v>42493</v>
      </c>
      <c r="B125">
        <v>0</v>
      </c>
      <c r="C125">
        <v>19</v>
      </c>
      <c r="D125">
        <v>15</v>
      </c>
      <c r="E125">
        <v>16</v>
      </c>
    </row>
    <row r="126" spans="1:5" x14ac:dyDescent="0.4">
      <c r="A126" s="1">
        <v>42494</v>
      </c>
      <c r="B126">
        <v>10</v>
      </c>
      <c r="C126">
        <v>19</v>
      </c>
      <c r="D126">
        <v>17</v>
      </c>
      <c r="E126">
        <v>6</v>
      </c>
    </row>
    <row r="127" spans="1:5" x14ac:dyDescent="0.4">
      <c r="A127" s="1">
        <v>42495</v>
      </c>
      <c r="B127">
        <v>13</v>
      </c>
      <c r="C127">
        <v>13</v>
      </c>
      <c r="D127">
        <v>16</v>
      </c>
      <c r="E127">
        <v>0</v>
      </c>
    </row>
    <row r="128" spans="1:5" x14ac:dyDescent="0.4">
      <c r="A128" s="1">
        <v>42496</v>
      </c>
      <c r="B128">
        <v>10</v>
      </c>
      <c r="C128">
        <v>13</v>
      </c>
      <c r="D128">
        <v>10</v>
      </c>
      <c r="E128">
        <v>14</v>
      </c>
    </row>
    <row r="129" spans="1:5" x14ac:dyDescent="0.4">
      <c r="A129" s="1">
        <v>42497</v>
      </c>
      <c r="B129">
        <v>16</v>
      </c>
      <c r="C129">
        <v>3</v>
      </c>
      <c r="D129">
        <v>7</v>
      </c>
      <c r="E129">
        <v>18</v>
      </c>
    </row>
    <row r="130" spans="1:5" x14ac:dyDescent="0.4">
      <c r="A130" s="1">
        <v>42498</v>
      </c>
      <c r="B130">
        <v>1</v>
      </c>
      <c r="C130">
        <v>3</v>
      </c>
      <c r="D130">
        <v>16</v>
      </c>
      <c r="E130">
        <v>1</v>
      </c>
    </row>
    <row r="131" spans="1:5" x14ac:dyDescent="0.4">
      <c r="A131" s="1">
        <v>42499</v>
      </c>
      <c r="B131">
        <v>3</v>
      </c>
      <c r="C131">
        <v>19</v>
      </c>
      <c r="D131">
        <v>13</v>
      </c>
      <c r="E131">
        <v>11</v>
      </c>
    </row>
    <row r="132" spans="1:5" x14ac:dyDescent="0.4">
      <c r="A132" s="1">
        <v>42500</v>
      </c>
      <c r="B132">
        <v>13</v>
      </c>
      <c r="C132">
        <v>13</v>
      </c>
      <c r="D132">
        <v>4</v>
      </c>
      <c r="E132">
        <v>17</v>
      </c>
    </row>
    <row r="133" spans="1:5" x14ac:dyDescent="0.4">
      <c r="A133" s="1">
        <v>42501</v>
      </c>
      <c r="B133">
        <v>9</v>
      </c>
      <c r="C133">
        <v>17</v>
      </c>
      <c r="D133">
        <v>19</v>
      </c>
      <c r="E133">
        <v>6</v>
      </c>
    </row>
    <row r="134" spans="1:5" x14ac:dyDescent="0.4">
      <c r="A134" s="1">
        <v>42502</v>
      </c>
      <c r="B134">
        <v>7</v>
      </c>
      <c r="C134">
        <v>2</v>
      </c>
      <c r="D134">
        <v>6</v>
      </c>
      <c r="E134">
        <v>11</v>
      </c>
    </row>
    <row r="135" spans="1:5" x14ac:dyDescent="0.4">
      <c r="A135" s="1">
        <v>42503</v>
      </c>
      <c r="B135">
        <v>2</v>
      </c>
      <c r="C135">
        <v>3</v>
      </c>
      <c r="D135">
        <v>13</v>
      </c>
      <c r="E135">
        <v>9</v>
      </c>
    </row>
    <row r="136" spans="1:5" x14ac:dyDescent="0.4">
      <c r="A136" s="1">
        <v>42504</v>
      </c>
      <c r="B136">
        <v>14</v>
      </c>
      <c r="C136">
        <v>5</v>
      </c>
      <c r="D136">
        <v>16</v>
      </c>
      <c r="E136">
        <v>10</v>
      </c>
    </row>
    <row r="137" spans="1:5" x14ac:dyDescent="0.4">
      <c r="A137" s="1">
        <v>42505</v>
      </c>
      <c r="B137">
        <v>18</v>
      </c>
      <c r="C137">
        <v>0</v>
      </c>
      <c r="D137">
        <v>12</v>
      </c>
      <c r="E137">
        <v>13</v>
      </c>
    </row>
    <row r="138" spans="1:5" x14ac:dyDescent="0.4">
      <c r="A138" s="1">
        <v>42506</v>
      </c>
      <c r="B138">
        <v>10</v>
      </c>
      <c r="C138">
        <v>6</v>
      </c>
      <c r="D138">
        <v>4</v>
      </c>
      <c r="E138">
        <v>19</v>
      </c>
    </row>
    <row r="139" spans="1:5" x14ac:dyDescent="0.4">
      <c r="A139" s="1">
        <v>42507</v>
      </c>
      <c r="B139">
        <v>1</v>
      </c>
      <c r="C139">
        <v>18</v>
      </c>
      <c r="D139">
        <v>8</v>
      </c>
      <c r="E139">
        <v>0</v>
      </c>
    </row>
    <row r="140" spans="1:5" x14ac:dyDescent="0.4">
      <c r="A140" s="1">
        <v>42508</v>
      </c>
      <c r="B140">
        <v>15</v>
      </c>
      <c r="C140">
        <v>4</v>
      </c>
      <c r="D140">
        <v>7</v>
      </c>
      <c r="E140">
        <v>11</v>
      </c>
    </row>
    <row r="141" spans="1:5" x14ac:dyDescent="0.4">
      <c r="A141" s="1">
        <v>42509</v>
      </c>
      <c r="B141">
        <v>8</v>
      </c>
      <c r="C141">
        <v>14</v>
      </c>
      <c r="D141">
        <v>14</v>
      </c>
      <c r="E141">
        <v>17</v>
      </c>
    </row>
    <row r="142" spans="1:5" x14ac:dyDescent="0.4">
      <c r="A142" s="1">
        <v>42510</v>
      </c>
      <c r="B142">
        <v>9</v>
      </c>
      <c r="C142">
        <v>16</v>
      </c>
      <c r="D142">
        <v>17</v>
      </c>
      <c r="E142">
        <v>1</v>
      </c>
    </row>
    <row r="143" spans="1:5" x14ac:dyDescent="0.4">
      <c r="A143" s="1">
        <v>42511</v>
      </c>
      <c r="B143">
        <v>9</v>
      </c>
      <c r="C143">
        <v>1</v>
      </c>
      <c r="D143">
        <v>19</v>
      </c>
      <c r="E143">
        <v>5</v>
      </c>
    </row>
    <row r="144" spans="1:5" x14ac:dyDescent="0.4">
      <c r="A144" s="1">
        <v>42512</v>
      </c>
      <c r="B144">
        <v>4</v>
      </c>
      <c r="C144">
        <v>16</v>
      </c>
      <c r="D144">
        <v>10</v>
      </c>
      <c r="E144">
        <v>10</v>
      </c>
    </row>
    <row r="145" spans="1:5" x14ac:dyDescent="0.4">
      <c r="A145" s="1">
        <v>42513</v>
      </c>
      <c r="B145">
        <v>6</v>
      </c>
      <c r="C145">
        <v>16</v>
      </c>
      <c r="D145">
        <v>19</v>
      </c>
      <c r="E145">
        <v>13</v>
      </c>
    </row>
    <row r="146" spans="1:5" x14ac:dyDescent="0.4">
      <c r="A146" s="1">
        <v>42514</v>
      </c>
      <c r="B146">
        <v>1</v>
      </c>
      <c r="C146">
        <v>4</v>
      </c>
      <c r="D146">
        <v>9</v>
      </c>
      <c r="E146">
        <v>14</v>
      </c>
    </row>
    <row r="147" spans="1:5" x14ac:dyDescent="0.4">
      <c r="A147" s="1">
        <v>42515</v>
      </c>
      <c r="B147">
        <v>11</v>
      </c>
      <c r="C147">
        <v>2</v>
      </c>
      <c r="D147">
        <v>15</v>
      </c>
      <c r="E147">
        <v>9</v>
      </c>
    </row>
    <row r="148" spans="1:5" x14ac:dyDescent="0.4">
      <c r="A148" s="1">
        <v>42516</v>
      </c>
      <c r="B148">
        <v>3</v>
      </c>
      <c r="C148">
        <v>12</v>
      </c>
      <c r="D148">
        <v>18</v>
      </c>
      <c r="E148">
        <v>15</v>
      </c>
    </row>
    <row r="149" spans="1:5" x14ac:dyDescent="0.4">
      <c r="A149" s="1">
        <v>42517</v>
      </c>
      <c r="B149">
        <v>18</v>
      </c>
      <c r="C149">
        <v>1</v>
      </c>
      <c r="D149">
        <v>16</v>
      </c>
      <c r="E149">
        <v>13</v>
      </c>
    </row>
    <row r="150" spans="1:5" x14ac:dyDescent="0.4">
      <c r="A150" s="1">
        <v>42518</v>
      </c>
      <c r="B150">
        <v>1</v>
      </c>
      <c r="C150">
        <v>12</v>
      </c>
      <c r="D150">
        <v>15</v>
      </c>
      <c r="E150">
        <v>7</v>
      </c>
    </row>
    <row r="151" spans="1:5" x14ac:dyDescent="0.4">
      <c r="A151" s="1">
        <v>42519</v>
      </c>
      <c r="B151">
        <v>8</v>
      </c>
      <c r="C151">
        <v>9</v>
      </c>
      <c r="D151">
        <v>9</v>
      </c>
      <c r="E151">
        <v>8</v>
      </c>
    </row>
    <row r="152" spans="1:5" x14ac:dyDescent="0.4">
      <c r="A152" s="1">
        <v>42520</v>
      </c>
      <c r="B152">
        <v>5</v>
      </c>
      <c r="C152">
        <v>18</v>
      </c>
      <c r="D152">
        <v>3</v>
      </c>
      <c r="E152">
        <v>12</v>
      </c>
    </row>
    <row r="153" spans="1:5" x14ac:dyDescent="0.4">
      <c r="A153" s="1">
        <v>42521</v>
      </c>
      <c r="B153">
        <v>17</v>
      </c>
      <c r="C153">
        <v>3</v>
      </c>
      <c r="D153">
        <v>7</v>
      </c>
      <c r="E153">
        <v>13</v>
      </c>
    </row>
    <row r="154" spans="1:5" x14ac:dyDescent="0.4">
      <c r="A154" s="1">
        <v>42522</v>
      </c>
      <c r="B154">
        <v>15</v>
      </c>
      <c r="C154">
        <v>5</v>
      </c>
      <c r="D154">
        <v>19</v>
      </c>
      <c r="E154">
        <v>5</v>
      </c>
    </row>
    <row r="155" spans="1:5" x14ac:dyDescent="0.4">
      <c r="A155" s="1">
        <v>42523</v>
      </c>
      <c r="B155">
        <v>5</v>
      </c>
      <c r="C155">
        <v>12</v>
      </c>
      <c r="D155">
        <v>12</v>
      </c>
      <c r="E155">
        <v>8</v>
      </c>
    </row>
    <row r="156" spans="1:5" x14ac:dyDescent="0.4">
      <c r="A156" s="1">
        <v>42524</v>
      </c>
      <c r="B156">
        <v>13</v>
      </c>
      <c r="C156">
        <v>4</v>
      </c>
      <c r="D156">
        <v>9</v>
      </c>
      <c r="E156">
        <v>16</v>
      </c>
    </row>
    <row r="157" spans="1:5" x14ac:dyDescent="0.4">
      <c r="A157" s="1">
        <v>42525</v>
      </c>
      <c r="B157">
        <v>5</v>
      </c>
      <c r="C157">
        <v>6</v>
      </c>
      <c r="D157">
        <v>1</v>
      </c>
      <c r="E157">
        <v>16</v>
      </c>
    </row>
    <row r="158" spans="1:5" x14ac:dyDescent="0.4">
      <c r="A158" s="1">
        <v>42526</v>
      </c>
      <c r="B158">
        <v>1</v>
      </c>
      <c r="C158">
        <v>1</v>
      </c>
      <c r="D158">
        <v>16</v>
      </c>
      <c r="E158">
        <v>2</v>
      </c>
    </row>
    <row r="159" spans="1:5" x14ac:dyDescent="0.4">
      <c r="A159" s="1">
        <v>42527</v>
      </c>
      <c r="B159">
        <v>0</v>
      </c>
      <c r="C159">
        <v>0</v>
      </c>
      <c r="D159">
        <v>0</v>
      </c>
      <c r="E159">
        <v>8</v>
      </c>
    </row>
    <row r="160" spans="1:5" x14ac:dyDescent="0.4">
      <c r="A160" s="1">
        <v>42528</v>
      </c>
      <c r="B160">
        <v>6</v>
      </c>
      <c r="C160">
        <v>19</v>
      </c>
      <c r="D160">
        <v>7</v>
      </c>
      <c r="E160">
        <v>7</v>
      </c>
    </row>
    <row r="161" spans="1:5" x14ac:dyDescent="0.4">
      <c r="A161" s="1">
        <v>42529</v>
      </c>
      <c r="B161">
        <v>15</v>
      </c>
      <c r="C161">
        <v>14</v>
      </c>
      <c r="D161">
        <v>4</v>
      </c>
      <c r="E161">
        <v>9</v>
      </c>
    </row>
    <row r="162" spans="1:5" x14ac:dyDescent="0.4">
      <c r="A162" s="1">
        <v>42530</v>
      </c>
      <c r="B162">
        <v>5</v>
      </c>
      <c r="C162">
        <v>8</v>
      </c>
      <c r="D162">
        <v>2</v>
      </c>
      <c r="E162">
        <v>19</v>
      </c>
    </row>
    <row r="163" spans="1:5" x14ac:dyDescent="0.4">
      <c r="A163" s="1">
        <v>42531</v>
      </c>
      <c r="B163">
        <v>4</v>
      </c>
      <c r="C163">
        <v>9</v>
      </c>
      <c r="D163">
        <v>11</v>
      </c>
      <c r="E163">
        <v>4</v>
      </c>
    </row>
    <row r="164" spans="1:5" x14ac:dyDescent="0.4">
      <c r="A164" s="1">
        <v>42532</v>
      </c>
      <c r="B164">
        <v>9</v>
      </c>
      <c r="C164">
        <v>9</v>
      </c>
      <c r="D164">
        <v>19</v>
      </c>
      <c r="E164">
        <v>14</v>
      </c>
    </row>
    <row r="165" spans="1:5" x14ac:dyDescent="0.4">
      <c r="A165" s="1">
        <v>42533</v>
      </c>
      <c r="B165">
        <v>5</v>
      </c>
      <c r="C165">
        <v>17</v>
      </c>
      <c r="D165">
        <v>1</v>
      </c>
      <c r="E165">
        <v>6</v>
      </c>
    </row>
    <row r="166" spans="1:5" x14ac:dyDescent="0.4">
      <c r="A166" s="1">
        <v>42534</v>
      </c>
      <c r="B166">
        <v>6</v>
      </c>
      <c r="C166">
        <v>8</v>
      </c>
      <c r="D166">
        <v>1</v>
      </c>
      <c r="E166">
        <v>9</v>
      </c>
    </row>
    <row r="167" spans="1:5" x14ac:dyDescent="0.4">
      <c r="A167" s="1">
        <v>42535</v>
      </c>
      <c r="B167">
        <v>0</v>
      </c>
      <c r="C167">
        <v>14</v>
      </c>
      <c r="D167">
        <v>8</v>
      </c>
      <c r="E167">
        <v>4</v>
      </c>
    </row>
    <row r="168" spans="1:5" x14ac:dyDescent="0.4">
      <c r="A168" s="1">
        <v>42536</v>
      </c>
      <c r="B168">
        <v>9</v>
      </c>
      <c r="C168">
        <v>7</v>
      </c>
      <c r="D168">
        <v>13</v>
      </c>
      <c r="E168">
        <v>12</v>
      </c>
    </row>
    <row r="169" spans="1:5" x14ac:dyDescent="0.4">
      <c r="A169" s="1">
        <v>42537</v>
      </c>
      <c r="B169">
        <v>4</v>
      </c>
      <c r="C169">
        <v>7</v>
      </c>
      <c r="D169">
        <v>16</v>
      </c>
      <c r="E169">
        <v>3</v>
      </c>
    </row>
    <row r="170" spans="1:5" x14ac:dyDescent="0.4">
      <c r="A170" s="1">
        <v>42538</v>
      </c>
      <c r="B170">
        <v>17</v>
      </c>
      <c r="C170">
        <v>4</v>
      </c>
      <c r="D170">
        <v>10</v>
      </c>
      <c r="E170">
        <v>1</v>
      </c>
    </row>
    <row r="171" spans="1:5" x14ac:dyDescent="0.4">
      <c r="A171" s="1">
        <v>42539</v>
      </c>
      <c r="B171">
        <v>11</v>
      </c>
      <c r="C171">
        <v>4</v>
      </c>
      <c r="D171">
        <v>2</v>
      </c>
      <c r="E171">
        <v>19</v>
      </c>
    </row>
    <row r="172" spans="1:5" x14ac:dyDescent="0.4">
      <c r="A172" s="1">
        <v>42540</v>
      </c>
      <c r="B172">
        <v>15</v>
      </c>
      <c r="C172">
        <v>1</v>
      </c>
      <c r="D172">
        <v>7</v>
      </c>
      <c r="E172">
        <v>2</v>
      </c>
    </row>
    <row r="173" spans="1:5" x14ac:dyDescent="0.4">
      <c r="A173" s="1">
        <v>42541</v>
      </c>
      <c r="B173">
        <v>18</v>
      </c>
      <c r="C173">
        <v>15</v>
      </c>
      <c r="D173">
        <v>8</v>
      </c>
      <c r="E173">
        <v>18</v>
      </c>
    </row>
    <row r="174" spans="1:5" x14ac:dyDescent="0.4">
      <c r="A174" s="1">
        <v>42542</v>
      </c>
      <c r="B174">
        <v>6</v>
      </c>
      <c r="C174">
        <v>16</v>
      </c>
      <c r="D174">
        <v>19</v>
      </c>
      <c r="E174">
        <v>15</v>
      </c>
    </row>
    <row r="175" spans="1:5" x14ac:dyDescent="0.4">
      <c r="A175" s="1">
        <v>42543</v>
      </c>
      <c r="B175">
        <v>10</v>
      </c>
      <c r="C175">
        <v>6</v>
      </c>
      <c r="D175">
        <v>10</v>
      </c>
      <c r="E175">
        <v>10</v>
      </c>
    </row>
    <row r="176" spans="1:5" x14ac:dyDescent="0.4">
      <c r="A176" s="1">
        <v>42544</v>
      </c>
      <c r="B176">
        <v>1</v>
      </c>
      <c r="C176">
        <v>8</v>
      </c>
      <c r="D176">
        <v>11</v>
      </c>
      <c r="E176">
        <v>17</v>
      </c>
    </row>
    <row r="177" spans="1:5" x14ac:dyDescent="0.4">
      <c r="A177" s="1">
        <v>42545</v>
      </c>
      <c r="B177">
        <v>12</v>
      </c>
      <c r="C177">
        <v>19</v>
      </c>
      <c r="D177">
        <v>16</v>
      </c>
      <c r="E177">
        <v>15</v>
      </c>
    </row>
    <row r="178" spans="1:5" x14ac:dyDescent="0.4">
      <c r="A178" s="1">
        <v>42546</v>
      </c>
      <c r="B178">
        <v>8</v>
      </c>
      <c r="C178">
        <v>13</v>
      </c>
      <c r="D178">
        <v>15</v>
      </c>
      <c r="E178">
        <v>0</v>
      </c>
    </row>
    <row r="179" spans="1:5" x14ac:dyDescent="0.4">
      <c r="A179" s="1">
        <v>42547</v>
      </c>
      <c r="B179">
        <v>19</v>
      </c>
      <c r="C179">
        <v>9</v>
      </c>
      <c r="D179">
        <v>5</v>
      </c>
      <c r="E179">
        <v>11</v>
      </c>
    </row>
    <row r="180" spans="1:5" x14ac:dyDescent="0.4">
      <c r="A180" s="1">
        <v>42548</v>
      </c>
      <c r="B180">
        <v>2</v>
      </c>
      <c r="C180">
        <v>16</v>
      </c>
      <c r="D180">
        <v>1</v>
      </c>
      <c r="E180">
        <v>10</v>
      </c>
    </row>
    <row r="181" spans="1:5" x14ac:dyDescent="0.4">
      <c r="A181" s="1">
        <v>42549</v>
      </c>
      <c r="B181">
        <v>18</v>
      </c>
      <c r="C181">
        <v>6</v>
      </c>
      <c r="D181">
        <v>8</v>
      </c>
      <c r="E181">
        <v>10</v>
      </c>
    </row>
    <row r="182" spans="1:5" x14ac:dyDescent="0.4">
      <c r="A182" s="1">
        <v>42550</v>
      </c>
      <c r="B182">
        <v>12</v>
      </c>
      <c r="C182">
        <v>3</v>
      </c>
      <c r="D182">
        <v>1</v>
      </c>
      <c r="E182">
        <v>16</v>
      </c>
    </row>
    <row r="183" spans="1:5" x14ac:dyDescent="0.4">
      <c r="A183" s="1">
        <v>42551</v>
      </c>
      <c r="B183">
        <v>6</v>
      </c>
      <c r="C183">
        <v>18</v>
      </c>
      <c r="D183">
        <v>2</v>
      </c>
      <c r="E183">
        <v>3</v>
      </c>
    </row>
    <row r="184" spans="1:5" x14ac:dyDescent="0.4">
      <c r="A184" s="1">
        <v>42552</v>
      </c>
      <c r="B184">
        <v>2</v>
      </c>
      <c r="C184">
        <v>10</v>
      </c>
      <c r="D184">
        <v>9</v>
      </c>
      <c r="E184">
        <v>15</v>
      </c>
    </row>
    <row r="185" spans="1:5" x14ac:dyDescent="0.4">
      <c r="A185" s="1">
        <v>42553</v>
      </c>
      <c r="B185">
        <v>9</v>
      </c>
      <c r="C185">
        <v>15</v>
      </c>
      <c r="D185">
        <v>15</v>
      </c>
      <c r="E185">
        <v>12</v>
      </c>
    </row>
    <row r="186" spans="1:5" x14ac:dyDescent="0.4">
      <c r="A186" s="1">
        <v>42554</v>
      </c>
      <c r="B186">
        <v>4</v>
      </c>
      <c r="C186">
        <v>12</v>
      </c>
      <c r="D186">
        <v>11</v>
      </c>
      <c r="E186">
        <v>3</v>
      </c>
    </row>
    <row r="187" spans="1:5" x14ac:dyDescent="0.4">
      <c r="A187" s="1">
        <v>42555</v>
      </c>
      <c r="B187">
        <v>19</v>
      </c>
      <c r="C187">
        <v>6</v>
      </c>
      <c r="D187">
        <v>1</v>
      </c>
      <c r="E187">
        <v>10</v>
      </c>
    </row>
    <row r="188" spans="1:5" x14ac:dyDescent="0.4">
      <c r="A188" s="1">
        <v>42556</v>
      </c>
      <c r="B188">
        <v>2</v>
      </c>
      <c r="C188">
        <v>19</v>
      </c>
      <c r="D188">
        <v>8</v>
      </c>
      <c r="E188">
        <v>19</v>
      </c>
    </row>
    <row r="189" spans="1:5" x14ac:dyDescent="0.4">
      <c r="A189" s="1">
        <v>42557</v>
      </c>
      <c r="B189">
        <v>0</v>
      </c>
      <c r="C189">
        <v>7</v>
      </c>
      <c r="D189">
        <v>11</v>
      </c>
      <c r="E189">
        <v>13</v>
      </c>
    </row>
    <row r="190" spans="1:5" x14ac:dyDescent="0.4">
      <c r="A190" s="1">
        <v>42558</v>
      </c>
      <c r="B190">
        <v>6</v>
      </c>
      <c r="C190">
        <v>6</v>
      </c>
      <c r="D190">
        <v>12</v>
      </c>
      <c r="E190">
        <v>11</v>
      </c>
    </row>
    <row r="191" spans="1:5" x14ac:dyDescent="0.4">
      <c r="A191" s="1">
        <v>42559</v>
      </c>
      <c r="B191">
        <v>10</v>
      </c>
      <c r="C191">
        <v>4</v>
      </c>
      <c r="D191">
        <v>3</v>
      </c>
      <c r="E191">
        <v>19</v>
      </c>
    </row>
    <row r="192" spans="1:5" x14ac:dyDescent="0.4">
      <c r="A192" s="1">
        <v>42560</v>
      </c>
      <c r="B192">
        <v>18</v>
      </c>
      <c r="C192">
        <v>15</v>
      </c>
      <c r="D192">
        <v>15</v>
      </c>
      <c r="E192">
        <v>15</v>
      </c>
    </row>
    <row r="193" spans="1:5" x14ac:dyDescent="0.4">
      <c r="A193" s="1">
        <v>42561</v>
      </c>
      <c r="B193">
        <v>10</v>
      </c>
      <c r="C193">
        <v>17</v>
      </c>
      <c r="D193">
        <v>13</v>
      </c>
      <c r="E193">
        <v>0</v>
      </c>
    </row>
    <row r="194" spans="1:5" x14ac:dyDescent="0.4">
      <c r="A194" s="1">
        <v>42562</v>
      </c>
      <c r="B194">
        <v>8</v>
      </c>
      <c r="C194">
        <v>2</v>
      </c>
      <c r="D194">
        <v>12</v>
      </c>
      <c r="E194">
        <v>2</v>
      </c>
    </row>
    <row r="195" spans="1:5" x14ac:dyDescent="0.4">
      <c r="A195" s="1">
        <v>42563</v>
      </c>
      <c r="B195">
        <v>16</v>
      </c>
      <c r="C195">
        <v>18</v>
      </c>
      <c r="D195">
        <v>2</v>
      </c>
      <c r="E195">
        <v>7</v>
      </c>
    </row>
    <row r="196" spans="1:5" x14ac:dyDescent="0.4">
      <c r="A196" s="1">
        <v>42564</v>
      </c>
      <c r="B196">
        <v>16</v>
      </c>
      <c r="C196">
        <v>12</v>
      </c>
      <c r="D196">
        <v>4</v>
      </c>
      <c r="E196">
        <v>7</v>
      </c>
    </row>
    <row r="197" spans="1:5" x14ac:dyDescent="0.4">
      <c r="A197" s="1">
        <v>42565</v>
      </c>
      <c r="B197">
        <v>13</v>
      </c>
      <c r="C197">
        <v>17</v>
      </c>
      <c r="D197">
        <v>18</v>
      </c>
      <c r="E197">
        <v>19</v>
      </c>
    </row>
    <row r="198" spans="1:5" x14ac:dyDescent="0.4">
      <c r="A198" s="1">
        <v>42566</v>
      </c>
      <c r="B198">
        <v>14</v>
      </c>
      <c r="C198">
        <v>15</v>
      </c>
      <c r="D198">
        <v>15</v>
      </c>
      <c r="E198">
        <v>10</v>
      </c>
    </row>
    <row r="199" spans="1:5" x14ac:dyDescent="0.4">
      <c r="A199" s="1">
        <v>42567</v>
      </c>
      <c r="B199">
        <v>19</v>
      </c>
      <c r="C199">
        <v>6</v>
      </c>
      <c r="D199">
        <v>9</v>
      </c>
      <c r="E199">
        <v>16</v>
      </c>
    </row>
    <row r="200" spans="1:5" x14ac:dyDescent="0.4">
      <c r="A200" s="1">
        <v>42568</v>
      </c>
      <c r="B200">
        <v>6</v>
      </c>
      <c r="C200">
        <v>10</v>
      </c>
      <c r="D200">
        <v>16</v>
      </c>
      <c r="E200">
        <v>9</v>
      </c>
    </row>
    <row r="201" spans="1:5" x14ac:dyDescent="0.4">
      <c r="A201" s="1">
        <v>42569</v>
      </c>
      <c r="B201">
        <v>9</v>
      </c>
      <c r="C201">
        <v>16</v>
      </c>
      <c r="D201">
        <v>7</v>
      </c>
      <c r="E201">
        <v>13</v>
      </c>
    </row>
    <row r="202" spans="1:5" x14ac:dyDescent="0.4">
      <c r="A202" s="1">
        <v>42570</v>
      </c>
      <c r="B202">
        <v>8</v>
      </c>
      <c r="C202">
        <v>3</v>
      </c>
      <c r="D202">
        <v>17</v>
      </c>
      <c r="E202">
        <v>9</v>
      </c>
    </row>
    <row r="203" spans="1:5" x14ac:dyDescent="0.4">
      <c r="A203" s="1">
        <v>42571</v>
      </c>
      <c r="B203">
        <v>13</v>
      </c>
      <c r="C203">
        <v>15</v>
      </c>
      <c r="D203">
        <v>19</v>
      </c>
      <c r="E203">
        <v>3</v>
      </c>
    </row>
    <row r="204" spans="1:5" x14ac:dyDescent="0.4">
      <c r="A204" s="1">
        <v>42572</v>
      </c>
      <c r="B204">
        <v>3</v>
      </c>
      <c r="C204">
        <v>8</v>
      </c>
      <c r="D204">
        <v>4</v>
      </c>
      <c r="E204">
        <v>2</v>
      </c>
    </row>
    <row r="205" spans="1:5" x14ac:dyDescent="0.4">
      <c r="A205" s="1">
        <v>42573</v>
      </c>
      <c r="B205">
        <v>8</v>
      </c>
      <c r="C205">
        <v>10</v>
      </c>
      <c r="D205">
        <v>13</v>
      </c>
      <c r="E205">
        <v>15</v>
      </c>
    </row>
    <row r="206" spans="1:5" x14ac:dyDescent="0.4">
      <c r="A206" s="1">
        <v>42574</v>
      </c>
      <c r="B206">
        <v>10</v>
      </c>
      <c r="C206">
        <v>1</v>
      </c>
      <c r="D206">
        <v>9</v>
      </c>
      <c r="E206">
        <v>6</v>
      </c>
    </row>
    <row r="207" spans="1:5" x14ac:dyDescent="0.4">
      <c r="A207" s="1">
        <v>42575</v>
      </c>
      <c r="B207">
        <v>16</v>
      </c>
      <c r="C207">
        <v>1</v>
      </c>
      <c r="D207">
        <v>0</v>
      </c>
      <c r="E207">
        <v>9</v>
      </c>
    </row>
    <row r="208" spans="1:5" x14ac:dyDescent="0.4">
      <c r="A208" s="1">
        <v>42576</v>
      </c>
      <c r="B208">
        <v>10</v>
      </c>
      <c r="C208">
        <v>16</v>
      </c>
      <c r="D208">
        <v>18</v>
      </c>
      <c r="E208">
        <v>4</v>
      </c>
    </row>
    <row r="209" spans="1:5" x14ac:dyDescent="0.4">
      <c r="A209" s="1">
        <v>42577</v>
      </c>
      <c r="B209">
        <v>8</v>
      </c>
      <c r="C209">
        <v>19</v>
      </c>
      <c r="D209">
        <v>0</v>
      </c>
      <c r="E209">
        <v>1</v>
      </c>
    </row>
    <row r="210" spans="1:5" x14ac:dyDescent="0.4">
      <c r="A210" s="1">
        <v>42578</v>
      </c>
      <c r="B210">
        <v>10</v>
      </c>
      <c r="C210">
        <v>0</v>
      </c>
      <c r="D210">
        <v>3</v>
      </c>
      <c r="E210">
        <v>19</v>
      </c>
    </row>
    <row r="211" spans="1:5" x14ac:dyDescent="0.4">
      <c r="A211" s="1">
        <v>42579</v>
      </c>
      <c r="B211">
        <v>4</v>
      </c>
      <c r="C211">
        <v>13</v>
      </c>
      <c r="D211">
        <v>14</v>
      </c>
      <c r="E211">
        <v>18</v>
      </c>
    </row>
    <row r="212" spans="1:5" x14ac:dyDescent="0.4">
      <c r="A212" s="1">
        <v>42580</v>
      </c>
      <c r="B212">
        <v>12</v>
      </c>
      <c r="C212">
        <v>19</v>
      </c>
      <c r="D212">
        <v>13</v>
      </c>
      <c r="E212">
        <v>12</v>
      </c>
    </row>
    <row r="213" spans="1:5" x14ac:dyDescent="0.4">
      <c r="A213" s="1">
        <v>42581</v>
      </c>
      <c r="B213">
        <v>9</v>
      </c>
      <c r="C213">
        <v>2</v>
      </c>
      <c r="D213">
        <v>14</v>
      </c>
      <c r="E213">
        <v>10</v>
      </c>
    </row>
    <row r="214" spans="1:5" x14ac:dyDescent="0.4">
      <c r="A214" s="1">
        <v>42582</v>
      </c>
      <c r="B214">
        <v>13</v>
      </c>
      <c r="C214">
        <v>7</v>
      </c>
      <c r="D214">
        <v>10</v>
      </c>
      <c r="E214">
        <v>1</v>
      </c>
    </row>
    <row r="215" spans="1:5" x14ac:dyDescent="0.4">
      <c r="A215" s="1">
        <v>42583</v>
      </c>
      <c r="B215">
        <v>17</v>
      </c>
      <c r="C215">
        <v>9</v>
      </c>
      <c r="D215">
        <v>12</v>
      </c>
      <c r="E215">
        <v>17</v>
      </c>
    </row>
    <row r="216" spans="1:5" x14ac:dyDescent="0.4">
      <c r="A216" s="1">
        <v>42584</v>
      </c>
      <c r="B216">
        <v>7</v>
      </c>
      <c r="C216">
        <v>18</v>
      </c>
      <c r="D216">
        <v>6</v>
      </c>
      <c r="E216">
        <v>9</v>
      </c>
    </row>
    <row r="217" spans="1:5" x14ac:dyDescent="0.4">
      <c r="A217" s="1">
        <v>42585</v>
      </c>
      <c r="B217">
        <v>6</v>
      </c>
      <c r="C217">
        <v>3</v>
      </c>
      <c r="D217">
        <v>16</v>
      </c>
      <c r="E217">
        <v>5</v>
      </c>
    </row>
    <row r="218" spans="1:5" x14ac:dyDescent="0.4">
      <c r="A218" s="1">
        <v>42586</v>
      </c>
      <c r="B218">
        <v>5</v>
      </c>
      <c r="C218">
        <v>16</v>
      </c>
      <c r="D218">
        <v>12</v>
      </c>
      <c r="E218">
        <v>5</v>
      </c>
    </row>
    <row r="219" spans="1:5" x14ac:dyDescent="0.4">
      <c r="A219" s="1">
        <v>42587</v>
      </c>
      <c r="B219">
        <v>3</v>
      </c>
      <c r="C219">
        <v>13</v>
      </c>
      <c r="D219">
        <v>9</v>
      </c>
      <c r="E219">
        <v>5</v>
      </c>
    </row>
    <row r="220" spans="1:5" x14ac:dyDescent="0.4">
      <c r="A220" s="1">
        <v>42588</v>
      </c>
      <c r="B220">
        <v>10</v>
      </c>
      <c r="C220">
        <v>4</v>
      </c>
      <c r="D220">
        <v>14</v>
      </c>
      <c r="E220">
        <v>12</v>
      </c>
    </row>
    <row r="221" spans="1:5" x14ac:dyDescent="0.4">
      <c r="A221" s="1">
        <v>42589</v>
      </c>
      <c r="B221">
        <v>4</v>
      </c>
      <c r="C221">
        <v>0</v>
      </c>
      <c r="D221">
        <v>2</v>
      </c>
      <c r="E221">
        <v>5</v>
      </c>
    </row>
    <row r="222" spans="1:5" x14ac:dyDescent="0.4">
      <c r="A222" s="1">
        <v>42590</v>
      </c>
      <c r="B222">
        <v>11</v>
      </c>
      <c r="C222">
        <v>18</v>
      </c>
      <c r="D222">
        <v>8</v>
      </c>
      <c r="E222">
        <v>0</v>
      </c>
    </row>
    <row r="223" spans="1:5" x14ac:dyDescent="0.4">
      <c r="A223" s="1">
        <v>42591</v>
      </c>
      <c r="B223">
        <v>7</v>
      </c>
      <c r="C223">
        <v>9</v>
      </c>
      <c r="D223">
        <v>7</v>
      </c>
      <c r="E223">
        <v>17</v>
      </c>
    </row>
    <row r="224" spans="1:5" x14ac:dyDescent="0.4">
      <c r="A224" s="1">
        <v>42592</v>
      </c>
      <c r="B224">
        <v>17</v>
      </c>
      <c r="C224">
        <v>13</v>
      </c>
      <c r="D224">
        <v>4</v>
      </c>
      <c r="E224">
        <v>9</v>
      </c>
    </row>
    <row r="225" spans="1:5" x14ac:dyDescent="0.4">
      <c r="A225" s="1">
        <v>42593</v>
      </c>
      <c r="B225">
        <v>9</v>
      </c>
      <c r="C225">
        <v>1</v>
      </c>
      <c r="D225">
        <v>5</v>
      </c>
      <c r="E225">
        <v>19</v>
      </c>
    </row>
    <row r="226" spans="1:5" x14ac:dyDescent="0.4">
      <c r="A226" s="1">
        <v>42594</v>
      </c>
      <c r="B226">
        <v>3</v>
      </c>
      <c r="C226">
        <v>0</v>
      </c>
      <c r="D226">
        <v>2</v>
      </c>
      <c r="E226">
        <v>6</v>
      </c>
    </row>
    <row r="227" spans="1:5" x14ac:dyDescent="0.4">
      <c r="A227" s="1">
        <v>42595</v>
      </c>
      <c r="B227">
        <v>13</v>
      </c>
      <c r="C227">
        <v>19</v>
      </c>
      <c r="D227">
        <v>17</v>
      </c>
      <c r="E227">
        <v>13</v>
      </c>
    </row>
    <row r="228" spans="1:5" x14ac:dyDescent="0.4">
      <c r="A228" s="1">
        <v>42596</v>
      </c>
      <c r="B228">
        <v>14</v>
      </c>
      <c r="C228">
        <v>4</v>
      </c>
      <c r="D228">
        <v>19</v>
      </c>
      <c r="E228">
        <v>18</v>
      </c>
    </row>
    <row r="229" spans="1:5" x14ac:dyDescent="0.4">
      <c r="A229" s="1">
        <v>42597</v>
      </c>
      <c r="B229">
        <v>12</v>
      </c>
      <c r="C229">
        <v>17</v>
      </c>
      <c r="D229">
        <v>8</v>
      </c>
      <c r="E229">
        <v>5</v>
      </c>
    </row>
    <row r="230" spans="1:5" x14ac:dyDescent="0.4">
      <c r="A230" s="1">
        <v>42598</v>
      </c>
      <c r="B230">
        <v>15</v>
      </c>
      <c r="C230">
        <v>8</v>
      </c>
      <c r="D230">
        <v>15</v>
      </c>
      <c r="E230">
        <v>0</v>
      </c>
    </row>
    <row r="231" spans="1:5" x14ac:dyDescent="0.4">
      <c r="A231" s="1">
        <v>42599</v>
      </c>
      <c r="B231">
        <v>3</v>
      </c>
      <c r="C231">
        <v>3</v>
      </c>
      <c r="D231">
        <v>0</v>
      </c>
      <c r="E231">
        <v>8</v>
      </c>
    </row>
    <row r="232" spans="1:5" x14ac:dyDescent="0.4">
      <c r="A232" s="1">
        <v>42600</v>
      </c>
      <c r="B232">
        <v>16</v>
      </c>
      <c r="C232">
        <v>5</v>
      </c>
      <c r="D232">
        <v>15</v>
      </c>
      <c r="E232">
        <v>12</v>
      </c>
    </row>
    <row r="233" spans="1:5" x14ac:dyDescent="0.4">
      <c r="A233" s="1">
        <v>42601</v>
      </c>
      <c r="B233">
        <v>4</v>
      </c>
      <c r="C233">
        <v>15</v>
      </c>
      <c r="D233">
        <v>14</v>
      </c>
      <c r="E233">
        <v>10</v>
      </c>
    </row>
    <row r="234" spans="1:5" x14ac:dyDescent="0.4">
      <c r="A234" s="1">
        <v>42602</v>
      </c>
      <c r="B234">
        <v>19</v>
      </c>
      <c r="C234">
        <v>17</v>
      </c>
      <c r="D234">
        <v>1</v>
      </c>
      <c r="E234">
        <v>19</v>
      </c>
    </row>
    <row r="235" spans="1:5" x14ac:dyDescent="0.4">
      <c r="A235" s="1">
        <v>42603</v>
      </c>
      <c r="B235">
        <v>1</v>
      </c>
      <c r="C235">
        <v>5</v>
      </c>
      <c r="D235">
        <v>11</v>
      </c>
      <c r="E235">
        <v>6</v>
      </c>
    </row>
    <row r="236" spans="1:5" x14ac:dyDescent="0.4">
      <c r="A236" s="1">
        <v>42604</v>
      </c>
      <c r="B236">
        <v>1</v>
      </c>
      <c r="C236">
        <v>6</v>
      </c>
      <c r="D236">
        <v>0</v>
      </c>
      <c r="E236">
        <v>13</v>
      </c>
    </row>
    <row r="237" spans="1:5" x14ac:dyDescent="0.4">
      <c r="A237" s="1">
        <v>42605</v>
      </c>
      <c r="B237">
        <v>15</v>
      </c>
      <c r="C237">
        <v>17</v>
      </c>
      <c r="D237">
        <v>9</v>
      </c>
      <c r="E237">
        <v>7</v>
      </c>
    </row>
    <row r="238" spans="1:5" x14ac:dyDescent="0.4">
      <c r="A238" s="1">
        <v>42606</v>
      </c>
      <c r="B238">
        <v>7</v>
      </c>
      <c r="C238">
        <v>17</v>
      </c>
      <c r="D238">
        <v>13</v>
      </c>
      <c r="E238">
        <v>19</v>
      </c>
    </row>
    <row r="239" spans="1:5" x14ac:dyDescent="0.4">
      <c r="A239" s="1">
        <v>42607</v>
      </c>
      <c r="B239">
        <v>9</v>
      </c>
      <c r="C239">
        <v>8</v>
      </c>
      <c r="D239">
        <v>13</v>
      </c>
      <c r="E239">
        <v>6</v>
      </c>
    </row>
    <row r="240" spans="1:5" x14ac:dyDescent="0.4">
      <c r="A240" s="1">
        <v>42608</v>
      </c>
      <c r="B240">
        <v>2</v>
      </c>
      <c r="C240">
        <v>11</v>
      </c>
      <c r="D240">
        <v>2</v>
      </c>
      <c r="E240">
        <v>2</v>
      </c>
    </row>
    <row r="241" spans="1:5" x14ac:dyDescent="0.4">
      <c r="A241" s="1">
        <v>42609</v>
      </c>
      <c r="B241">
        <v>2</v>
      </c>
      <c r="C241">
        <v>3</v>
      </c>
      <c r="D241">
        <v>1</v>
      </c>
      <c r="E241">
        <v>0</v>
      </c>
    </row>
    <row r="242" spans="1:5" x14ac:dyDescent="0.4">
      <c r="A242" s="1">
        <v>42610</v>
      </c>
      <c r="B242">
        <v>3</v>
      </c>
      <c r="C242">
        <v>18</v>
      </c>
      <c r="D242">
        <v>9</v>
      </c>
      <c r="E242">
        <v>7</v>
      </c>
    </row>
    <row r="243" spans="1:5" x14ac:dyDescent="0.4">
      <c r="A243" s="1">
        <v>42611</v>
      </c>
      <c r="B243">
        <v>0</v>
      </c>
      <c r="C243">
        <v>5</v>
      </c>
      <c r="D243">
        <v>14</v>
      </c>
      <c r="E243">
        <v>5</v>
      </c>
    </row>
    <row r="244" spans="1:5" x14ac:dyDescent="0.4">
      <c r="A244" s="1">
        <v>42612</v>
      </c>
      <c r="B244">
        <v>14</v>
      </c>
      <c r="C244">
        <v>0</v>
      </c>
      <c r="D244">
        <v>17</v>
      </c>
      <c r="E244">
        <v>2</v>
      </c>
    </row>
    <row r="245" spans="1:5" x14ac:dyDescent="0.4">
      <c r="A245" s="1">
        <v>42613</v>
      </c>
      <c r="B245">
        <v>10</v>
      </c>
      <c r="C245">
        <v>6</v>
      </c>
      <c r="D245">
        <v>13</v>
      </c>
      <c r="E245">
        <v>11</v>
      </c>
    </row>
    <row r="246" spans="1:5" x14ac:dyDescent="0.4">
      <c r="A246" s="1">
        <v>42614</v>
      </c>
      <c r="B246">
        <v>11</v>
      </c>
      <c r="C246">
        <v>12</v>
      </c>
      <c r="D246">
        <v>7</v>
      </c>
      <c r="E246">
        <v>7</v>
      </c>
    </row>
    <row r="247" spans="1:5" x14ac:dyDescent="0.4">
      <c r="A247" s="1">
        <v>42615</v>
      </c>
      <c r="B247">
        <v>4</v>
      </c>
      <c r="C247">
        <v>7</v>
      </c>
      <c r="D247">
        <v>4</v>
      </c>
      <c r="E247">
        <v>12</v>
      </c>
    </row>
    <row r="248" spans="1:5" x14ac:dyDescent="0.4">
      <c r="A248" s="1">
        <v>42616</v>
      </c>
      <c r="B248">
        <v>9</v>
      </c>
      <c r="C248">
        <v>12</v>
      </c>
      <c r="D248">
        <v>5</v>
      </c>
      <c r="E248">
        <v>4</v>
      </c>
    </row>
    <row r="249" spans="1:5" x14ac:dyDescent="0.4">
      <c r="A249" s="1">
        <v>42617</v>
      </c>
      <c r="B249">
        <v>14</v>
      </c>
      <c r="C249">
        <v>14</v>
      </c>
      <c r="D249">
        <v>17</v>
      </c>
      <c r="E249">
        <v>19</v>
      </c>
    </row>
    <row r="250" spans="1:5" x14ac:dyDescent="0.4">
      <c r="A250" s="1">
        <v>42618</v>
      </c>
      <c r="B250">
        <v>15</v>
      </c>
      <c r="C250">
        <v>14</v>
      </c>
      <c r="D250">
        <v>17</v>
      </c>
      <c r="E250">
        <v>7</v>
      </c>
    </row>
    <row r="251" spans="1:5" x14ac:dyDescent="0.4">
      <c r="A251" s="1">
        <v>42619</v>
      </c>
      <c r="B251">
        <v>7</v>
      </c>
      <c r="C251">
        <v>3</v>
      </c>
      <c r="D251">
        <v>9</v>
      </c>
      <c r="E251">
        <v>4</v>
      </c>
    </row>
    <row r="252" spans="1:5" x14ac:dyDescent="0.4">
      <c r="A252" s="1">
        <v>42620</v>
      </c>
      <c r="B252">
        <v>18</v>
      </c>
      <c r="C252">
        <v>1</v>
      </c>
      <c r="D252">
        <v>9</v>
      </c>
      <c r="E252">
        <v>16</v>
      </c>
    </row>
    <row r="253" spans="1:5" x14ac:dyDescent="0.4">
      <c r="A253" s="1">
        <v>42621</v>
      </c>
      <c r="B253">
        <v>14</v>
      </c>
      <c r="C253">
        <v>4</v>
      </c>
      <c r="D253">
        <v>12</v>
      </c>
      <c r="E253">
        <v>10</v>
      </c>
    </row>
    <row r="254" spans="1:5" x14ac:dyDescent="0.4">
      <c r="A254" s="1">
        <v>42622</v>
      </c>
      <c r="B254">
        <v>1</v>
      </c>
      <c r="C254">
        <v>3</v>
      </c>
      <c r="D254">
        <v>11</v>
      </c>
      <c r="E254">
        <v>14</v>
      </c>
    </row>
    <row r="255" spans="1:5" x14ac:dyDescent="0.4">
      <c r="A255" s="1">
        <v>42623</v>
      </c>
      <c r="B255">
        <v>12</v>
      </c>
      <c r="C255">
        <v>19</v>
      </c>
      <c r="D255">
        <v>15</v>
      </c>
      <c r="E255">
        <v>4</v>
      </c>
    </row>
    <row r="256" spans="1:5" x14ac:dyDescent="0.4">
      <c r="A256" s="1">
        <v>42624</v>
      </c>
      <c r="B256">
        <v>14</v>
      </c>
      <c r="C256">
        <v>3</v>
      </c>
      <c r="D256">
        <v>5</v>
      </c>
      <c r="E256">
        <v>19</v>
      </c>
    </row>
    <row r="257" spans="1:5" x14ac:dyDescent="0.4">
      <c r="A257" s="1">
        <v>42625</v>
      </c>
      <c r="B257">
        <v>0</v>
      </c>
      <c r="C257">
        <v>13</v>
      </c>
      <c r="D257">
        <v>6</v>
      </c>
      <c r="E257">
        <v>14</v>
      </c>
    </row>
    <row r="258" spans="1:5" x14ac:dyDescent="0.4">
      <c r="A258" s="1">
        <v>42626</v>
      </c>
      <c r="B258">
        <v>8</v>
      </c>
      <c r="C258">
        <v>18</v>
      </c>
      <c r="D258">
        <v>8</v>
      </c>
      <c r="E258">
        <v>7</v>
      </c>
    </row>
    <row r="259" spans="1:5" x14ac:dyDescent="0.4">
      <c r="A259" s="1">
        <v>42627</v>
      </c>
      <c r="B259">
        <v>8</v>
      </c>
      <c r="C259">
        <v>5</v>
      </c>
      <c r="D259">
        <v>10</v>
      </c>
      <c r="E259">
        <v>14</v>
      </c>
    </row>
    <row r="260" spans="1:5" x14ac:dyDescent="0.4">
      <c r="A260" s="1">
        <v>42628</v>
      </c>
      <c r="B260">
        <v>5</v>
      </c>
      <c r="C260">
        <v>5</v>
      </c>
      <c r="D260">
        <v>6</v>
      </c>
      <c r="E260">
        <v>7</v>
      </c>
    </row>
    <row r="261" spans="1:5" x14ac:dyDescent="0.4">
      <c r="A261" s="1">
        <v>42629</v>
      </c>
      <c r="B261">
        <v>19</v>
      </c>
      <c r="C261">
        <v>15</v>
      </c>
      <c r="D261">
        <v>9</v>
      </c>
      <c r="E261">
        <v>1</v>
      </c>
    </row>
    <row r="262" spans="1:5" x14ac:dyDescent="0.4">
      <c r="A262" s="1">
        <v>42630</v>
      </c>
      <c r="B262">
        <v>16</v>
      </c>
      <c r="C262">
        <v>15</v>
      </c>
      <c r="D262">
        <v>5</v>
      </c>
      <c r="E262">
        <v>4</v>
      </c>
    </row>
    <row r="263" spans="1:5" x14ac:dyDescent="0.4">
      <c r="A263" s="1">
        <v>42631</v>
      </c>
      <c r="B263">
        <v>13</v>
      </c>
      <c r="C263">
        <v>7</v>
      </c>
      <c r="D263">
        <v>3</v>
      </c>
      <c r="E263">
        <v>2</v>
      </c>
    </row>
    <row r="264" spans="1:5" x14ac:dyDescent="0.4">
      <c r="A264" s="1">
        <v>42632</v>
      </c>
      <c r="B264">
        <v>8</v>
      </c>
      <c r="C264">
        <v>3</v>
      </c>
      <c r="D264">
        <v>1</v>
      </c>
      <c r="E264">
        <v>12</v>
      </c>
    </row>
    <row r="265" spans="1:5" x14ac:dyDescent="0.4">
      <c r="A265" s="1">
        <v>42633</v>
      </c>
      <c r="B265">
        <v>14</v>
      </c>
      <c r="C265">
        <v>11</v>
      </c>
      <c r="D265">
        <v>6</v>
      </c>
      <c r="E265">
        <v>3</v>
      </c>
    </row>
    <row r="266" spans="1:5" x14ac:dyDescent="0.4">
      <c r="A266" s="1">
        <v>42634</v>
      </c>
      <c r="B266">
        <v>5</v>
      </c>
      <c r="C266">
        <v>2</v>
      </c>
      <c r="D266">
        <v>16</v>
      </c>
      <c r="E266">
        <v>8</v>
      </c>
    </row>
    <row r="267" spans="1:5" x14ac:dyDescent="0.4">
      <c r="A267" s="1">
        <v>42635</v>
      </c>
      <c r="B267">
        <v>7</v>
      </c>
      <c r="C267">
        <v>5</v>
      </c>
      <c r="D267">
        <v>12</v>
      </c>
      <c r="E267">
        <v>0</v>
      </c>
    </row>
    <row r="268" spans="1:5" x14ac:dyDescent="0.4">
      <c r="A268" s="1">
        <v>42636</v>
      </c>
      <c r="B268">
        <v>8</v>
      </c>
      <c r="C268">
        <v>17</v>
      </c>
      <c r="D268">
        <v>15</v>
      </c>
      <c r="E268">
        <v>15</v>
      </c>
    </row>
    <row r="269" spans="1:5" x14ac:dyDescent="0.4">
      <c r="A269" s="1">
        <v>42637</v>
      </c>
      <c r="B269">
        <v>18</v>
      </c>
      <c r="C269">
        <v>13</v>
      </c>
      <c r="D269">
        <v>13</v>
      </c>
      <c r="E269">
        <v>10</v>
      </c>
    </row>
    <row r="270" spans="1:5" x14ac:dyDescent="0.4">
      <c r="A270" s="1">
        <v>42638</v>
      </c>
      <c r="B270">
        <v>2</v>
      </c>
      <c r="C270">
        <v>9</v>
      </c>
      <c r="D270">
        <v>17</v>
      </c>
      <c r="E270">
        <v>0</v>
      </c>
    </row>
    <row r="271" spans="1:5" x14ac:dyDescent="0.4">
      <c r="A271" s="1">
        <v>42639</v>
      </c>
      <c r="B271">
        <v>12</v>
      </c>
      <c r="C271">
        <v>11</v>
      </c>
      <c r="D271">
        <v>12</v>
      </c>
      <c r="E271">
        <v>4</v>
      </c>
    </row>
    <row r="272" spans="1:5" x14ac:dyDescent="0.4">
      <c r="A272" s="1">
        <v>42640</v>
      </c>
      <c r="B272">
        <v>6</v>
      </c>
      <c r="C272">
        <v>4</v>
      </c>
      <c r="D272">
        <v>13</v>
      </c>
      <c r="E272">
        <v>1</v>
      </c>
    </row>
    <row r="273" spans="1:5" x14ac:dyDescent="0.4">
      <c r="A273" s="1">
        <v>42641</v>
      </c>
      <c r="B273">
        <v>2</v>
      </c>
      <c r="C273">
        <v>0</v>
      </c>
      <c r="D273">
        <v>5</v>
      </c>
      <c r="E273">
        <v>19</v>
      </c>
    </row>
    <row r="274" spans="1:5" x14ac:dyDescent="0.4">
      <c r="A274" s="1">
        <v>42642</v>
      </c>
      <c r="B274">
        <v>3</v>
      </c>
      <c r="C274">
        <v>5</v>
      </c>
      <c r="D274">
        <v>9</v>
      </c>
      <c r="E274">
        <v>19</v>
      </c>
    </row>
    <row r="275" spans="1:5" x14ac:dyDescent="0.4">
      <c r="A275" s="1">
        <v>42643</v>
      </c>
      <c r="B275">
        <v>1</v>
      </c>
      <c r="C275">
        <v>19</v>
      </c>
      <c r="D275">
        <v>18</v>
      </c>
      <c r="E275">
        <v>4</v>
      </c>
    </row>
    <row r="276" spans="1:5" x14ac:dyDescent="0.4">
      <c r="A276" s="1">
        <v>42644</v>
      </c>
      <c r="B276">
        <v>8</v>
      </c>
      <c r="C276">
        <v>1</v>
      </c>
      <c r="D276">
        <v>12</v>
      </c>
      <c r="E276">
        <v>0</v>
      </c>
    </row>
    <row r="277" spans="1:5" x14ac:dyDescent="0.4">
      <c r="A277" s="1">
        <v>42645</v>
      </c>
      <c r="B277">
        <v>19</v>
      </c>
      <c r="C277">
        <v>17</v>
      </c>
      <c r="D277">
        <v>2</v>
      </c>
      <c r="E277">
        <v>11</v>
      </c>
    </row>
    <row r="278" spans="1:5" x14ac:dyDescent="0.4">
      <c r="A278" s="1">
        <v>42646</v>
      </c>
      <c r="B278">
        <v>10</v>
      </c>
      <c r="C278">
        <v>1</v>
      </c>
      <c r="D278">
        <v>17</v>
      </c>
      <c r="E278">
        <v>0</v>
      </c>
    </row>
    <row r="279" spans="1:5" x14ac:dyDescent="0.4">
      <c r="A279" s="1">
        <v>42647</v>
      </c>
      <c r="B279">
        <v>9</v>
      </c>
      <c r="C279">
        <v>14</v>
      </c>
      <c r="D279">
        <v>0</v>
      </c>
      <c r="E279">
        <v>12</v>
      </c>
    </row>
    <row r="280" spans="1:5" x14ac:dyDescent="0.4">
      <c r="A280" s="1">
        <v>42648</v>
      </c>
      <c r="B280">
        <v>19</v>
      </c>
      <c r="C280">
        <v>5</v>
      </c>
      <c r="D280">
        <v>15</v>
      </c>
      <c r="E280">
        <v>10</v>
      </c>
    </row>
    <row r="281" spans="1:5" x14ac:dyDescent="0.4">
      <c r="A281" s="1">
        <v>42649</v>
      </c>
      <c r="B281">
        <v>4</v>
      </c>
      <c r="C281">
        <v>18</v>
      </c>
      <c r="D281">
        <v>7</v>
      </c>
      <c r="E281">
        <v>2</v>
      </c>
    </row>
    <row r="282" spans="1:5" x14ac:dyDescent="0.4">
      <c r="A282" s="1">
        <v>42650</v>
      </c>
      <c r="B282">
        <v>7</v>
      </c>
      <c r="C282">
        <v>1</v>
      </c>
      <c r="D282">
        <v>2</v>
      </c>
      <c r="E282">
        <v>5</v>
      </c>
    </row>
    <row r="283" spans="1:5" x14ac:dyDescent="0.4">
      <c r="A283" s="1">
        <v>42651</v>
      </c>
      <c r="B283">
        <v>7</v>
      </c>
      <c r="C283">
        <v>11</v>
      </c>
      <c r="D283">
        <v>14</v>
      </c>
      <c r="E283">
        <v>1</v>
      </c>
    </row>
    <row r="284" spans="1:5" x14ac:dyDescent="0.4">
      <c r="A284" s="1">
        <v>42652</v>
      </c>
      <c r="B284">
        <v>5</v>
      </c>
      <c r="C284">
        <v>9</v>
      </c>
      <c r="D284">
        <v>14</v>
      </c>
      <c r="E284">
        <v>11</v>
      </c>
    </row>
    <row r="285" spans="1:5" x14ac:dyDescent="0.4">
      <c r="A285" s="1">
        <v>42653</v>
      </c>
      <c r="B285">
        <v>10</v>
      </c>
      <c r="C285">
        <v>17</v>
      </c>
      <c r="D285">
        <v>19</v>
      </c>
      <c r="E285">
        <v>7</v>
      </c>
    </row>
    <row r="286" spans="1:5" x14ac:dyDescent="0.4">
      <c r="A286" s="1">
        <v>42654</v>
      </c>
      <c r="B286">
        <v>2</v>
      </c>
      <c r="C286">
        <v>8</v>
      </c>
      <c r="D286">
        <v>7</v>
      </c>
      <c r="E286">
        <v>19</v>
      </c>
    </row>
    <row r="287" spans="1:5" x14ac:dyDescent="0.4">
      <c r="A287" s="1">
        <v>42655</v>
      </c>
      <c r="B287">
        <v>10</v>
      </c>
      <c r="C287">
        <v>16</v>
      </c>
      <c r="D287">
        <v>11</v>
      </c>
      <c r="E287">
        <v>4</v>
      </c>
    </row>
    <row r="288" spans="1:5" x14ac:dyDescent="0.4">
      <c r="A288" s="1">
        <v>42656</v>
      </c>
      <c r="B288">
        <v>19</v>
      </c>
      <c r="C288">
        <v>16</v>
      </c>
      <c r="D288">
        <v>8</v>
      </c>
      <c r="E288">
        <v>15</v>
      </c>
    </row>
    <row r="289" spans="1:5" x14ac:dyDescent="0.4">
      <c r="A289" s="1">
        <v>42657</v>
      </c>
      <c r="B289">
        <v>11</v>
      </c>
      <c r="C289">
        <v>1</v>
      </c>
      <c r="D289">
        <v>5</v>
      </c>
      <c r="E289">
        <v>14</v>
      </c>
    </row>
    <row r="290" spans="1:5" x14ac:dyDescent="0.4">
      <c r="A290" s="1">
        <v>42658</v>
      </c>
      <c r="B290">
        <v>18</v>
      </c>
      <c r="C290">
        <v>11</v>
      </c>
      <c r="D290">
        <v>6</v>
      </c>
      <c r="E290">
        <v>19</v>
      </c>
    </row>
    <row r="291" spans="1:5" x14ac:dyDescent="0.4">
      <c r="A291" s="1">
        <v>42659</v>
      </c>
      <c r="B291">
        <v>13</v>
      </c>
      <c r="C291">
        <v>10</v>
      </c>
      <c r="D291">
        <v>14</v>
      </c>
      <c r="E291">
        <v>4</v>
      </c>
    </row>
    <row r="292" spans="1:5" x14ac:dyDescent="0.4">
      <c r="A292" s="1">
        <v>42660</v>
      </c>
      <c r="B292">
        <v>8</v>
      </c>
      <c r="C292">
        <v>15</v>
      </c>
      <c r="D292">
        <v>4</v>
      </c>
      <c r="E292">
        <v>14</v>
      </c>
    </row>
    <row r="293" spans="1:5" x14ac:dyDescent="0.4">
      <c r="A293" s="1">
        <v>42661</v>
      </c>
      <c r="B293">
        <v>13</v>
      </c>
      <c r="C293">
        <v>8</v>
      </c>
      <c r="D293">
        <v>1</v>
      </c>
      <c r="E293">
        <v>5</v>
      </c>
    </row>
    <row r="294" spans="1:5" x14ac:dyDescent="0.4">
      <c r="A294" s="1">
        <v>42662</v>
      </c>
      <c r="B294">
        <v>1</v>
      </c>
      <c r="C294">
        <v>19</v>
      </c>
      <c r="D294">
        <v>12</v>
      </c>
      <c r="E294">
        <v>7</v>
      </c>
    </row>
    <row r="295" spans="1:5" x14ac:dyDescent="0.4">
      <c r="A295" s="1">
        <v>42663</v>
      </c>
      <c r="B295">
        <v>15</v>
      </c>
      <c r="C295">
        <v>2</v>
      </c>
      <c r="D295">
        <v>3</v>
      </c>
      <c r="E295">
        <v>3</v>
      </c>
    </row>
    <row r="296" spans="1:5" x14ac:dyDescent="0.4">
      <c r="A296" s="1">
        <v>42664</v>
      </c>
      <c r="B296">
        <v>14</v>
      </c>
      <c r="C296">
        <v>13</v>
      </c>
      <c r="D296">
        <v>4</v>
      </c>
      <c r="E296">
        <v>18</v>
      </c>
    </row>
    <row r="297" spans="1:5" x14ac:dyDescent="0.4">
      <c r="A297" s="1">
        <v>42665</v>
      </c>
      <c r="B297">
        <v>9</v>
      </c>
      <c r="C297">
        <v>13</v>
      </c>
      <c r="D297">
        <v>10</v>
      </c>
      <c r="E297">
        <v>0</v>
      </c>
    </row>
    <row r="298" spans="1:5" x14ac:dyDescent="0.4">
      <c r="A298" s="1">
        <v>42666</v>
      </c>
      <c r="B298">
        <v>3</v>
      </c>
      <c r="C298">
        <v>14</v>
      </c>
      <c r="D298">
        <v>0</v>
      </c>
      <c r="E298">
        <v>10</v>
      </c>
    </row>
    <row r="299" spans="1:5" x14ac:dyDescent="0.4">
      <c r="A299" s="1">
        <v>42667</v>
      </c>
      <c r="B299">
        <v>4</v>
      </c>
      <c r="C299">
        <v>9</v>
      </c>
      <c r="D299">
        <v>15</v>
      </c>
      <c r="E299">
        <v>18</v>
      </c>
    </row>
    <row r="300" spans="1:5" x14ac:dyDescent="0.4">
      <c r="A300" s="1">
        <v>42668</v>
      </c>
      <c r="B300">
        <v>6</v>
      </c>
      <c r="C300">
        <v>19</v>
      </c>
      <c r="D300">
        <v>9</v>
      </c>
      <c r="E300">
        <v>8</v>
      </c>
    </row>
    <row r="301" spans="1:5" x14ac:dyDescent="0.4">
      <c r="A301" s="1">
        <v>42669</v>
      </c>
      <c r="B301">
        <v>15</v>
      </c>
      <c r="C301">
        <v>17</v>
      </c>
      <c r="D301">
        <v>4</v>
      </c>
      <c r="E301">
        <v>5</v>
      </c>
    </row>
    <row r="302" spans="1:5" x14ac:dyDescent="0.4">
      <c r="A302" s="1">
        <v>42670</v>
      </c>
      <c r="B302">
        <v>1</v>
      </c>
      <c r="C302">
        <v>3</v>
      </c>
      <c r="D302">
        <v>6</v>
      </c>
      <c r="E302">
        <v>15</v>
      </c>
    </row>
    <row r="303" spans="1:5" x14ac:dyDescent="0.4">
      <c r="A303" s="1">
        <v>42671</v>
      </c>
      <c r="B303">
        <v>10</v>
      </c>
      <c r="C303">
        <v>13</v>
      </c>
      <c r="D303">
        <v>1</v>
      </c>
      <c r="E303">
        <v>7</v>
      </c>
    </row>
    <row r="304" spans="1:5" x14ac:dyDescent="0.4">
      <c r="A304" s="1">
        <v>42672</v>
      </c>
      <c r="B304">
        <v>15</v>
      </c>
      <c r="C304">
        <v>5</v>
      </c>
      <c r="D304">
        <v>1</v>
      </c>
      <c r="E304">
        <v>13</v>
      </c>
    </row>
    <row r="305" spans="1:5" x14ac:dyDescent="0.4">
      <c r="A305" s="1">
        <v>42673</v>
      </c>
      <c r="B305">
        <v>16</v>
      </c>
      <c r="C305">
        <v>17</v>
      </c>
      <c r="D305">
        <v>1</v>
      </c>
      <c r="E305">
        <v>6</v>
      </c>
    </row>
    <row r="306" spans="1:5" x14ac:dyDescent="0.4">
      <c r="A306" s="1">
        <v>42674</v>
      </c>
      <c r="B306">
        <v>6</v>
      </c>
      <c r="C306">
        <v>14</v>
      </c>
      <c r="D306">
        <v>18</v>
      </c>
      <c r="E306">
        <v>11</v>
      </c>
    </row>
    <row r="307" spans="1:5" x14ac:dyDescent="0.4">
      <c r="A307" s="1">
        <v>42675</v>
      </c>
      <c r="B307">
        <v>19</v>
      </c>
      <c r="C307">
        <v>7</v>
      </c>
      <c r="D307">
        <v>0</v>
      </c>
      <c r="E307">
        <v>8</v>
      </c>
    </row>
    <row r="308" spans="1:5" x14ac:dyDescent="0.4">
      <c r="A308" s="1">
        <v>42676</v>
      </c>
      <c r="B308">
        <v>16</v>
      </c>
      <c r="C308">
        <v>1</v>
      </c>
      <c r="D308">
        <v>19</v>
      </c>
      <c r="E308">
        <v>7</v>
      </c>
    </row>
    <row r="309" spans="1:5" x14ac:dyDescent="0.4">
      <c r="A309" s="1">
        <v>42677</v>
      </c>
      <c r="B309">
        <v>13</v>
      </c>
      <c r="C309">
        <v>12</v>
      </c>
      <c r="D309">
        <v>0</v>
      </c>
      <c r="E309">
        <v>9</v>
      </c>
    </row>
    <row r="310" spans="1:5" x14ac:dyDescent="0.4">
      <c r="A310" s="1">
        <v>42678</v>
      </c>
      <c r="B310">
        <v>18</v>
      </c>
      <c r="C310">
        <v>2</v>
      </c>
      <c r="D310">
        <v>6</v>
      </c>
      <c r="E310">
        <v>5</v>
      </c>
    </row>
    <row r="311" spans="1:5" x14ac:dyDescent="0.4">
      <c r="A311" s="1">
        <v>42679</v>
      </c>
      <c r="B311">
        <v>17</v>
      </c>
      <c r="C311">
        <v>13</v>
      </c>
      <c r="D311">
        <v>4</v>
      </c>
      <c r="E311">
        <v>19</v>
      </c>
    </row>
    <row r="312" spans="1:5" x14ac:dyDescent="0.4">
      <c r="A312" s="1">
        <v>42680</v>
      </c>
      <c r="B312">
        <v>8</v>
      </c>
      <c r="C312">
        <v>6</v>
      </c>
      <c r="D312">
        <v>9</v>
      </c>
      <c r="E312">
        <v>19</v>
      </c>
    </row>
    <row r="313" spans="1:5" x14ac:dyDescent="0.4">
      <c r="A313" s="1">
        <v>42681</v>
      </c>
      <c r="B313">
        <v>2</v>
      </c>
      <c r="C313">
        <v>1</v>
      </c>
      <c r="D313">
        <v>13</v>
      </c>
      <c r="E313">
        <v>4</v>
      </c>
    </row>
    <row r="314" spans="1:5" x14ac:dyDescent="0.4">
      <c r="A314" s="1">
        <v>42682</v>
      </c>
      <c r="B314">
        <v>19</v>
      </c>
      <c r="C314">
        <v>12</v>
      </c>
      <c r="D314">
        <v>2</v>
      </c>
      <c r="E314">
        <v>15</v>
      </c>
    </row>
    <row r="315" spans="1:5" x14ac:dyDescent="0.4">
      <c r="A315" s="1">
        <v>42683</v>
      </c>
      <c r="B315">
        <v>15</v>
      </c>
      <c r="C315">
        <v>10</v>
      </c>
      <c r="D315">
        <v>18</v>
      </c>
      <c r="E315">
        <v>9</v>
      </c>
    </row>
    <row r="316" spans="1:5" x14ac:dyDescent="0.4">
      <c r="A316" s="1">
        <v>42684</v>
      </c>
      <c r="B316">
        <v>13</v>
      </c>
      <c r="C316">
        <v>11</v>
      </c>
      <c r="D316">
        <v>8</v>
      </c>
      <c r="E316">
        <v>17</v>
      </c>
    </row>
    <row r="317" spans="1:5" x14ac:dyDescent="0.4">
      <c r="A317" s="1">
        <v>42685</v>
      </c>
      <c r="B317">
        <v>8</v>
      </c>
      <c r="C317">
        <v>16</v>
      </c>
      <c r="D317">
        <v>3</v>
      </c>
      <c r="E317">
        <v>13</v>
      </c>
    </row>
    <row r="318" spans="1:5" x14ac:dyDescent="0.4">
      <c r="A318" s="1">
        <v>42686</v>
      </c>
      <c r="B318">
        <v>0</v>
      </c>
      <c r="C318">
        <v>18</v>
      </c>
      <c r="D318">
        <v>1</v>
      </c>
      <c r="E318">
        <v>0</v>
      </c>
    </row>
    <row r="319" spans="1:5" x14ac:dyDescent="0.4">
      <c r="A319" s="1">
        <v>42687</v>
      </c>
      <c r="B319">
        <v>3</v>
      </c>
      <c r="C319">
        <v>4</v>
      </c>
      <c r="D319">
        <v>17</v>
      </c>
      <c r="E319">
        <v>0</v>
      </c>
    </row>
    <row r="320" spans="1:5" x14ac:dyDescent="0.4">
      <c r="A320" s="1">
        <v>42688</v>
      </c>
      <c r="B320">
        <v>3</v>
      </c>
      <c r="C320">
        <v>2</v>
      </c>
      <c r="D320">
        <v>4</v>
      </c>
      <c r="E320">
        <v>10</v>
      </c>
    </row>
    <row r="321" spans="1:5" x14ac:dyDescent="0.4">
      <c r="A321" s="1">
        <v>42689</v>
      </c>
      <c r="B321">
        <v>10</v>
      </c>
      <c r="C321">
        <v>14</v>
      </c>
      <c r="D321">
        <v>10</v>
      </c>
      <c r="E321">
        <v>6</v>
      </c>
    </row>
    <row r="322" spans="1:5" x14ac:dyDescent="0.4">
      <c r="A322" s="1">
        <v>42690</v>
      </c>
      <c r="B322">
        <v>8</v>
      </c>
      <c r="C322">
        <v>16</v>
      </c>
      <c r="D322">
        <v>10</v>
      </c>
      <c r="E322">
        <v>0</v>
      </c>
    </row>
    <row r="323" spans="1:5" x14ac:dyDescent="0.4">
      <c r="A323" s="1">
        <v>42691</v>
      </c>
      <c r="B323">
        <v>2</v>
      </c>
      <c r="C323">
        <v>6</v>
      </c>
      <c r="D323">
        <v>3</v>
      </c>
      <c r="E323">
        <v>16</v>
      </c>
    </row>
    <row r="324" spans="1:5" x14ac:dyDescent="0.4">
      <c r="A324" s="1">
        <v>42692</v>
      </c>
      <c r="B324">
        <v>5</v>
      </c>
      <c r="C324">
        <v>16</v>
      </c>
      <c r="D324">
        <v>15</v>
      </c>
      <c r="E324">
        <v>2</v>
      </c>
    </row>
    <row r="325" spans="1:5" x14ac:dyDescent="0.4">
      <c r="A325" s="1">
        <v>42693</v>
      </c>
      <c r="B325">
        <v>12</v>
      </c>
      <c r="C325">
        <v>15</v>
      </c>
      <c r="D325">
        <v>19</v>
      </c>
      <c r="E325">
        <v>16</v>
      </c>
    </row>
    <row r="326" spans="1:5" x14ac:dyDescent="0.4">
      <c r="A326" s="1">
        <v>42694</v>
      </c>
      <c r="B326">
        <v>16</v>
      </c>
      <c r="C326">
        <v>7</v>
      </c>
      <c r="D326">
        <v>1</v>
      </c>
      <c r="E326">
        <v>16</v>
      </c>
    </row>
    <row r="327" spans="1:5" x14ac:dyDescent="0.4">
      <c r="A327" s="1">
        <v>42695</v>
      </c>
      <c r="B327">
        <v>9</v>
      </c>
      <c r="C327">
        <v>11</v>
      </c>
      <c r="D327">
        <v>1</v>
      </c>
      <c r="E327">
        <v>12</v>
      </c>
    </row>
    <row r="328" spans="1:5" x14ac:dyDescent="0.4">
      <c r="A328" s="1">
        <v>42696</v>
      </c>
      <c r="B328">
        <v>3</v>
      </c>
      <c r="C328">
        <v>7</v>
      </c>
      <c r="D328">
        <v>16</v>
      </c>
      <c r="E328">
        <v>2</v>
      </c>
    </row>
    <row r="329" spans="1:5" x14ac:dyDescent="0.4">
      <c r="A329" s="1">
        <v>42697</v>
      </c>
      <c r="B329">
        <v>17</v>
      </c>
      <c r="C329">
        <v>10</v>
      </c>
      <c r="D329">
        <v>15</v>
      </c>
      <c r="E329">
        <v>9</v>
      </c>
    </row>
    <row r="330" spans="1:5" x14ac:dyDescent="0.4">
      <c r="A330" s="1">
        <v>42698</v>
      </c>
      <c r="B330">
        <v>7</v>
      </c>
      <c r="C330">
        <v>9</v>
      </c>
      <c r="D330">
        <v>6</v>
      </c>
      <c r="E330">
        <v>0</v>
      </c>
    </row>
    <row r="331" spans="1:5" x14ac:dyDescent="0.4">
      <c r="A331" s="1">
        <v>42699</v>
      </c>
      <c r="B331">
        <v>6</v>
      </c>
      <c r="C331">
        <v>11</v>
      </c>
      <c r="D331">
        <v>12</v>
      </c>
      <c r="E331">
        <v>14</v>
      </c>
    </row>
    <row r="332" spans="1:5" x14ac:dyDescent="0.4">
      <c r="A332" s="1">
        <v>42700</v>
      </c>
      <c r="B332">
        <v>15</v>
      </c>
      <c r="C332">
        <v>15</v>
      </c>
      <c r="D332">
        <v>3</v>
      </c>
      <c r="E332">
        <v>13</v>
      </c>
    </row>
    <row r="333" spans="1:5" x14ac:dyDescent="0.4">
      <c r="A333" s="1">
        <v>42701</v>
      </c>
      <c r="B333">
        <v>4</v>
      </c>
      <c r="C333">
        <v>6</v>
      </c>
      <c r="D333">
        <v>19</v>
      </c>
      <c r="E333">
        <v>8</v>
      </c>
    </row>
    <row r="334" spans="1:5" x14ac:dyDescent="0.4">
      <c r="A334" s="1">
        <v>42702</v>
      </c>
      <c r="B334">
        <v>8</v>
      </c>
      <c r="C334">
        <v>5</v>
      </c>
      <c r="D334">
        <v>6</v>
      </c>
      <c r="E334">
        <v>9</v>
      </c>
    </row>
    <row r="335" spans="1:5" x14ac:dyDescent="0.4">
      <c r="A335" s="1">
        <v>42703</v>
      </c>
      <c r="B335">
        <v>4</v>
      </c>
      <c r="C335">
        <v>17</v>
      </c>
      <c r="D335">
        <v>1</v>
      </c>
      <c r="E335">
        <v>16</v>
      </c>
    </row>
    <row r="336" spans="1:5" x14ac:dyDescent="0.4">
      <c r="A336" s="1">
        <v>42704</v>
      </c>
      <c r="B336">
        <v>17</v>
      </c>
      <c r="C336">
        <v>5</v>
      </c>
      <c r="D336">
        <v>18</v>
      </c>
      <c r="E336">
        <v>7</v>
      </c>
    </row>
    <row r="337" spans="1:5" x14ac:dyDescent="0.4">
      <c r="A337" s="1">
        <v>42705</v>
      </c>
      <c r="B337">
        <v>12</v>
      </c>
      <c r="C337">
        <v>3</v>
      </c>
      <c r="D337">
        <v>17</v>
      </c>
      <c r="E337">
        <v>9</v>
      </c>
    </row>
    <row r="338" spans="1:5" x14ac:dyDescent="0.4">
      <c r="A338" s="1">
        <v>42706</v>
      </c>
      <c r="B338">
        <v>7</v>
      </c>
      <c r="C338">
        <v>3</v>
      </c>
      <c r="D338">
        <v>12</v>
      </c>
      <c r="E338">
        <v>18</v>
      </c>
    </row>
    <row r="339" spans="1:5" x14ac:dyDescent="0.4">
      <c r="A339" s="1">
        <v>42707</v>
      </c>
      <c r="B339">
        <v>7</v>
      </c>
      <c r="C339">
        <v>4</v>
      </c>
      <c r="D339">
        <v>13</v>
      </c>
      <c r="E339">
        <v>11</v>
      </c>
    </row>
    <row r="340" spans="1:5" x14ac:dyDescent="0.4">
      <c r="A340" s="1">
        <v>42708</v>
      </c>
      <c r="B340">
        <v>17</v>
      </c>
      <c r="C340">
        <v>3</v>
      </c>
      <c r="D340">
        <v>19</v>
      </c>
      <c r="E340">
        <v>5</v>
      </c>
    </row>
    <row r="341" spans="1:5" x14ac:dyDescent="0.4">
      <c r="A341" s="1">
        <v>42709</v>
      </c>
      <c r="B341">
        <v>11</v>
      </c>
      <c r="C341">
        <v>10</v>
      </c>
      <c r="D341">
        <v>4</v>
      </c>
      <c r="E341">
        <v>3</v>
      </c>
    </row>
    <row r="342" spans="1:5" x14ac:dyDescent="0.4">
      <c r="A342" s="1">
        <v>42710</v>
      </c>
      <c r="B342">
        <v>18</v>
      </c>
      <c r="C342">
        <v>19</v>
      </c>
      <c r="D342">
        <v>1</v>
      </c>
      <c r="E342">
        <v>8</v>
      </c>
    </row>
    <row r="343" spans="1:5" x14ac:dyDescent="0.4">
      <c r="A343" s="1">
        <v>42711</v>
      </c>
      <c r="B343">
        <v>10</v>
      </c>
      <c r="C343">
        <v>7</v>
      </c>
      <c r="D343">
        <v>18</v>
      </c>
      <c r="E343">
        <v>17</v>
      </c>
    </row>
    <row r="344" spans="1:5" x14ac:dyDescent="0.4">
      <c r="A344" s="1">
        <v>42712</v>
      </c>
      <c r="B344">
        <v>6</v>
      </c>
      <c r="C344">
        <v>5</v>
      </c>
      <c r="D344">
        <v>16</v>
      </c>
      <c r="E344">
        <v>1</v>
      </c>
    </row>
    <row r="345" spans="1:5" x14ac:dyDescent="0.4">
      <c r="A345" s="1">
        <v>42713</v>
      </c>
      <c r="B345">
        <v>17</v>
      </c>
      <c r="C345">
        <v>13</v>
      </c>
      <c r="D345">
        <v>3</v>
      </c>
      <c r="E345">
        <v>12</v>
      </c>
    </row>
    <row r="346" spans="1:5" x14ac:dyDescent="0.4">
      <c r="A346" s="1">
        <v>42714</v>
      </c>
      <c r="B346">
        <v>5</v>
      </c>
      <c r="C346">
        <v>4</v>
      </c>
      <c r="D346">
        <v>14</v>
      </c>
      <c r="E346">
        <v>11</v>
      </c>
    </row>
    <row r="347" spans="1:5" x14ac:dyDescent="0.4">
      <c r="A347" s="1">
        <v>42715</v>
      </c>
      <c r="B347">
        <v>5</v>
      </c>
      <c r="C347">
        <v>13</v>
      </c>
      <c r="D347">
        <v>13</v>
      </c>
      <c r="E347">
        <v>1</v>
      </c>
    </row>
    <row r="348" spans="1:5" x14ac:dyDescent="0.4">
      <c r="A348" s="1">
        <v>42716</v>
      </c>
      <c r="B348">
        <v>3</v>
      </c>
      <c r="C348">
        <v>6</v>
      </c>
      <c r="D348">
        <v>12</v>
      </c>
      <c r="E348">
        <v>17</v>
      </c>
    </row>
    <row r="349" spans="1:5" x14ac:dyDescent="0.4">
      <c r="A349" s="1">
        <v>42717</v>
      </c>
      <c r="B349">
        <v>6</v>
      </c>
      <c r="C349">
        <v>0</v>
      </c>
      <c r="D349">
        <v>0</v>
      </c>
      <c r="E349">
        <v>7</v>
      </c>
    </row>
    <row r="350" spans="1:5" x14ac:dyDescent="0.4">
      <c r="A350" s="1">
        <v>42718</v>
      </c>
      <c r="B350">
        <v>0</v>
      </c>
      <c r="C350">
        <v>18</v>
      </c>
      <c r="D350">
        <v>19</v>
      </c>
      <c r="E350">
        <v>3</v>
      </c>
    </row>
    <row r="351" spans="1:5" x14ac:dyDescent="0.4">
      <c r="A351" s="1">
        <v>42719</v>
      </c>
      <c r="B351">
        <v>14</v>
      </c>
      <c r="C351">
        <v>5</v>
      </c>
      <c r="D351">
        <v>18</v>
      </c>
      <c r="E351">
        <v>15</v>
      </c>
    </row>
    <row r="352" spans="1:5" x14ac:dyDescent="0.4">
      <c r="A352" s="1">
        <v>42720</v>
      </c>
      <c r="B352">
        <v>16</v>
      </c>
      <c r="C352">
        <v>13</v>
      </c>
      <c r="D352">
        <v>4</v>
      </c>
      <c r="E352">
        <v>12</v>
      </c>
    </row>
    <row r="353" spans="1:5" x14ac:dyDescent="0.4">
      <c r="A353" s="1">
        <v>42721</v>
      </c>
      <c r="B353">
        <v>5</v>
      </c>
      <c r="C353">
        <v>19</v>
      </c>
      <c r="D353">
        <v>9</v>
      </c>
      <c r="E353">
        <v>18</v>
      </c>
    </row>
    <row r="354" spans="1:5" x14ac:dyDescent="0.4">
      <c r="A354" s="1">
        <v>42722</v>
      </c>
      <c r="B354">
        <v>14</v>
      </c>
      <c r="C354">
        <v>7</v>
      </c>
      <c r="D354">
        <v>17</v>
      </c>
      <c r="E354">
        <v>3</v>
      </c>
    </row>
    <row r="355" spans="1:5" x14ac:dyDescent="0.4">
      <c r="A355" s="1">
        <v>42723</v>
      </c>
      <c r="B355">
        <v>8</v>
      </c>
      <c r="C355">
        <v>7</v>
      </c>
      <c r="D355">
        <v>9</v>
      </c>
      <c r="E355">
        <v>2</v>
      </c>
    </row>
    <row r="356" spans="1:5" x14ac:dyDescent="0.4">
      <c r="A356" s="1">
        <v>42724</v>
      </c>
      <c r="B356">
        <v>16</v>
      </c>
      <c r="C356">
        <v>9</v>
      </c>
      <c r="D356">
        <v>19</v>
      </c>
      <c r="E356">
        <v>9</v>
      </c>
    </row>
    <row r="357" spans="1:5" x14ac:dyDescent="0.4">
      <c r="A357" s="1">
        <v>42725</v>
      </c>
      <c r="B357">
        <v>14</v>
      </c>
      <c r="C357">
        <v>14</v>
      </c>
      <c r="D357">
        <v>4</v>
      </c>
      <c r="E357">
        <v>11</v>
      </c>
    </row>
    <row r="358" spans="1:5" x14ac:dyDescent="0.4">
      <c r="A358" s="1">
        <v>42726</v>
      </c>
      <c r="B358">
        <v>8</v>
      </c>
      <c r="C358">
        <v>5</v>
      </c>
      <c r="D358">
        <v>17</v>
      </c>
      <c r="E358">
        <v>15</v>
      </c>
    </row>
    <row r="359" spans="1:5" x14ac:dyDescent="0.4">
      <c r="A359" s="1">
        <v>42727</v>
      </c>
      <c r="B359">
        <v>1</v>
      </c>
      <c r="C359">
        <v>17</v>
      </c>
      <c r="D359">
        <v>2</v>
      </c>
      <c r="E359">
        <v>14</v>
      </c>
    </row>
    <row r="360" spans="1:5" x14ac:dyDescent="0.4">
      <c r="A360" s="1">
        <v>42728</v>
      </c>
      <c r="B360">
        <v>8</v>
      </c>
      <c r="C360">
        <v>15</v>
      </c>
      <c r="D360">
        <v>7</v>
      </c>
      <c r="E360">
        <v>14</v>
      </c>
    </row>
    <row r="361" spans="1:5" x14ac:dyDescent="0.4">
      <c r="A361" s="1">
        <v>42729</v>
      </c>
      <c r="B361">
        <v>6</v>
      </c>
      <c r="C361">
        <v>9</v>
      </c>
      <c r="D361">
        <v>8</v>
      </c>
      <c r="E361">
        <v>17</v>
      </c>
    </row>
    <row r="362" spans="1:5" x14ac:dyDescent="0.4">
      <c r="A362" s="1">
        <v>42730</v>
      </c>
      <c r="B362">
        <v>14</v>
      </c>
      <c r="C362">
        <v>2</v>
      </c>
      <c r="D362">
        <v>12</v>
      </c>
      <c r="E362">
        <v>16</v>
      </c>
    </row>
    <row r="363" spans="1:5" x14ac:dyDescent="0.4">
      <c r="A363" s="1">
        <v>42731</v>
      </c>
      <c r="B363">
        <v>6</v>
      </c>
      <c r="C363">
        <v>3</v>
      </c>
      <c r="D363">
        <v>18</v>
      </c>
      <c r="E363">
        <v>1</v>
      </c>
    </row>
    <row r="364" spans="1:5" x14ac:dyDescent="0.4">
      <c r="A364" s="1">
        <v>42732</v>
      </c>
      <c r="B364">
        <v>15</v>
      </c>
      <c r="C364">
        <v>4</v>
      </c>
      <c r="D364">
        <v>18</v>
      </c>
      <c r="E364">
        <v>12</v>
      </c>
    </row>
    <row r="365" spans="1:5" x14ac:dyDescent="0.4">
      <c r="A365" s="1">
        <v>42733</v>
      </c>
      <c r="B365">
        <v>3</v>
      </c>
      <c r="C365">
        <v>19</v>
      </c>
      <c r="D365">
        <v>17</v>
      </c>
      <c r="E365">
        <v>17</v>
      </c>
    </row>
    <row r="366" spans="1:5" x14ac:dyDescent="0.4">
      <c r="A366" s="1">
        <v>42734</v>
      </c>
      <c r="B366">
        <v>11</v>
      </c>
      <c r="C366">
        <v>0</v>
      </c>
      <c r="D366">
        <v>3</v>
      </c>
      <c r="E366">
        <v>8</v>
      </c>
    </row>
    <row r="367" spans="1:5" x14ac:dyDescent="0.4">
      <c r="A367" s="1">
        <v>42735</v>
      </c>
      <c r="B367">
        <v>19</v>
      </c>
      <c r="C367">
        <v>6</v>
      </c>
      <c r="D367">
        <v>17</v>
      </c>
      <c r="E367">
        <v>17</v>
      </c>
    </row>
    <row r="368" spans="1:5" x14ac:dyDescent="0.4">
      <c r="A368" s="1">
        <v>42736</v>
      </c>
      <c r="B368">
        <v>4</v>
      </c>
      <c r="C368">
        <v>14</v>
      </c>
      <c r="D368">
        <v>13</v>
      </c>
      <c r="E368">
        <v>15</v>
      </c>
    </row>
    <row r="369" spans="1:5" x14ac:dyDescent="0.4">
      <c r="A369" s="1">
        <v>42737</v>
      </c>
      <c r="B369">
        <v>18</v>
      </c>
      <c r="C369">
        <v>5</v>
      </c>
      <c r="D369">
        <v>1</v>
      </c>
      <c r="E369">
        <v>18</v>
      </c>
    </row>
    <row r="370" spans="1:5" x14ac:dyDescent="0.4">
      <c r="A370" s="1">
        <v>42738</v>
      </c>
      <c r="B370">
        <v>2</v>
      </c>
      <c r="C370">
        <v>6</v>
      </c>
      <c r="D370">
        <v>6</v>
      </c>
      <c r="E370">
        <v>17</v>
      </c>
    </row>
    <row r="371" spans="1:5" x14ac:dyDescent="0.4">
      <c r="A371" s="1">
        <v>42739</v>
      </c>
      <c r="B371">
        <v>19</v>
      </c>
      <c r="C371">
        <v>2</v>
      </c>
      <c r="D371">
        <v>10</v>
      </c>
      <c r="E371">
        <v>5</v>
      </c>
    </row>
    <row r="372" spans="1:5" x14ac:dyDescent="0.4">
      <c r="A372" s="1">
        <v>42740</v>
      </c>
      <c r="B372">
        <v>12</v>
      </c>
      <c r="C372">
        <v>6</v>
      </c>
      <c r="D372">
        <v>12</v>
      </c>
      <c r="E372">
        <v>12</v>
      </c>
    </row>
    <row r="373" spans="1:5" x14ac:dyDescent="0.4">
      <c r="A373" s="1">
        <v>42741</v>
      </c>
      <c r="B373">
        <v>11</v>
      </c>
      <c r="C373">
        <v>9</v>
      </c>
      <c r="D373">
        <v>14</v>
      </c>
      <c r="E373">
        <v>10</v>
      </c>
    </row>
    <row r="374" spans="1:5" x14ac:dyDescent="0.4">
      <c r="A374" s="1">
        <v>42742</v>
      </c>
      <c r="B374">
        <v>18</v>
      </c>
      <c r="C374">
        <v>18</v>
      </c>
      <c r="D374">
        <v>5</v>
      </c>
      <c r="E374">
        <v>15</v>
      </c>
    </row>
    <row r="375" spans="1:5" x14ac:dyDescent="0.4">
      <c r="A375" s="1">
        <v>42743</v>
      </c>
      <c r="B375">
        <v>11</v>
      </c>
      <c r="C375">
        <v>0</v>
      </c>
      <c r="D375">
        <v>5</v>
      </c>
      <c r="E375">
        <v>9</v>
      </c>
    </row>
    <row r="376" spans="1:5" x14ac:dyDescent="0.4">
      <c r="A376" s="1">
        <v>42744</v>
      </c>
      <c r="B376">
        <v>4</v>
      </c>
      <c r="C376">
        <v>15</v>
      </c>
      <c r="D376">
        <v>8</v>
      </c>
      <c r="E376">
        <v>6</v>
      </c>
    </row>
    <row r="377" spans="1:5" x14ac:dyDescent="0.4">
      <c r="A377" s="1">
        <v>42745</v>
      </c>
      <c r="B377">
        <v>17</v>
      </c>
      <c r="C377">
        <v>1</v>
      </c>
      <c r="D377">
        <v>7</v>
      </c>
      <c r="E377">
        <v>14</v>
      </c>
    </row>
    <row r="378" spans="1:5" x14ac:dyDescent="0.4">
      <c r="A378" s="1">
        <v>42746</v>
      </c>
      <c r="B378">
        <v>1</v>
      </c>
      <c r="C378">
        <v>12</v>
      </c>
      <c r="D378">
        <v>12</v>
      </c>
      <c r="E378">
        <v>10</v>
      </c>
    </row>
    <row r="379" spans="1:5" x14ac:dyDescent="0.4">
      <c r="A379" s="1">
        <v>42747</v>
      </c>
      <c r="B379">
        <v>8</v>
      </c>
      <c r="C379">
        <v>13</v>
      </c>
      <c r="D379">
        <v>13</v>
      </c>
      <c r="E379">
        <v>11</v>
      </c>
    </row>
    <row r="380" spans="1:5" x14ac:dyDescent="0.4">
      <c r="A380" s="1">
        <v>42748</v>
      </c>
      <c r="B380">
        <v>15</v>
      </c>
      <c r="C380">
        <v>15</v>
      </c>
      <c r="D380">
        <v>7</v>
      </c>
      <c r="E380">
        <v>9</v>
      </c>
    </row>
    <row r="381" spans="1:5" x14ac:dyDescent="0.4">
      <c r="A381" s="1">
        <v>42749</v>
      </c>
      <c r="B381">
        <v>4</v>
      </c>
      <c r="C381">
        <v>8</v>
      </c>
      <c r="D381">
        <v>9</v>
      </c>
      <c r="E381">
        <v>7</v>
      </c>
    </row>
    <row r="382" spans="1:5" x14ac:dyDescent="0.4">
      <c r="A382" s="1">
        <v>42750</v>
      </c>
      <c r="B382">
        <v>7</v>
      </c>
      <c r="C382">
        <v>15</v>
      </c>
      <c r="D382">
        <v>6</v>
      </c>
      <c r="E382">
        <v>14</v>
      </c>
    </row>
    <row r="383" spans="1:5" x14ac:dyDescent="0.4">
      <c r="A383" s="1">
        <v>42751</v>
      </c>
      <c r="B383">
        <v>7</v>
      </c>
      <c r="C383">
        <v>3</v>
      </c>
      <c r="D383">
        <v>15</v>
      </c>
      <c r="E383">
        <v>11</v>
      </c>
    </row>
    <row r="384" spans="1:5" x14ac:dyDescent="0.4">
      <c r="A384" s="1">
        <v>42752</v>
      </c>
      <c r="B384">
        <v>10</v>
      </c>
      <c r="C384">
        <v>18</v>
      </c>
      <c r="D384">
        <v>18</v>
      </c>
      <c r="E384">
        <v>13</v>
      </c>
    </row>
    <row r="385" spans="1:5" x14ac:dyDescent="0.4">
      <c r="A385" s="1">
        <v>42753</v>
      </c>
      <c r="B385">
        <v>5</v>
      </c>
      <c r="C385">
        <v>6</v>
      </c>
      <c r="D385">
        <v>11</v>
      </c>
      <c r="E385">
        <v>19</v>
      </c>
    </row>
    <row r="386" spans="1:5" x14ac:dyDescent="0.4">
      <c r="A386" s="1">
        <v>42754</v>
      </c>
      <c r="B386">
        <v>11</v>
      </c>
      <c r="C386">
        <v>1</v>
      </c>
      <c r="D386">
        <v>2</v>
      </c>
      <c r="E386">
        <v>6</v>
      </c>
    </row>
    <row r="387" spans="1:5" x14ac:dyDescent="0.4">
      <c r="A387" s="1">
        <v>42755</v>
      </c>
      <c r="B387">
        <v>4</v>
      </c>
      <c r="C387">
        <v>5</v>
      </c>
      <c r="D387">
        <v>5</v>
      </c>
      <c r="E387">
        <v>17</v>
      </c>
    </row>
    <row r="388" spans="1:5" x14ac:dyDescent="0.4">
      <c r="A388" s="1">
        <v>42756</v>
      </c>
      <c r="B388">
        <v>1</v>
      </c>
      <c r="C388">
        <v>12</v>
      </c>
      <c r="D388">
        <v>17</v>
      </c>
      <c r="E388">
        <v>17</v>
      </c>
    </row>
    <row r="389" spans="1:5" x14ac:dyDescent="0.4">
      <c r="A389" s="1">
        <v>42757</v>
      </c>
      <c r="B389">
        <v>17</v>
      </c>
      <c r="C389">
        <v>3</v>
      </c>
      <c r="D389">
        <v>13</v>
      </c>
      <c r="E389">
        <v>10</v>
      </c>
    </row>
    <row r="390" spans="1:5" x14ac:dyDescent="0.4">
      <c r="A390" s="1">
        <v>42758</v>
      </c>
      <c r="B390">
        <v>2</v>
      </c>
      <c r="C390">
        <v>17</v>
      </c>
      <c r="D390">
        <v>6</v>
      </c>
      <c r="E390">
        <v>12</v>
      </c>
    </row>
    <row r="391" spans="1:5" x14ac:dyDescent="0.4">
      <c r="A391" s="1">
        <v>42759</v>
      </c>
      <c r="B391">
        <v>13</v>
      </c>
      <c r="C391">
        <v>3</v>
      </c>
      <c r="D391">
        <v>7</v>
      </c>
      <c r="E391">
        <v>11</v>
      </c>
    </row>
    <row r="392" spans="1:5" x14ac:dyDescent="0.4">
      <c r="A392" s="1">
        <v>42760</v>
      </c>
      <c r="B392">
        <v>18</v>
      </c>
      <c r="C392">
        <v>8</v>
      </c>
      <c r="D392">
        <v>6</v>
      </c>
      <c r="E392">
        <v>6</v>
      </c>
    </row>
    <row r="393" spans="1:5" x14ac:dyDescent="0.4">
      <c r="A393" s="1">
        <v>42761</v>
      </c>
      <c r="B393">
        <v>4</v>
      </c>
      <c r="C393">
        <v>18</v>
      </c>
      <c r="D393">
        <v>19</v>
      </c>
      <c r="E393">
        <v>14</v>
      </c>
    </row>
    <row r="394" spans="1:5" x14ac:dyDescent="0.4">
      <c r="A394" s="1">
        <v>42762</v>
      </c>
      <c r="B394">
        <v>18</v>
      </c>
      <c r="C394">
        <v>9</v>
      </c>
      <c r="D394">
        <v>12</v>
      </c>
      <c r="E394">
        <v>12</v>
      </c>
    </row>
    <row r="395" spans="1:5" x14ac:dyDescent="0.4">
      <c r="A395" s="1">
        <v>42763</v>
      </c>
      <c r="B395">
        <v>16</v>
      </c>
      <c r="C395">
        <v>19</v>
      </c>
      <c r="D395">
        <v>5</v>
      </c>
      <c r="E395">
        <v>12</v>
      </c>
    </row>
    <row r="396" spans="1:5" x14ac:dyDescent="0.4">
      <c r="A396" s="1">
        <v>42764</v>
      </c>
      <c r="B396">
        <v>8</v>
      </c>
      <c r="C396">
        <v>8</v>
      </c>
      <c r="D396">
        <v>14</v>
      </c>
      <c r="E396">
        <v>3</v>
      </c>
    </row>
    <row r="397" spans="1:5" x14ac:dyDescent="0.4">
      <c r="A397" s="1">
        <v>42765</v>
      </c>
      <c r="B397">
        <v>9</v>
      </c>
      <c r="C397">
        <v>15</v>
      </c>
      <c r="D397">
        <v>17</v>
      </c>
      <c r="E397">
        <v>12</v>
      </c>
    </row>
    <row r="398" spans="1:5" x14ac:dyDescent="0.4">
      <c r="A398" s="1">
        <v>42766</v>
      </c>
      <c r="B398">
        <v>15</v>
      </c>
      <c r="C398">
        <v>14</v>
      </c>
      <c r="D398">
        <v>1</v>
      </c>
      <c r="E398">
        <v>17</v>
      </c>
    </row>
    <row r="399" spans="1:5" x14ac:dyDescent="0.4">
      <c r="A399" s="1">
        <v>42767</v>
      </c>
      <c r="B399">
        <v>16</v>
      </c>
      <c r="C399">
        <v>4</v>
      </c>
      <c r="D399">
        <v>11</v>
      </c>
      <c r="E399">
        <v>11</v>
      </c>
    </row>
    <row r="400" spans="1:5" x14ac:dyDescent="0.4">
      <c r="A400" s="1">
        <v>42768</v>
      </c>
      <c r="B400">
        <v>7</v>
      </c>
      <c r="C400">
        <v>3</v>
      </c>
      <c r="D400">
        <v>18</v>
      </c>
      <c r="E400">
        <v>7</v>
      </c>
    </row>
    <row r="401" spans="1:5" x14ac:dyDescent="0.4">
      <c r="A401" s="1">
        <v>42769</v>
      </c>
      <c r="B401">
        <v>3</v>
      </c>
      <c r="C401">
        <v>13</v>
      </c>
      <c r="D401">
        <v>2</v>
      </c>
      <c r="E401">
        <v>19</v>
      </c>
    </row>
    <row r="402" spans="1:5" x14ac:dyDescent="0.4">
      <c r="A402" s="1">
        <v>42770</v>
      </c>
      <c r="B402">
        <v>6</v>
      </c>
      <c r="C402">
        <v>19</v>
      </c>
      <c r="D402">
        <v>16</v>
      </c>
      <c r="E402">
        <v>2</v>
      </c>
    </row>
    <row r="403" spans="1:5" x14ac:dyDescent="0.4">
      <c r="A403" s="1">
        <v>42771</v>
      </c>
      <c r="B403">
        <v>8</v>
      </c>
      <c r="C403">
        <v>15</v>
      </c>
      <c r="D403">
        <v>4</v>
      </c>
      <c r="E403">
        <v>3</v>
      </c>
    </row>
    <row r="404" spans="1:5" x14ac:dyDescent="0.4">
      <c r="A404" s="1">
        <v>42772</v>
      </c>
      <c r="B404">
        <v>3</v>
      </c>
      <c r="C404">
        <v>11</v>
      </c>
      <c r="D404">
        <v>19</v>
      </c>
      <c r="E404">
        <v>11</v>
      </c>
    </row>
    <row r="405" spans="1:5" x14ac:dyDescent="0.4">
      <c r="A405" s="1">
        <v>42773</v>
      </c>
      <c r="B405">
        <v>12</v>
      </c>
      <c r="C405">
        <v>7</v>
      </c>
      <c r="D405">
        <v>6</v>
      </c>
      <c r="E405">
        <v>9</v>
      </c>
    </row>
    <row r="406" spans="1:5" x14ac:dyDescent="0.4">
      <c r="A406" s="1">
        <v>42774</v>
      </c>
      <c r="B406">
        <v>1</v>
      </c>
      <c r="C406">
        <v>5</v>
      </c>
      <c r="D406">
        <v>6</v>
      </c>
      <c r="E406">
        <v>12</v>
      </c>
    </row>
    <row r="407" spans="1:5" x14ac:dyDescent="0.4">
      <c r="A407" s="1">
        <v>42775</v>
      </c>
      <c r="B407">
        <v>4</v>
      </c>
      <c r="C407">
        <v>15</v>
      </c>
      <c r="D407">
        <v>10</v>
      </c>
      <c r="E407">
        <v>17</v>
      </c>
    </row>
    <row r="408" spans="1:5" x14ac:dyDescent="0.4">
      <c r="A408" s="1">
        <v>42776</v>
      </c>
      <c r="B408">
        <v>13</v>
      </c>
      <c r="C408">
        <v>4</v>
      </c>
      <c r="D408">
        <v>14</v>
      </c>
      <c r="E408">
        <v>6</v>
      </c>
    </row>
    <row r="409" spans="1:5" x14ac:dyDescent="0.4">
      <c r="A409" s="1">
        <v>42777</v>
      </c>
      <c r="B409">
        <v>10</v>
      </c>
      <c r="C409">
        <v>13</v>
      </c>
      <c r="D409">
        <v>11</v>
      </c>
      <c r="E409">
        <v>18</v>
      </c>
    </row>
    <row r="410" spans="1:5" x14ac:dyDescent="0.4">
      <c r="A410" s="1">
        <v>42778</v>
      </c>
      <c r="B410">
        <v>3</v>
      </c>
      <c r="C410">
        <v>12</v>
      </c>
      <c r="D410">
        <v>13</v>
      </c>
      <c r="E410">
        <v>7</v>
      </c>
    </row>
    <row r="411" spans="1:5" x14ac:dyDescent="0.4">
      <c r="A411" s="1">
        <v>42779</v>
      </c>
      <c r="B411">
        <v>19</v>
      </c>
      <c r="C411">
        <v>3</v>
      </c>
      <c r="D411">
        <v>10</v>
      </c>
      <c r="E411">
        <v>11</v>
      </c>
    </row>
    <row r="412" spans="1:5" x14ac:dyDescent="0.4">
      <c r="A412" s="1">
        <v>42780</v>
      </c>
      <c r="B412">
        <v>9</v>
      </c>
      <c r="C412">
        <v>19</v>
      </c>
      <c r="D412">
        <v>15</v>
      </c>
      <c r="E412">
        <v>15</v>
      </c>
    </row>
    <row r="413" spans="1:5" x14ac:dyDescent="0.4">
      <c r="A413" s="1">
        <v>42781</v>
      </c>
      <c r="B413">
        <v>0</v>
      </c>
      <c r="C413">
        <v>16</v>
      </c>
      <c r="D413">
        <v>8</v>
      </c>
      <c r="E413">
        <v>11</v>
      </c>
    </row>
    <row r="414" spans="1:5" x14ac:dyDescent="0.4">
      <c r="A414" s="1">
        <v>42782</v>
      </c>
      <c r="B414">
        <v>8</v>
      </c>
      <c r="C414">
        <v>13</v>
      </c>
      <c r="D414">
        <v>8</v>
      </c>
      <c r="E414">
        <v>18</v>
      </c>
    </row>
    <row r="415" spans="1:5" x14ac:dyDescent="0.4">
      <c r="A415" s="1">
        <v>42783</v>
      </c>
      <c r="B415">
        <v>5</v>
      </c>
      <c r="C415">
        <v>1</v>
      </c>
      <c r="D415">
        <v>12</v>
      </c>
      <c r="E415">
        <v>13</v>
      </c>
    </row>
    <row r="416" spans="1:5" x14ac:dyDescent="0.4">
      <c r="A416" s="1">
        <v>42784</v>
      </c>
      <c r="B416">
        <v>15</v>
      </c>
      <c r="C416">
        <v>9</v>
      </c>
      <c r="D416">
        <v>17</v>
      </c>
      <c r="E416">
        <v>4</v>
      </c>
    </row>
    <row r="417" spans="1:5" x14ac:dyDescent="0.4">
      <c r="A417" s="1">
        <v>42785</v>
      </c>
      <c r="B417">
        <v>17</v>
      </c>
      <c r="C417">
        <v>1</v>
      </c>
      <c r="D417">
        <v>3</v>
      </c>
      <c r="E417">
        <v>17</v>
      </c>
    </row>
    <row r="418" spans="1:5" x14ac:dyDescent="0.4">
      <c r="A418" s="1">
        <v>42786</v>
      </c>
      <c r="B418">
        <v>16</v>
      </c>
      <c r="C418">
        <v>13</v>
      </c>
      <c r="D418">
        <v>1</v>
      </c>
      <c r="E418">
        <v>3</v>
      </c>
    </row>
    <row r="419" spans="1:5" x14ac:dyDescent="0.4">
      <c r="A419" s="1">
        <v>42787</v>
      </c>
      <c r="B419">
        <v>3</v>
      </c>
      <c r="C419">
        <v>15</v>
      </c>
      <c r="D419">
        <v>4</v>
      </c>
      <c r="E419">
        <v>13</v>
      </c>
    </row>
    <row r="420" spans="1:5" x14ac:dyDescent="0.4">
      <c r="A420" s="1">
        <v>42788</v>
      </c>
      <c r="B420">
        <v>2</v>
      </c>
      <c r="C420">
        <v>9</v>
      </c>
      <c r="D420">
        <v>9</v>
      </c>
      <c r="E420">
        <v>7</v>
      </c>
    </row>
    <row r="421" spans="1:5" x14ac:dyDescent="0.4">
      <c r="A421" s="1">
        <v>42789</v>
      </c>
      <c r="B421">
        <v>0</v>
      </c>
      <c r="C421">
        <v>0</v>
      </c>
      <c r="D421">
        <v>3</v>
      </c>
      <c r="E421">
        <v>9</v>
      </c>
    </row>
    <row r="422" spans="1:5" x14ac:dyDescent="0.4">
      <c r="A422" s="1">
        <v>42790</v>
      </c>
      <c r="B422">
        <v>3</v>
      </c>
      <c r="C422">
        <v>10</v>
      </c>
      <c r="D422">
        <v>15</v>
      </c>
      <c r="E422">
        <v>10</v>
      </c>
    </row>
    <row r="423" spans="1:5" x14ac:dyDescent="0.4">
      <c r="A423" s="1">
        <v>42791</v>
      </c>
      <c r="B423">
        <v>7</v>
      </c>
      <c r="C423">
        <v>12</v>
      </c>
      <c r="D423">
        <v>1</v>
      </c>
      <c r="E423">
        <v>7</v>
      </c>
    </row>
    <row r="424" spans="1:5" x14ac:dyDescent="0.4">
      <c r="A424" s="1">
        <v>42792</v>
      </c>
      <c r="B424">
        <v>3</v>
      </c>
      <c r="C424">
        <v>17</v>
      </c>
      <c r="D424">
        <v>6</v>
      </c>
      <c r="E424">
        <v>7</v>
      </c>
    </row>
    <row r="425" spans="1:5" x14ac:dyDescent="0.4">
      <c r="A425" s="1">
        <v>42793</v>
      </c>
      <c r="B425">
        <v>19</v>
      </c>
      <c r="C425">
        <v>6</v>
      </c>
      <c r="D425">
        <v>14</v>
      </c>
      <c r="E425">
        <v>8</v>
      </c>
    </row>
    <row r="426" spans="1:5" x14ac:dyDescent="0.4">
      <c r="A426" s="1">
        <v>42794</v>
      </c>
      <c r="B426">
        <v>17</v>
      </c>
      <c r="C426">
        <v>5</v>
      </c>
      <c r="D426">
        <v>2</v>
      </c>
      <c r="E426">
        <v>4</v>
      </c>
    </row>
    <row r="427" spans="1:5" x14ac:dyDescent="0.4">
      <c r="A427" s="1">
        <v>42795</v>
      </c>
      <c r="B427">
        <v>11</v>
      </c>
      <c r="C427">
        <v>12</v>
      </c>
      <c r="D427">
        <v>7</v>
      </c>
      <c r="E427">
        <v>0</v>
      </c>
    </row>
    <row r="428" spans="1:5" x14ac:dyDescent="0.4">
      <c r="A428" s="1">
        <v>42796</v>
      </c>
      <c r="B428">
        <v>14</v>
      </c>
      <c r="C428">
        <v>7</v>
      </c>
      <c r="D428">
        <v>12</v>
      </c>
      <c r="E428">
        <v>9</v>
      </c>
    </row>
    <row r="429" spans="1:5" x14ac:dyDescent="0.4">
      <c r="A429" s="1">
        <v>42797</v>
      </c>
      <c r="B429">
        <v>2</v>
      </c>
      <c r="C429">
        <v>10</v>
      </c>
      <c r="D429">
        <v>15</v>
      </c>
      <c r="E429">
        <v>9</v>
      </c>
    </row>
    <row r="430" spans="1:5" x14ac:dyDescent="0.4">
      <c r="A430" s="1">
        <v>42798</v>
      </c>
      <c r="B430">
        <v>5</v>
      </c>
      <c r="C430">
        <v>12</v>
      </c>
      <c r="D430">
        <v>8</v>
      </c>
      <c r="E430">
        <v>3</v>
      </c>
    </row>
    <row r="431" spans="1:5" x14ac:dyDescent="0.4">
      <c r="A431" s="1">
        <v>42799</v>
      </c>
      <c r="B431">
        <v>0</v>
      </c>
      <c r="C431">
        <v>13</v>
      </c>
      <c r="D431">
        <v>7</v>
      </c>
      <c r="E431">
        <v>2</v>
      </c>
    </row>
    <row r="432" spans="1:5" x14ac:dyDescent="0.4">
      <c r="A432" s="1">
        <v>42800</v>
      </c>
      <c r="B432">
        <v>16</v>
      </c>
      <c r="C432">
        <v>3</v>
      </c>
      <c r="D432">
        <v>3</v>
      </c>
      <c r="E432">
        <v>14</v>
      </c>
    </row>
    <row r="433" spans="1:5" x14ac:dyDescent="0.4">
      <c r="A433" s="1">
        <v>42801</v>
      </c>
      <c r="B433">
        <v>15</v>
      </c>
      <c r="C433">
        <v>13</v>
      </c>
      <c r="D433">
        <v>7</v>
      </c>
      <c r="E433">
        <v>0</v>
      </c>
    </row>
    <row r="434" spans="1:5" x14ac:dyDescent="0.4">
      <c r="A434" s="1">
        <v>42802</v>
      </c>
      <c r="B434">
        <v>15</v>
      </c>
      <c r="C434">
        <v>18</v>
      </c>
      <c r="D434">
        <v>17</v>
      </c>
      <c r="E434">
        <v>10</v>
      </c>
    </row>
    <row r="435" spans="1:5" x14ac:dyDescent="0.4">
      <c r="A435" s="1">
        <v>42803</v>
      </c>
      <c r="B435">
        <v>6</v>
      </c>
      <c r="C435">
        <v>15</v>
      </c>
      <c r="D435">
        <v>8</v>
      </c>
      <c r="E435">
        <v>0</v>
      </c>
    </row>
    <row r="436" spans="1:5" x14ac:dyDescent="0.4">
      <c r="A436" s="1">
        <v>42804</v>
      </c>
      <c r="B436">
        <v>9</v>
      </c>
      <c r="C436">
        <v>18</v>
      </c>
      <c r="D436">
        <v>1</v>
      </c>
      <c r="E436">
        <v>2</v>
      </c>
    </row>
    <row r="437" spans="1:5" x14ac:dyDescent="0.4">
      <c r="A437" s="1">
        <v>42805</v>
      </c>
      <c r="B437">
        <v>11</v>
      </c>
      <c r="C437">
        <v>2</v>
      </c>
      <c r="D437">
        <v>19</v>
      </c>
      <c r="E437">
        <v>18</v>
      </c>
    </row>
    <row r="438" spans="1:5" x14ac:dyDescent="0.4">
      <c r="A438" s="1">
        <v>42806</v>
      </c>
      <c r="B438">
        <v>16</v>
      </c>
      <c r="C438">
        <v>6</v>
      </c>
      <c r="D438">
        <v>9</v>
      </c>
      <c r="E438">
        <v>3</v>
      </c>
    </row>
    <row r="439" spans="1:5" x14ac:dyDescent="0.4">
      <c r="A439" s="1">
        <v>42807</v>
      </c>
      <c r="B439">
        <v>11</v>
      </c>
      <c r="C439">
        <v>14</v>
      </c>
      <c r="D439">
        <v>14</v>
      </c>
      <c r="E439">
        <v>6</v>
      </c>
    </row>
    <row r="440" spans="1:5" x14ac:dyDescent="0.4">
      <c r="A440" s="1">
        <v>42808</v>
      </c>
      <c r="B440">
        <v>4</v>
      </c>
      <c r="C440">
        <v>5</v>
      </c>
      <c r="D440">
        <v>5</v>
      </c>
      <c r="E440">
        <v>11</v>
      </c>
    </row>
    <row r="441" spans="1:5" x14ac:dyDescent="0.4">
      <c r="A441" s="1">
        <v>42809</v>
      </c>
      <c r="B441">
        <v>4</v>
      </c>
      <c r="C441">
        <v>19</v>
      </c>
      <c r="D441">
        <v>4</v>
      </c>
      <c r="E441">
        <v>12</v>
      </c>
    </row>
    <row r="442" spans="1:5" x14ac:dyDescent="0.4">
      <c r="A442" s="1">
        <v>42810</v>
      </c>
      <c r="B442">
        <v>7</v>
      </c>
      <c r="C442">
        <v>19</v>
      </c>
      <c r="D442">
        <v>12</v>
      </c>
      <c r="E442">
        <v>18</v>
      </c>
    </row>
    <row r="443" spans="1:5" x14ac:dyDescent="0.4">
      <c r="A443" s="1">
        <v>42811</v>
      </c>
      <c r="B443">
        <v>11</v>
      </c>
      <c r="C443">
        <v>16</v>
      </c>
      <c r="D443">
        <v>19</v>
      </c>
      <c r="E443">
        <v>14</v>
      </c>
    </row>
    <row r="444" spans="1:5" x14ac:dyDescent="0.4">
      <c r="A444" s="1">
        <v>42812</v>
      </c>
      <c r="B444">
        <v>6</v>
      </c>
      <c r="C444">
        <v>18</v>
      </c>
      <c r="D444">
        <v>14</v>
      </c>
      <c r="E444">
        <v>15</v>
      </c>
    </row>
    <row r="445" spans="1:5" x14ac:dyDescent="0.4">
      <c r="A445" s="1">
        <v>42813</v>
      </c>
      <c r="B445">
        <v>10</v>
      </c>
      <c r="C445">
        <v>3</v>
      </c>
      <c r="D445">
        <v>15</v>
      </c>
      <c r="E445">
        <v>17</v>
      </c>
    </row>
    <row r="446" spans="1:5" x14ac:dyDescent="0.4">
      <c r="A446" s="1">
        <v>42814</v>
      </c>
      <c r="B446">
        <v>8</v>
      </c>
      <c r="C446">
        <v>18</v>
      </c>
      <c r="D446">
        <v>10</v>
      </c>
      <c r="E446">
        <v>1</v>
      </c>
    </row>
    <row r="447" spans="1:5" x14ac:dyDescent="0.4">
      <c r="A447" s="1">
        <v>42815</v>
      </c>
      <c r="B447">
        <v>11</v>
      </c>
      <c r="C447">
        <v>2</v>
      </c>
      <c r="D447">
        <v>12</v>
      </c>
      <c r="E447">
        <v>4</v>
      </c>
    </row>
    <row r="448" spans="1:5" x14ac:dyDescent="0.4">
      <c r="A448" s="1">
        <v>42816</v>
      </c>
      <c r="B448">
        <v>1</v>
      </c>
      <c r="C448">
        <v>15</v>
      </c>
      <c r="D448">
        <v>11</v>
      </c>
      <c r="E448">
        <v>15</v>
      </c>
    </row>
    <row r="449" spans="1:5" x14ac:dyDescent="0.4">
      <c r="A449" s="1">
        <v>42817</v>
      </c>
      <c r="B449">
        <v>10</v>
      </c>
      <c r="C449">
        <v>14</v>
      </c>
      <c r="D449">
        <v>13</v>
      </c>
      <c r="E449">
        <v>0</v>
      </c>
    </row>
    <row r="450" spans="1:5" x14ac:dyDescent="0.4">
      <c r="A450" s="1">
        <v>42818</v>
      </c>
      <c r="B450">
        <v>4</v>
      </c>
      <c r="C450">
        <v>18</v>
      </c>
      <c r="D450">
        <v>9</v>
      </c>
      <c r="E450">
        <v>11</v>
      </c>
    </row>
    <row r="451" spans="1:5" x14ac:dyDescent="0.4">
      <c r="A451" s="1">
        <v>42819</v>
      </c>
      <c r="B451">
        <v>19</v>
      </c>
      <c r="C451">
        <v>9</v>
      </c>
      <c r="D451">
        <v>1</v>
      </c>
      <c r="E451">
        <v>3</v>
      </c>
    </row>
    <row r="452" spans="1:5" x14ac:dyDescent="0.4">
      <c r="A452" s="1">
        <v>42820</v>
      </c>
      <c r="B452">
        <v>18</v>
      </c>
      <c r="C452">
        <v>18</v>
      </c>
      <c r="D452">
        <v>16</v>
      </c>
      <c r="E452">
        <v>18</v>
      </c>
    </row>
    <row r="453" spans="1:5" x14ac:dyDescent="0.4">
      <c r="A453" s="1">
        <v>42821</v>
      </c>
      <c r="B453">
        <v>19</v>
      </c>
      <c r="C453">
        <v>3</v>
      </c>
      <c r="D453">
        <v>14</v>
      </c>
      <c r="E453">
        <v>8</v>
      </c>
    </row>
    <row r="454" spans="1:5" x14ac:dyDescent="0.4">
      <c r="A454" s="1">
        <v>42822</v>
      </c>
      <c r="B454">
        <v>16</v>
      </c>
      <c r="C454">
        <v>9</v>
      </c>
      <c r="D454">
        <v>8</v>
      </c>
      <c r="E454">
        <v>16</v>
      </c>
    </row>
    <row r="455" spans="1:5" x14ac:dyDescent="0.4">
      <c r="A455" s="1">
        <v>42823</v>
      </c>
      <c r="B455">
        <v>8</v>
      </c>
      <c r="C455">
        <v>7</v>
      </c>
      <c r="D455">
        <v>7</v>
      </c>
      <c r="E455">
        <v>4</v>
      </c>
    </row>
    <row r="456" spans="1:5" x14ac:dyDescent="0.4">
      <c r="A456" s="1">
        <v>42824</v>
      </c>
      <c r="B456">
        <v>16</v>
      </c>
      <c r="C456">
        <v>11</v>
      </c>
      <c r="D456">
        <v>17</v>
      </c>
      <c r="E456">
        <v>8</v>
      </c>
    </row>
    <row r="457" spans="1:5" x14ac:dyDescent="0.4">
      <c r="A457" s="1">
        <v>42825</v>
      </c>
      <c r="B457">
        <v>19</v>
      </c>
      <c r="C457">
        <v>0</v>
      </c>
      <c r="D457">
        <v>2</v>
      </c>
      <c r="E457">
        <v>6</v>
      </c>
    </row>
    <row r="458" spans="1:5" x14ac:dyDescent="0.4">
      <c r="A458" s="1">
        <v>42826</v>
      </c>
      <c r="B458">
        <v>5</v>
      </c>
      <c r="C458">
        <v>6</v>
      </c>
      <c r="D458">
        <v>19</v>
      </c>
      <c r="E458">
        <v>8</v>
      </c>
    </row>
    <row r="459" spans="1:5" x14ac:dyDescent="0.4">
      <c r="A459" s="1">
        <v>42827</v>
      </c>
      <c r="B459">
        <v>3</v>
      </c>
      <c r="C459">
        <v>14</v>
      </c>
      <c r="D459">
        <v>16</v>
      </c>
      <c r="E459">
        <v>17</v>
      </c>
    </row>
    <row r="460" spans="1:5" x14ac:dyDescent="0.4">
      <c r="A460" s="1">
        <v>42828</v>
      </c>
      <c r="B460">
        <v>13</v>
      </c>
      <c r="C460">
        <v>1</v>
      </c>
      <c r="D460">
        <v>13</v>
      </c>
      <c r="E460">
        <v>9</v>
      </c>
    </row>
    <row r="461" spans="1:5" x14ac:dyDescent="0.4">
      <c r="A461" s="1">
        <v>42829</v>
      </c>
      <c r="B461">
        <v>0</v>
      </c>
      <c r="C461">
        <v>4</v>
      </c>
      <c r="D461">
        <v>10</v>
      </c>
      <c r="E461">
        <v>8</v>
      </c>
    </row>
    <row r="462" spans="1:5" x14ac:dyDescent="0.4">
      <c r="A462" s="1">
        <v>42830</v>
      </c>
      <c r="B462">
        <v>6</v>
      </c>
      <c r="C462">
        <v>1</v>
      </c>
      <c r="D462">
        <v>8</v>
      </c>
      <c r="E462">
        <v>10</v>
      </c>
    </row>
    <row r="463" spans="1:5" x14ac:dyDescent="0.4">
      <c r="A463" s="1">
        <v>42831</v>
      </c>
      <c r="B463">
        <v>13</v>
      </c>
      <c r="C463">
        <v>16</v>
      </c>
      <c r="D463">
        <v>8</v>
      </c>
      <c r="E463">
        <v>12</v>
      </c>
    </row>
    <row r="464" spans="1:5" x14ac:dyDescent="0.4">
      <c r="A464" s="1">
        <v>42832</v>
      </c>
      <c r="B464">
        <v>2</v>
      </c>
      <c r="C464">
        <v>4</v>
      </c>
      <c r="D464">
        <v>0</v>
      </c>
      <c r="E464">
        <v>6</v>
      </c>
    </row>
    <row r="465" spans="1:5" x14ac:dyDescent="0.4">
      <c r="A465" s="1">
        <v>42833</v>
      </c>
      <c r="B465">
        <v>2</v>
      </c>
      <c r="C465">
        <v>15</v>
      </c>
      <c r="D465">
        <v>5</v>
      </c>
      <c r="E465">
        <v>11</v>
      </c>
    </row>
    <row r="466" spans="1:5" x14ac:dyDescent="0.4">
      <c r="A466" s="1">
        <v>42834</v>
      </c>
      <c r="B466">
        <v>5</v>
      </c>
      <c r="C466">
        <v>19</v>
      </c>
      <c r="D466">
        <v>6</v>
      </c>
      <c r="E466">
        <v>16</v>
      </c>
    </row>
    <row r="467" spans="1:5" x14ac:dyDescent="0.4">
      <c r="A467" s="1">
        <v>42835</v>
      </c>
      <c r="B467">
        <v>7</v>
      </c>
      <c r="C467">
        <v>15</v>
      </c>
      <c r="D467">
        <v>15</v>
      </c>
      <c r="E467">
        <v>7</v>
      </c>
    </row>
    <row r="468" spans="1:5" x14ac:dyDescent="0.4">
      <c r="A468" s="1">
        <v>42836</v>
      </c>
      <c r="B468">
        <v>11</v>
      </c>
      <c r="C468">
        <v>9</v>
      </c>
      <c r="D468">
        <v>18</v>
      </c>
      <c r="E468">
        <v>4</v>
      </c>
    </row>
    <row r="469" spans="1:5" x14ac:dyDescent="0.4">
      <c r="A469" s="1">
        <v>42837</v>
      </c>
      <c r="B469">
        <v>6</v>
      </c>
      <c r="C469">
        <v>13</v>
      </c>
      <c r="D469">
        <v>12</v>
      </c>
      <c r="E469">
        <v>15</v>
      </c>
    </row>
    <row r="470" spans="1:5" x14ac:dyDescent="0.4">
      <c r="A470" s="1">
        <v>42838</v>
      </c>
      <c r="B470">
        <v>5</v>
      </c>
      <c r="C470">
        <v>5</v>
      </c>
      <c r="D470">
        <v>19</v>
      </c>
      <c r="E470">
        <v>16</v>
      </c>
    </row>
    <row r="471" spans="1:5" x14ac:dyDescent="0.4">
      <c r="A471" s="1">
        <v>42839</v>
      </c>
      <c r="B471">
        <v>16</v>
      </c>
      <c r="C471">
        <v>1</v>
      </c>
      <c r="D471">
        <v>1</v>
      </c>
      <c r="E471">
        <v>18</v>
      </c>
    </row>
    <row r="472" spans="1:5" x14ac:dyDescent="0.4">
      <c r="A472" s="1">
        <v>42840</v>
      </c>
      <c r="B472">
        <v>6</v>
      </c>
      <c r="C472">
        <v>6</v>
      </c>
      <c r="D472">
        <v>12</v>
      </c>
      <c r="E472">
        <v>11</v>
      </c>
    </row>
    <row r="473" spans="1:5" x14ac:dyDescent="0.4">
      <c r="A473" s="1">
        <v>42841</v>
      </c>
      <c r="B473">
        <v>7</v>
      </c>
      <c r="C473">
        <v>4</v>
      </c>
      <c r="D473">
        <v>14</v>
      </c>
      <c r="E473">
        <v>6</v>
      </c>
    </row>
    <row r="474" spans="1:5" x14ac:dyDescent="0.4">
      <c r="A474" s="1">
        <v>42842</v>
      </c>
      <c r="B474">
        <v>8</v>
      </c>
      <c r="C474">
        <v>8</v>
      </c>
      <c r="D474">
        <v>4</v>
      </c>
      <c r="E474">
        <v>18</v>
      </c>
    </row>
    <row r="475" spans="1:5" x14ac:dyDescent="0.4">
      <c r="A475" s="1">
        <v>42843</v>
      </c>
      <c r="B475">
        <v>16</v>
      </c>
      <c r="C475">
        <v>6</v>
      </c>
      <c r="D475">
        <v>11</v>
      </c>
      <c r="E475">
        <v>15</v>
      </c>
    </row>
    <row r="476" spans="1:5" x14ac:dyDescent="0.4">
      <c r="A476" s="1">
        <v>42844</v>
      </c>
      <c r="B476">
        <v>8</v>
      </c>
      <c r="C476">
        <v>12</v>
      </c>
      <c r="D476">
        <v>6</v>
      </c>
      <c r="E476">
        <v>10</v>
      </c>
    </row>
    <row r="477" spans="1:5" x14ac:dyDescent="0.4">
      <c r="A477" s="1">
        <v>42845</v>
      </c>
      <c r="B477">
        <v>14</v>
      </c>
      <c r="C477">
        <v>8</v>
      </c>
      <c r="D477">
        <v>8</v>
      </c>
      <c r="E477">
        <v>2</v>
      </c>
    </row>
    <row r="478" spans="1:5" x14ac:dyDescent="0.4">
      <c r="A478" s="1">
        <v>42846</v>
      </c>
      <c r="B478">
        <v>13</v>
      </c>
      <c r="C478">
        <v>16</v>
      </c>
      <c r="D478">
        <v>19</v>
      </c>
      <c r="E478">
        <v>9</v>
      </c>
    </row>
    <row r="479" spans="1:5" x14ac:dyDescent="0.4">
      <c r="A479" s="1">
        <v>42847</v>
      </c>
      <c r="B479">
        <v>8</v>
      </c>
      <c r="C479">
        <v>9</v>
      </c>
      <c r="D479">
        <v>19</v>
      </c>
      <c r="E479">
        <v>6</v>
      </c>
    </row>
    <row r="480" spans="1:5" x14ac:dyDescent="0.4">
      <c r="A480" s="1">
        <v>42848</v>
      </c>
      <c r="B480">
        <v>19</v>
      </c>
      <c r="C480">
        <v>8</v>
      </c>
      <c r="D480">
        <v>12</v>
      </c>
      <c r="E480">
        <v>16</v>
      </c>
    </row>
    <row r="481" spans="1:5" x14ac:dyDescent="0.4">
      <c r="A481" s="1">
        <v>42849</v>
      </c>
      <c r="B481">
        <v>12</v>
      </c>
      <c r="C481">
        <v>12</v>
      </c>
      <c r="D481">
        <v>10</v>
      </c>
      <c r="E481">
        <v>16</v>
      </c>
    </row>
    <row r="482" spans="1:5" x14ac:dyDescent="0.4">
      <c r="A482" s="1">
        <v>42850</v>
      </c>
      <c r="B482">
        <v>10</v>
      </c>
      <c r="C482">
        <v>13</v>
      </c>
      <c r="D482">
        <v>3</v>
      </c>
      <c r="E482">
        <v>4</v>
      </c>
    </row>
    <row r="483" spans="1:5" x14ac:dyDescent="0.4">
      <c r="A483" s="1">
        <v>42851</v>
      </c>
      <c r="B483">
        <v>4</v>
      </c>
      <c r="C483">
        <v>19</v>
      </c>
      <c r="D483">
        <v>7</v>
      </c>
      <c r="E483">
        <v>1</v>
      </c>
    </row>
    <row r="484" spans="1:5" x14ac:dyDescent="0.4">
      <c r="A484" s="1">
        <v>42852</v>
      </c>
      <c r="B484">
        <v>11</v>
      </c>
      <c r="C484">
        <v>0</v>
      </c>
      <c r="D484">
        <v>19</v>
      </c>
      <c r="E484">
        <v>12</v>
      </c>
    </row>
    <row r="485" spans="1:5" x14ac:dyDescent="0.4">
      <c r="A485" s="1">
        <v>42853</v>
      </c>
      <c r="B485">
        <v>14</v>
      </c>
      <c r="C485">
        <v>10</v>
      </c>
      <c r="D485">
        <v>3</v>
      </c>
      <c r="E485">
        <v>3</v>
      </c>
    </row>
    <row r="486" spans="1:5" x14ac:dyDescent="0.4">
      <c r="A486" s="1">
        <v>42854</v>
      </c>
      <c r="B486">
        <v>9</v>
      </c>
      <c r="C486">
        <v>1</v>
      </c>
      <c r="D486">
        <v>11</v>
      </c>
      <c r="E486">
        <v>16</v>
      </c>
    </row>
    <row r="487" spans="1:5" x14ac:dyDescent="0.4">
      <c r="A487" s="1">
        <v>42855</v>
      </c>
      <c r="B487">
        <v>18</v>
      </c>
      <c r="C487">
        <v>12</v>
      </c>
      <c r="D487">
        <v>7</v>
      </c>
      <c r="E487">
        <v>7</v>
      </c>
    </row>
    <row r="488" spans="1:5" x14ac:dyDescent="0.4">
      <c r="A488" s="1">
        <v>42856</v>
      </c>
      <c r="B488">
        <v>5</v>
      </c>
      <c r="C488">
        <v>3</v>
      </c>
      <c r="D488">
        <v>9</v>
      </c>
      <c r="E488">
        <v>0</v>
      </c>
    </row>
    <row r="489" spans="1:5" x14ac:dyDescent="0.4">
      <c r="A489" s="1">
        <v>42857</v>
      </c>
      <c r="B489">
        <v>13</v>
      </c>
      <c r="C489">
        <v>9</v>
      </c>
      <c r="D489">
        <v>11</v>
      </c>
      <c r="E489">
        <v>16</v>
      </c>
    </row>
    <row r="490" spans="1:5" x14ac:dyDescent="0.4">
      <c r="A490" s="1">
        <v>42858</v>
      </c>
      <c r="B490">
        <v>17</v>
      </c>
      <c r="C490">
        <v>8</v>
      </c>
      <c r="D490">
        <v>16</v>
      </c>
      <c r="E490">
        <v>19</v>
      </c>
    </row>
    <row r="491" spans="1:5" x14ac:dyDescent="0.4">
      <c r="A491" s="1">
        <v>42859</v>
      </c>
      <c r="B491">
        <v>5</v>
      </c>
      <c r="C491">
        <v>19</v>
      </c>
      <c r="D491">
        <v>5</v>
      </c>
      <c r="E491">
        <v>18</v>
      </c>
    </row>
    <row r="492" spans="1:5" x14ac:dyDescent="0.4">
      <c r="A492" s="1">
        <v>42860</v>
      </c>
      <c r="B492">
        <v>7</v>
      </c>
      <c r="C492">
        <v>11</v>
      </c>
      <c r="D492">
        <v>17</v>
      </c>
      <c r="E492">
        <v>4</v>
      </c>
    </row>
    <row r="493" spans="1:5" x14ac:dyDescent="0.4">
      <c r="A493" s="1">
        <v>42861</v>
      </c>
      <c r="B493">
        <v>0</v>
      </c>
      <c r="C493">
        <v>15</v>
      </c>
      <c r="D493">
        <v>1</v>
      </c>
      <c r="E493">
        <v>5</v>
      </c>
    </row>
    <row r="494" spans="1:5" x14ac:dyDescent="0.4">
      <c r="A494" s="1">
        <v>42862</v>
      </c>
      <c r="B494">
        <v>5</v>
      </c>
      <c r="C494">
        <v>5</v>
      </c>
      <c r="D494">
        <v>7</v>
      </c>
      <c r="E494">
        <v>4</v>
      </c>
    </row>
    <row r="495" spans="1:5" x14ac:dyDescent="0.4">
      <c r="A495" s="1">
        <v>42863</v>
      </c>
      <c r="B495">
        <v>19</v>
      </c>
      <c r="C495">
        <v>17</v>
      </c>
      <c r="D495">
        <v>16</v>
      </c>
      <c r="E495">
        <v>6</v>
      </c>
    </row>
    <row r="496" spans="1:5" x14ac:dyDescent="0.4">
      <c r="A496" s="1">
        <v>42864</v>
      </c>
      <c r="B496">
        <v>15</v>
      </c>
      <c r="C496">
        <v>16</v>
      </c>
      <c r="D496">
        <v>17</v>
      </c>
      <c r="E496">
        <v>15</v>
      </c>
    </row>
    <row r="497" spans="1:5" x14ac:dyDescent="0.4">
      <c r="A497" s="1">
        <v>42865</v>
      </c>
      <c r="B497">
        <v>11</v>
      </c>
      <c r="C497">
        <v>6</v>
      </c>
      <c r="D497">
        <v>3</v>
      </c>
      <c r="E497">
        <v>19</v>
      </c>
    </row>
    <row r="498" spans="1:5" x14ac:dyDescent="0.4">
      <c r="A498" s="1">
        <v>42866</v>
      </c>
      <c r="B498">
        <v>12</v>
      </c>
      <c r="C498">
        <v>17</v>
      </c>
      <c r="D498">
        <v>18</v>
      </c>
      <c r="E498">
        <v>16</v>
      </c>
    </row>
    <row r="499" spans="1:5" x14ac:dyDescent="0.4">
      <c r="A499" s="1">
        <v>42867</v>
      </c>
      <c r="B499">
        <v>5</v>
      </c>
      <c r="C499">
        <v>10</v>
      </c>
      <c r="D499">
        <v>18</v>
      </c>
      <c r="E499">
        <v>19</v>
      </c>
    </row>
    <row r="500" spans="1:5" x14ac:dyDescent="0.4">
      <c r="A500" s="1">
        <v>42868</v>
      </c>
      <c r="B500">
        <v>10</v>
      </c>
      <c r="C500">
        <v>4</v>
      </c>
      <c r="D500">
        <v>12</v>
      </c>
      <c r="E500">
        <v>0</v>
      </c>
    </row>
    <row r="501" spans="1:5" x14ac:dyDescent="0.4">
      <c r="A501" s="1">
        <v>42869</v>
      </c>
      <c r="B501">
        <v>15</v>
      </c>
      <c r="C501">
        <v>17</v>
      </c>
      <c r="D501">
        <v>2</v>
      </c>
      <c r="E501">
        <v>19</v>
      </c>
    </row>
    <row r="502" spans="1:5" x14ac:dyDescent="0.4">
      <c r="A502" s="1">
        <v>42870</v>
      </c>
      <c r="B502">
        <v>17</v>
      </c>
      <c r="C502">
        <v>9</v>
      </c>
      <c r="D502">
        <v>1</v>
      </c>
      <c r="E502">
        <v>14</v>
      </c>
    </row>
    <row r="503" spans="1:5" x14ac:dyDescent="0.4">
      <c r="A503" s="1">
        <v>42871</v>
      </c>
      <c r="B503">
        <v>1</v>
      </c>
      <c r="C503">
        <v>19</v>
      </c>
      <c r="D503">
        <v>15</v>
      </c>
      <c r="E503">
        <v>16</v>
      </c>
    </row>
    <row r="504" spans="1:5" x14ac:dyDescent="0.4">
      <c r="A504" s="1">
        <v>42872</v>
      </c>
      <c r="B504">
        <v>10</v>
      </c>
      <c r="C504">
        <v>0</v>
      </c>
      <c r="D504">
        <v>6</v>
      </c>
      <c r="E504">
        <v>17</v>
      </c>
    </row>
    <row r="505" spans="1:5" x14ac:dyDescent="0.4">
      <c r="A505" s="1">
        <v>42873</v>
      </c>
      <c r="B505">
        <v>8</v>
      </c>
      <c r="C505">
        <v>19</v>
      </c>
      <c r="D505">
        <v>10</v>
      </c>
      <c r="E505">
        <v>5</v>
      </c>
    </row>
    <row r="506" spans="1:5" x14ac:dyDescent="0.4">
      <c r="A506" s="1">
        <v>42874</v>
      </c>
      <c r="B506">
        <v>1</v>
      </c>
      <c r="C506">
        <v>16</v>
      </c>
      <c r="D506">
        <v>6</v>
      </c>
      <c r="E506">
        <v>4</v>
      </c>
    </row>
    <row r="507" spans="1:5" x14ac:dyDescent="0.4">
      <c r="A507" s="1">
        <v>42875</v>
      </c>
      <c r="B507">
        <v>9</v>
      </c>
      <c r="C507">
        <v>5</v>
      </c>
      <c r="D507">
        <v>1</v>
      </c>
      <c r="E507">
        <v>5</v>
      </c>
    </row>
    <row r="508" spans="1:5" x14ac:dyDescent="0.4">
      <c r="A508" s="1">
        <v>42876</v>
      </c>
      <c r="B508">
        <v>13</v>
      </c>
      <c r="C508">
        <v>4</v>
      </c>
      <c r="D508">
        <v>12</v>
      </c>
      <c r="E508">
        <v>1</v>
      </c>
    </row>
    <row r="509" spans="1:5" x14ac:dyDescent="0.4">
      <c r="A509" s="1">
        <v>42877</v>
      </c>
      <c r="B509">
        <v>9</v>
      </c>
      <c r="C509">
        <v>8</v>
      </c>
      <c r="D509">
        <v>6</v>
      </c>
      <c r="E509">
        <v>7</v>
      </c>
    </row>
    <row r="510" spans="1:5" x14ac:dyDescent="0.4">
      <c r="A510" s="1">
        <v>42878</v>
      </c>
      <c r="B510">
        <v>8</v>
      </c>
      <c r="C510">
        <v>13</v>
      </c>
      <c r="D510">
        <v>0</v>
      </c>
      <c r="E510">
        <v>6</v>
      </c>
    </row>
    <row r="511" spans="1:5" x14ac:dyDescent="0.4">
      <c r="A511" s="1">
        <v>42879</v>
      </c>
      <c r="B511">
        <v>18</v>
      </c>
      <c r="C511">
        <v>5</v>
      </c>
      <c r="D511">
        <v>15</v>
      </c>
      <c r="E511">
        <v>2</v>
      </c>
    </row>
    <row r="512" spans="1:5" x14ac:dyDescent="0.4">
      <c r="A512" s="1">
        <v>42880</v>
      </c>
      <c r="B512">
        <v>19</v>
      </c>
      <c r="C512">
        <v>19</v>
      </c>
      <c r="D512">
        <v>9</v>
      </c>
      <c r="E512">
        <v>18</v>
      </c>
    </row>
    <row r="513" spans="1:5" x14ac:dyDescent="0.4">
      <c r="A513" s="1">
        <v>42881</v>
      </c>
      <c r="B513">
        <v>11</v>
      </c>
      <c r="C513">
        <v>3</v>
      </c>
      <c r="D513">
        <v>2</v>
      </c>
      <c r="E513">
        <v>13</v>
      </c>
    </row>
    <row r="514" spans="1:5" x14ac:dyDescent="0.4">
      <c r="A514" s="1">
        <v>42882</v>
      </c>
      <c r="B514">
        <v>10</v>
      </c>
      <c r="C514">
        <v>13</v>
      </c>
      <c r="D514">
        <v>17</v>
      </c>
      <c r="E514">
        <v>19</v>
      </c>
    </row>
    <row r="515" spans="1:5" x14ac:dyDescent="0.4">
      <c r="A515" s="1">
        <v>42883</v>
      </c>
      <c r="B515">
        <v>12</v>
      </c>
      <c r="C515">
        <v>0</v>
      </c>
      <c r="D515">
        <v>16</v>
      </c>
      <c r="E515">
        <v>19</v>
      </c>
    </row>
    <row r="516" spans="1:5" x14ac:dyDescent="0.4">
      <c r="A516" s="1">
        <v>42884</v>
      </c>
      <c r="B516">
        <v>1</v>
      </c>
      <c r="C516">
        <v>17</v>
      </c>
      <c r="D516">
        <v>17</v>
      </c>
      <c r="E516">
        <v>10</v>
      </c>
    </row>
    <row r="517" spans="1:5" x14ac:dyDescent="0.4">
      <c r="A517" s="1">
        <v>42885</v>
      </c>
      <c r="B517">
        <v>3</v>
      </c>
      <c r="C517">
        <v>1</v>
      </c>
      <c r="D517">
        <v>8</v>
      </c>
      <c r="E517">
        <v>14</v>
      </c>
    </row>
    <row r="518" spans="1:5" x14ac:dyDescent="0.4">
      <c r="A518" s="1">
        <v>42886</v>
      </c>
      <c r="B518">
        <v>5</v>
      </c>
      <c r="C518">
        <v>9</v>
      </c>
      <c r="D518">
        <v>10</v>
      </c>
      <c r="E518">
        <v>14</v>
      </c>
    </row>
    <row r="519" spans="1:5" x14ac:dyDescent="0.4">
      <c r="A519" s="1">
        <v>42887</v>
      </c>
      <c r="B519">
        <v>0</v>
      </c>
      <c r="C519">
        <v>9</v>
      </c>
      <c r="D519">
        <v>4</v>
      </c>
      <c r="E519">
        <v>16</v>
      </c>
    </row>
    <row r="520" spans="1:5" x14ac:dyDescent="0.4">
      <c r="A520" s="1">
        <v>42888</v>
      </c>
      <c r="B520">
        <v>3</v>
      </c>
      <c r="C520">
        <v>2</v>
      </c>
      <c r="D520">
        <v>12</v>
      </c>
      <c r="E520">
        <v>13</v>
      </c>
    </row>
    <row r="521" spans="1:5" x14ac:dyDescent="0.4">
      <c r="A521" s="1">
        <v>42889</v>
      </c>
      <c r="B521">
        <v>8</v>
      </c>
      <c r="C521">
        <v>1</v>
      </c>
      <c r="D521">
        <v>10</v>
      </c>
      <c r="E521">
        <v>7</v>
      </c>
    </row>
    <row r="522" spans="1:5" x14ac:dyDescent="0.4">
      <c r="A522" s="1">
        <v>42890</v>
      </c>
      <c r="B522">
        <v>10</v>
      </c>
      <c r="C522">
        <v>7</v>
      </c>
      <c r="D522">
        <v>11</v>
      </c>
      <c r="E522">
        <v>13</v>
      </c>
    </row>
    <row r="523" spans="1:5" x14ac:dyDescent="0.4">
      <c r="A523" s="1">
        <v>42891</v>
      </c>
      <c r="B523">
        <v>11</v>
      </c>
      <c r="C523">
        <v>1</v>
      </c>
      <c r="D523">
        <v>8</v>
      </c>
      <c r="E523">
        <v>16</v>
      </c>
    </row>
    <row r="524" spans="1:5" x14ac:dyDescent="0.4">
      <c r="A524" s="1">
        <v>42892</v>
      </c>
      <c r="B524">
        <v>15</v>
      </c>
      <c r="C524">
        <v>19</v>
      </c>
      <c r="D524">
        <v>5</v>
      </c>
      <c r="E524">
        <v>16</v>
      </c>
    </row>
    <row r="525" spans="1:5" x14ac:dyDescent="0.4">
      <c r="A525" s="1">
        <v>42893</v>
      </c>
      <c r="B525">
        <v>0</v>
      </c>
      <c r="C525">
        <v>19</v>
      </c>
      <c r="D525">
        <v>5</v>
      </c>
      <c r="E525">
        <v>1</v>
      </c>
    </row>
    <row r="526" spans="1:5" x14ac:dyDescent="0.4">
      <c r="A526" s="1">
        <v>42894</v>
      </c>
      <c r="B526">
        <v>8</v>
      </c>
      <c r="C526">
        <v>11</v>
      </c>
      <c r="D526">
        <v>11</v>
      </c>
      <c r="E526">
        <v>11</v>
      </c>
    </row>
    <row r="527" spans="1:5" x14ac:dyDescent="0.4">
      <c r="A527" s="1">
        <v>42895</v>
      </c>
      <c r="B527">
        <v>1</v>
      </c>
      <c r="C527">
        <v>0</v>
      </c>
      <c r="D527">
        <v>16</v>
      </c>
      <c r="E527">
        <v>6</v>
      </c>
    </row>
    <row r="528" spans="1:5" x14ac:dyDescent="0.4">
      <c r="A528" s="1">
        <v>42896</v>
      </c>
      <c r="B528">
        <v>6</v>
      </c>
      <c r="C528">
        <v>12</v>
      </c>
      <c r="D528">
        <v>7</v>
      </c>
      <c r="E528">
        <v>9</v>
      </c>
    </row>
    <row r="529" spans="1:5" x14ac:dyDescent="0.4">
      <c r="A529" s="1">
        <v>42897</v>
      </c>
      <c r="B529">
        <v>12</v>
      </c>
      <c r="C529">
        <v>14</v>
      </c>
      <c r="D529">
        <v>10</v>
      </c>
      <c r="E529">
        <v>12</v>
      </c>
    </row>
    <row r="530" spans="1:5" x14ac:dyDescent="0.4">
      <c r="A530" s="1">
        <v>42898</v>
      </c>
      <c r="B530">
        <v>10</v>
      </c>
      <c r="C530">
        <v>7</v>
      </c>
      <c r="D530">
        <v>8</v>
      </c>
      <c r="E530">
        <v>4</v>
      </c>
    </row>
    <row r="531" spans="1:5" x14ac:dyDescent="0.4">
      <c r="A531" s="1">
        <v>42899</v>
      </c>
      <c r="B531">
        <v>11</v>
      </c>
      <c r="C531">
        <v>11</v>
      </c>
      <c r="D531">
        <v>11</v>
      </c>
      <c r="E531">
        <v>7</v>
      </c>
    </row>
    <row r="532" spans="1:5" x14ac:dyDescent="0.4">
      <c r="A532" s="1">
        <v>42900</v>
      </c>
      <c r="B532">
        <v>6</v>
      </c>
      <c r="C532">
        <v>3</v>
      </c>
      <c r="D532">
        <v>1</v>
      </c>
      <c r="E532">
        <v>9</v>
      </c>
    </row>
    <row r="533" spans="1:5" x14ac:dyDescent="0.4">
      <c r="A533" s="1">
        <v>42901</v>
      </c>
      <c r="B533">
        <v>18</v>
      </c>
      <c r="C533">
        <v>13</v>
      </c>
      <c r="D533">
        <v>7</v>
      </c>
      <c r="E533">
        <v>7</v>
      </c>
    </row>
    <row r="534" spans="1:5" x14ac:dyDescent="0.4">
      <c r="A534" s="1">
        <v>42902</v>
      </c>
      <c r="B534">
        <v>15</v>
      </c>
      <c r="C534">
        <v>4</v>
      </c>
      <c r="D534">
        <v>3</v>
      </c>
      <c r="E534">
        <v>4</v>
      </c>
    </row>
    <row r="535" spans="1:5" x14ac:dyDescent="0.4">
      <c r="A535" s="1">
        <v>42903</v>
      </c>
      <c r="B535">
        <v>11</v>
      </c>
      <c r="C535">
        <v>11</v>
      </c>
      <c r="D535">
        <v>18</v>
      </c>
      <c r="E535">
        <v>3</v>
      </c>
    </row>
    <row r="536" spans="1:5" x14ac:dyDescent="0.4">
      <c r="A536" s="1">
        <v>42904</v>
      </c>
      <c r="B536">
        <v>8</v>
      </c>
      <c r="C536">
        <v>17</v>
      </c>
      <c r="D536">
        <v>17</v>
      </c>
      <c r="E536">
        <v>0</v>
      </c>
    </row>
    <row r="537" spans="1:5" x14ac:dyDescent="0.4">
      <c r="A537" s="1">
        <v>42905</v>
      </c>
      <c r="B537">
        <v>14</v>
      </c>
      <c r="C537">
        <v>11</v>
      </c>
      <c r="D537">
        <v>18</v>
      </c>
      <c r="E537">
        <v>0</v>
      </c>
    </row>
    <row r="538" spans="1:5" x14ac:dyDescent="0.4">
      <c r="A538" s="1">
        <v>42906</v>
      </c>
      <c r="B538">
        <v>3</v>
      </c>
      <c r="C538">
        <v>19</v>
      </c>
      <c r="D538">
        <v>13</v>
      </c>
      <c r="E538">
        <v>10</v>
      </c>
    </row>
    <row r="539" spans="1:5" x14ac:dyDescent="0.4">
      <c r="A539" s="1">
        <v>42907</v>
      </c>
      <c r="B539">
        <v>1</v>
      </c>
      <c r="C539">
        <v>7</v>
      </c>
      <c r="D539">
        <v>1</v>
      </c>
      <c r="E539">
        <v>18</v>
      </c>
    </row>
    <row r="540" spans="1:5" x14ac:dyDescent="0.4">
      <c r="A540" s="1">
        <v>42908</v>
      </c>
      <c r="B540">
        <v>4</v>
      </c>
      <c r="C540">
        <v>12</v>
      </c>
      <c r="D540">
        <v>12</v>
      </c>
      <c r="E540">
        <v>8</v>
      </c>
    </row>
    <row r="541" spans="1:5" x14ac:dyDescent="0.4">
      <c r="A541" s="1">
        <v>42909</v>
      </c>
      <c r="B541">
        <v>15</v>
      </c>
      <c r="C541">
        <v>2</v>
      </c>
      <c r="D541">
        <v>6</v>
      </c>
      <c r="E541">
        <v>7</v>
      </c>
    </row>
    <row r="542" spans="1:5" x14ac:dyDescent="0.4">
      <c r="A542" s="1">
        <v>42910</v>
      </c>
      <c r="B542">
        <v>19</v>
      </c>
      <c r="C542">
        <v>14</v>
      </c>
      <c r="D542">
        <v>18</v>
      </c>
      <c r="E542">
        <v>0</v>
      </c>
    </row>
    <row r="543" spans="1:5" x14ac:dyDescent="0.4">
      <c r="A543" s="1">
        <v>42911</v>
      </c>
      <c r="B543">
        <v>6</v>
      </c>
      <c r="C543">
        <v>14</v>
      </c>
      <c r="D543">
        <v>4</v>
      </c>
      <c r="E543">
        <v>16</v>
      </c>
    </row>
    <row r="544" spans="1:5" x14ac:dyDescent="0.4">
      <c r="A544" s="1">
        <v>42912</v>
      </c>
      <c r="B544">
        <v>13</v>
      </c>
      <c r="C544">
        <v>17</v>
      </c>
      <c r="D544">
        <v>14</v>
      </c>
      <c r="E544">
        <v>13</v>
      </c>
    </row>
    <row r="545" spans="1:5" x14ac:dyDescent="0.4">
      <c r="A545" s="1">
        <v>42913</v>
      </c>
      <c r="B545">
        <v>15</v>
      </c>
      <c r="C545">
        <v>16</v>
      </c>
      <c r="D545">
        <v>17</v>
      </c>
      <c r="E545">
        <v>19</v>
      </c>
    </row>
    <row r="546" spans="1:5" x14ac:dyDescent="0.4">
      <c r="A546" s="1">
        <v>42914</v>
      </c>
      <c r="B546">
        <v>0</v>
      </c>
      <c r="C546">
        <v>13</v>
      </c>
      <c r="D546">
        <v>7</v>
      </c>
      <c r="E546">
        <v>10</v>
      </c>
    </row>
    <row r="547" spans="1:5" x14ac:dyDescent="0.4">
      <c r="A547" s="1">
        <v>42915</v>
      </c>
      <c r="B547">
        <v>15</v>
      </c>
      <c r="C547">
        <v>5</v>
      </c>
      <c r="D547">
        <v>1</v>
      </c>
      <c r="E547">
        <v>12</v>
      </c>
    </row>
    <row r="548" spans="1:5" x14ac:dyDescent="0.4">
      <c r="A548" s="1">
        <v>42916</v>
      </c>
      <c r="B548">
        <v>9</v>
      </c>
      <c r="C548">
        <v>9</v>
      </c>
      <c r="D548">
        <v>13</v>
      </c>
      <c r="E548">
        <v>11</v>
      </c>
    </row>
    <row r="549" spans="1:5" x14ac:dyDescent="0.4">
      <c r="A549" s="1">
        <v>42917</v>
      </c>
      <c r="B549">
        <v>4</v>
      </c>
      <c r="C549">
        <v>11</v>
      </c>
      <c r="D549">
        <v>8</v>
      </c>
      <c r="E549">
        <v>19</v>
      </c>
    </row>
    <row r="550" spans="1:5" x14ac:dyDescent="0.4">
      <c r="A550" s="1">
        <v>42918</v>
      </c>
      <c r="B550">
        <v>12</v>
      </c>
      <c r="C550">
        <v>1</v>
      </c>
      <c r="D550">
        <v>10</v>
      </c>
      <c r="E550">
        <v>17</v>
      </c>
    </row>
    <row r="551" spans="1:5" x14ac:dyDescent="0.4">
      <c r="A551" s="1">
        <v>42919</v>
      </c>
      <c r="B551">
        <v>18</v>
      </c>
      <c r="C551">
        <v>2</v>
      </c>
      <c r="D551">
        <v>3</v>
      </c>
      <c r="E551">
        <v>17</v>
      </c>
    </row>
    <row r="552" spans="1:5" x14ac:dyDescent="0.4">
      <c r="A552" s="1">
        <v>42920</v>
      </c>
      <c r="B552">
        <v>18</v>
      </c>
      <c r="C552">
        <v>18</v>
      </c>
      <c r="D552">
        <v>18</v>
      </c>
      <c r="E552">
        <v>18</v>
      </c>
    </row>
    <row r="553" spans="1:5" x14ac:dyDescent="0.4">
      <c r="A553" s="1">
        <v>42921</v>
      </c>
      <c r="B553">
        <v>13</v>
      </c>
      <c r="C553">
        <v>5</v>
      </c>
      <c r="D553">
        <v>6</v>
      </c>
      <c r="E553">
        <v>7</v>
      </c>
    </row>
    <row r="554" spans="1:5" x14ac:dyDescent="0.4">
      <c r="A554" s="1">
        <v>42922</v>
      </c>
      <c r="B554">
        <v>0</v>
      </c>
      <c r="C554">
        <v>17</v>
      </c>
      <c r="D554">
        <v>19</v>
      </c>
      <c r="E554">
        <v>5</v>
      </c>
    </row>
    <row r="555" spans="1:5" x14ac:dyDescent="0.4">
      <c r="A555" s="1">
        <v>42923</v>
      </c>
      <c r="B555">
        <v>13</v>
      </c>
      <c r="C555">
        <v>11</v>
      </c>
      <c r="D555">
        <v>18</v>
      </c>
      <c r="E555">
        <v>3</v>
      </c>
    </row>
    <row r="556" spans="1:5" x14ac:dyDescent="0.4">
      <c r="A556" s="1">
        <v>42924</v>
      </c>
      <c r="B556">
        <v>19</v>
      </c>
      <c r="C556">
        <v>3</v>
      </c>
      <c r="D556">
        <v>17</v>
      </c>
      <c r="E556">
        <v>4</v>
      </c>
    </row>
    <row r="557" spans="1:5" x14ac:dyDescent="0.4">
      <c r="A557" s="1">
        <v>42925</v>
      </c>
      <c r="B557">
        <v>0</v>
      </c>
      <c r="C557">
        <v>17</v>
      </c>
      <c r="D557">
        <v>1</v>
      </c>
      <c r="E557">
        <v>11</v>
      </c>
    </row>
    <row r="558" spans="1:5" x14ac:dyDescent="0.4">
      <c r="A558" s="1">
        <v>42926</v>
      </c>
      <c r="B558">
        <v>19</v>
      </c>
      <c r="C558">
        <v>4</v>
      </c>
      <c r="D558">
        <v>5</v>
      </c>
      <c r="E558">
        <v>17</v>
      </c>
    </row>
    <row r="559" spans="1:5" x14ac:dyDescent="0.4">
      <c r="A559" s="1">
        <v>42927</v>
      </c>
      <c r="B559">
        <v>1</v>
      </c>
      <c r="C559">
        <v>6</v>
      </c>
      <c r="D559">
        <v>9</v>
      </c>
      <c r="E559">
        <v>15</v>
      </c>
    </row>
    <row r="560" spans="1:5" x14ac:dyDescent="0.4">
      <c r="A560" s="1">
        <v>42928</v>
      </c>
      <c r="B560">
        <v>5</v>
      </c>
      <c r="C560">
        <v>0</v>
      </c>
      <c r="D560">
        <v>19</v>
      </c>
      <c r="E560">
        <v>1</v>
      </c>
    </row>
    <row r="561" spans="1:5" x14ac:dyDescent="0.4">
      <c r="A561" s="1">
        <v>42929</v>
      </c>
      <c r="B561">
        <v>11</v>
      </c>
      <c r="C561">
        <v>8</v>
      </c>
      <c r="D561">
        <v>15</v>
      </c>
      <c r="E561">
        <v>19</v>
      </c>
    </row>
    <row r="562" spans="1:5" x14ac:dyDescent="0.4">
      <c r="A562" s="1">
        <v>42930</v>
      </c>
      <c r="B562">
        <v>16</v>
      </c>
      <c r="C562">
        <v>6</v>
      </c>
      <c r="D562">
        <v>13</v>
      </c>
      <c r="E562">
        <v>18</v>
      </c>
    </row>
    <row r="563" spans="1:5" x14ac:dyDescent="0.4">
      <c r="A563" s="1">
        <v>42931</v>
      </c>
      <c r="B563">
        <v>0</v>
      </c>
      <c r="C563">
        <v>12</v>
      </c>
      <c r="D563">
        <v>7</v>
      </c>
      <c r="E563">
        <v>6</v>
      </c>
    </row>
    <row r="564" spans="1:5" x14ac:dyDescent="0.4">
      <c r="A564" s="1">
        <v>42932</v>
      </c>
      <c r="B564">
        <v>1</v>
      </c>
      <c r="C564">
        <v>7</v>
      </c>
      <c r="D564">
        <v>8</v>
      </c>
      <c r="E564">
        <v>12</v>
      </c>
    </row>
    <row r="565" spans="1:5" x14ac:dyDescent="0.4">
      <c r="A565" s="1">
        <v>42933</v>
      </c>
      <c r="B565">
        <v>11</v>
      </c>
      <c r="C565">
        <v>18</v>
      </c>
      <c r="D565">
        <v>6</v>
      </c>
      <c r="E565">
        <v>17</v>
      </c>
    </row>
    <row r="566" spans="1:5" x14ac:dyDescent="0.4">
      <c r="A566" s="1">
        <v>42934</v>
      </c>
      <c r="B566">
        <v>6</v>
      </c>
      <c r="C566">
        <v>14</v>
      </c>
      <c r="D566">
        <v>8</v>
      </c>
      <c r="E566">
        <v>12</v>
      </c>
    </row>
    <row r="567" spans="1:5" x14ac:dyDescent="0.4">
      <c r="A567" s="1">
        <v>42935</v>
      </c>
      <c r="B567">
        <v>8</v>
      </c>
      <c r="C567">
        <v>1</v>
      </c>
      <c r="D567">
        <v>13</v>
      </c>
      <c r="E567">
        <v>3</v>
      </c>
    </row>
    <row r="568" spans="1:5" x14ac:dyDescent="0.4">
      <c r="A568" s="1">
        <v>42936</v>
      </c>
      <c r="B568">
        <v>10</v>
      </c>
      <c r="C568">
        <v>6</v>
      </c>
      <c r="D568">
        <v>16</v>
      </c>
      <c r="E568">
        <v>11</v>
      </c>
    </row>
    <row r="569" spans="1:5" x14ac:dyDescent="0.4">
      <c r="A569" s="1">
        <v>42937</v>
      </c>
      <c r="B569">
        <v>14</v>
      </c>
      <c r="C569">
        <v>7</v>
      </c>
      <c r="D569">
        <v>9</v>
      </c>
      <c r="E569">
        <v>17</v>
      </c>
    </row>
    <row r="570" spans="1:5" x14ac:dyDescent="0.4">
      <c r="A570" s="1">
        <v>42938</v>
      </c>
      <c r="B570">
        <v>9</v>
      </c>
      <c r="C570">
        <v>11</v>
      </c>
      <c r="D570">
        <v>0</v>
      </c>
      <c r="E570">
        <v>12</v>
      </c>
    </row>
    <row r="571" spans="1:5" x14ac:dyDescent="0.4">
      <c r="A571" s="1">
        <v>42939</v>
      </c>
      <c r="B571">
        <v>6</v>
      </c>
      <c r="C571">
        <v>4</v>
      </c>
      <c r="D571">
        <v>4</v>
      </c>
      <c r="E571">
        <v>7</v>
      </c>
    </row>
    <row r="572" spans="1:5" x14ac:dyDescent="0.4">
      <c r="A572" s="1">
        <v>42940</v>
      </c>
      <c r="B572">
        <v>1</v>
      </c>
      <c r="C572">
        <v>18</v>
      </c>
      <c r="D572">
        <v>7</v>
      </c>
      <c r="E572">
        <v>12</v>
      </c>
    </row>
    <row r="573" spans="1:5" x14ac:dyDescent="0.4">
      <c r="A573" s="1">
        <v>42941</v>
      </c>
      <c r="B573">
        <v>8</v>
      </c>
      <c r="C573">
        <v>8</v>
      </c>
      <c r="D573">
        <v>7</v>
      </c>
      <c r="E573">
        <v>2</v>
      </c>
    </row>
    <row r="574" spans="1:5" x14ac:dyDescent="0.4">
      <c r="A574" s="1">
        <v>42942</v>
      </c>
      <c r="B574">
        <v>11</v>
      </c>
      <c r="C574">
        <v>5</v>
      </c>
      <c r="D574">
        <v>19</v>
      </c>
      <c r="E574">
        <v>15</v>
      </c>
    </row>
    <row r="575" spans="1:5" x14ac:dyDescent="0.4">
      <c r="A575" s="1">
        <v>42943</v>
      </c>
      <c r="B575">
        <v>15</v>
      </c>
      <c r="C575">
        <v>18</v>
      </c>
      <c r="D575">
        <v>8</v>
      </c>
      <c r="E575">
        <v>11</v>
      </c>
    </row>
    <row r="576" spans="1:5" x14ac:dyDescent="0.4">
      <c r="A576" s="1">
        <v>42944</v>
      </c>
      <c r="B576">
        <v>11</v>
      </c>
      <c r="C576">
        <v>14</v>
      </c>
      <c r="D576">
        <v>16</v>
      </c>
      <c r="E576">
        <v>10</v>
      </c>
    </row>
    <row r="577" spans="1:5" x14ac:dyDescent="0.4">
      <c r="A577" s="1">
        <v>42945</v>
      </c>
      <c r="B577">
        <v>13</v>
      </c>
      <c r="C577">
        <v>18</v>
      </c>
      <c r="D577">
        <v>3</v>
      </c>
      <c r="E577">
        <v>3</v>
      </c>
    </row>
    <row r="578" spans="1:5" x14ac:dyDescent="0.4">
      <c r="A578" s="1">
        <v>42946</v>
      </c>
      <c r="B578">
        <v>16</v>
      </c>
      <c r="C578">
        <v>9</v>
      </c>
      <c r="D578">
        <v>9</v>
      </c>
      <c r="E578">
        <v>15</v>
      </c>
    </row>
    <row r="579" spans="1:5" x14ac:dyDescent="0.4">
      <c r="A579" s="1">
        <v>42947</v>
      </c>
      <c r="B579">
        <v>8</v>
      </c>
      <c r="C579">
        <v>6</v>
      </c>
      <c r="D579">
        <v>16</v>
      </c>
      <c r="E579">
        <v>10</v>
      </c>
    </row>
    <row r="580" spans="1:5" x14ac:dyDescent="0.4">
      <c r="A580" s="1">
        <v>42948</v>
      </c>
      <c r="B580">
        <v>15</v>
      </c>
      <c r="C580">
        <v>16</v>
      </c>
      <c r="D580">
        <v>6</v>
      </c>
      <c r="E580">
        <v>16</v>
      </c>
    </row>
    <row r="581" spans="1:5" x14ac:dyDescent="0.4">
      <c r="A581" s="1">
        <v>42949</v>
      </c>
      <c r="B581">
        <v>14</v>
      </c>
      <c r="C581">
        <v>1</v>
      </c>
      <c r="D581">
        <v>1</v>
      </c>
      <c r="E581">
        <v>15</v>
      </c>
    </row>
    <row r="582" spans="1:5" x14ac:dyDescent="0.4">
      <c r="A582" s="1">
        <v>42950</v>
      </c>
      <c r="B582">
        <v>13</v>
      </c>
      <c r="C582">
        <v>1</v>
      </c>
      <c r="D582">
        <v>18</v>
      </c>
      <c r="E582">
        <v>11</v>
      </c>
    </row>
    <row r="583" spans="1:5" x14ac:dyDescent="0.4">
      <c r="A583" s="1">
        <v>42951</v>
      </c>
      <c r="B583">
        <v>14</v>
      </c>
      <c r="C583">
        <v>14</v>
      </c>
      <c r="D583">
        <v>5</v>
      </c>
      <c r="E583">
        <v>12</v>
      </c>
    </row>
    <row r="584" spans="1:5" x14ac:dyDescent="0.4">
      <c r="A584" s="1">
        <v>42952</v>
      </c>
      <c r="B584">
        <v>3</v>
      </c>
      <c r="C584">
        <v>4</v>
      </c>
      <c r="D584">
        <v>18</v>
      </c>
      <c r="E584">
        <v>6</v>
      </c>
    </row>
    <row r="585" spans="1:5" x14ac:dyDescent="0.4">
      <c r="A585" s="1">
        <v>42953</v>
      </c>
      <c r="B585">
        <v>15</v>
      </c>
      <c r="C585">
        <v>7</v>
      </c>
      <c r="D585">
        <v>8</v>
      </c>
      <c r="E585">
        <v>4</v>
      </c>
    </row>
    <row r="586" spans="1:5" x14ac:dyDescent="0.4">
      <c r="A586" s="1">
        <v>42954</v>
      </c>
      <c r="B586">
        <v>1</v>
      </c>
      <c r="C586">
        <v>15</v>
      </c>
      <c r="D586">
        <v>14</v>
      </c>
      <c r="E586">
        <v>11</v>
      </c>
    </row>
    <row r="587" spans="1:5" x14ac:dyDescent="0.4">
      <c r="A587" s="1">
        <v>42955</v>
      </c>
      <c r="B587">
        <v>4</v>
      </c>
      <c r="C587">
        <v>4</v>
      </c>
      <c r="D587">
        <v>8</v>
      </c>
      <c r="E587">
        <v>12</v>
      </c>
    </row>
    <row r="588" spans="1:5" x14ac:dyDescent="0.4">
      <c r="A588" s="1">
        <v>42956</v>
      </c>
      <c r="B588">
        <v>19</v>
      </c>
      <c r="C588">
        <v>6</v>
      </c>
      <c r="D588">
        <v>15</v>
      </c>
      <c r="E588">
        <v>8</v>
      </c>
    </row>
    <row r="589" spans="1:5" x14ac:dyDescent="0.4">
      <c r="A589" s="1">
        <v>42957</v>
      </c>
      <c r="B589">
        <v>16</v>
      </c>
      <c r="C589">
        <v>5</v>
      </c>
      <c r="D589">
        <v>7</v>
      </c>
      <c r="E589">
        <v>15</v>
      </c>
    </row>
    <row r="590" spans="1:5" x14ac:dyDescent="0.4">
      <c r="A590" s="1">
        <v>42958</v>
      </c>
      <c r="B590">
        <v>4</v>
      </c>
      <c r="C590">
        <v>9</v>
      </c>
      <c r="D590">
        <v>15</v>
      </c>
      <c r="E590">
        <v>7</v>
      </c>
    </row>
    <row r="591" spans="1:5" x14ac:dyDescent="0.4">
      <c r="A591" s="1">
        <v>42959</v>
      </c>
      <c r="B591">
        <v>3</v>
      </c>
      <c r="C591">
        <v>19</v>
      </c>
      <c r="D591">
        <v>0</v>
      </c>
      <c r="E591">
        <v>17</v>
      </c>
    </row>
    <row r="592" spans="1:5" x14ac:dyDescent="0.4">
      <c r="A592" s="1">
        <v>42960</v>
      </c>
      <c r="B592">
        <v>4</v>
      </c>
      <c r="C592">
        <v>13</v>
      </c>
      <c r="D592">
        <v>4</v>
      </c>
      <c r="E592">
        <v>1</v>
      </c>
    </row>
    <row r="593" spans="1:5" x14ac:dyDescent="0.4">
      <c r="A593" s="1">
        <v>42961</v>
      </c>
      <c r="B593">
        <v>18</v>
      </c>
      <c r="C593">
        <v>16</v>
      </c>
      <c r="D593">
        <v>4</v>
      </c>
      <c r="E593">
        <v>7</v>
      </c>
    </row>
    <row r="594" spans="1:5" x14ac:dyDescent="0.4">
      <c r="A594" s="1">
        <v>42962</v>
      </c>
      <c r="B594">
        <v>5</v>
      </c>
      <c r="C594">
        <v>9</v>
      </c>
      <c r="D594">
        <v>7</v>
      </c>
      <c r="E594">
        <v>12</v>
      </c>
    </row>
    <row r="595" spans="1:5" x14ac:dyDescent="0.4">
      <c r="A595" s="1">
        <v>42963</v>
      </c>
      <c r="B595">
        <v>5</v>
      </c>
      <c r="C595">
        <v>6</v>
      </c>
      <c r="D595">
        <v>19</v>
      </c>
      <c r="E595">
        <v>8</v>
      </c>
    </row>
    <row r="596" spans="1:5" x14ac:dyDescent="0.4">
      <c r="A596" s="1">
        <v>42964</v>
      </c>
      <c r="B596">
        <v>14</v>
      </c>
      <c r="C596">
        <v>17</v>
      </c>
      <c r="D596">
        <v>12</v>
      </c>
      <c r="E596">
        <v>10</v>
      </c>
    </row>
    <row r="597" spans="1:5" x14ac:dyDescent="0.4">
      <c r="A597" s="1">
        <v>42965</v>
      </c>
      <c r="B597">
        <v>13</v>
      </c>
      <c r="C597">
        <v>11</v>
      </c>
      <c r="D597">
        <v>17</v>
      </c>
      <c r="E597">
        <v>8</v>
      </c>
    </row>
    <row r="598" spans="1:5" x14ac:dyDescent="0.4">
      <c r="A598" s="1">
        <v>42966</v>
      </c>
      <c r="B598">
        <v>15</v>
      </c>
      <c r="C598">
        <v>6</v>
      </c>
      <c r="D598">
        <v>4</v>
      </c>
      <c r="E598">
        <v>3</v>
      </c>
    </row>
    <row r="599" spans="1:5" x14ac:dyDescent="0.4">
      <c r="A599" s="1">
        <v>42967</v>
      </c>
      <c r="B599">
        <v>15</v>
      </c>
      <c r="C599">
        <v>11</v>
      </c>
      <c r="D599">
        <v>3</v>
      </c>
      <c r="E599">
        <v>19</v>
      </c>
    </row>
    <row r="600" spans="1:5" x14ac:dyDescent="0.4">
      <c r="A600" s="1">
        <v>42968</v>
      </c>
      <c r="B600">
        <v>6</v>
      </c>
      <c r="C600">
        <v>0</v>
      </c>
      <c r="D600">
        <v>14</v>
      </c>
      <c r="E600">
        <v>19</v>
      </c>
    </row>
    <row r="601" spans="1:5" x14ac:dyDescent="0.4">
      <c r="A601" s="1">
        <v>42969</v>
      </c>
      <c r="B601">
        <v>16</v>
      </c>
      <c r="C601">
        <v>17</v>
      </c>
      <c r="D601">
        <v>9</v>
      </c>
      <c r="E601">
        <v>6</v>
      </c>
    </row>
    <row r="602" spans="1:5" x14ac:dyDescent="0.4">
      <c r="A602" s="1">
        <v>42970</v>
      </c>
      <c r="B602">
        <v>14</v>
      </c>
      <c r="C602">
        <v>8</v>
      </c>
      <c r="D602">
        <v>4</v>
      </c>
      <c r="E602">
        <v>6</v>
      </c>
    </row>
    <row r="603" spans="1:5" x14ac:dyDescent="0.4">
      <c r="A603" s="1">
        <v>42971</v>
      </c>
      <c r="B603">
        <v>17</v>
      </c>
      <c r="C603">
        <v>11</v>
      </c>
      <c r="D603">
        <v>4</v>
      </c>
      <c r="E603">
        <v>5</v>
      </c>
    </row>
    <row r="604" spans="1:5" x14ac:dyDescent="0.4">
      <c r="A604" s="1">
        <v>42972</v>
      </c>
      <c r="B604">
        <v>4</v>
      </c>
      <c r="C604">
        <v>3</v>
      </c>
      <c r="D604">
        <v>17</v>
      </c>
      <c r="E604">
        <v>13</v>
      </c>
    </row>
    <row r="605" spans="1:5" x14ac:dyDescent="0.4">
      <c r="A605" s="1">
        <v>42973</v>
      </c>
      <c r="B605">
        <v>7</v>
      </c>
      <c r="C605">
        <v>3</v>
      </c>
      <c r="D605">
        <v>7</v>
      </c>
      <c r="E605">
        <v>10</v>
      </c>
    </row>
    <row r="606" spans="1:5" x14ac:dyDescent="0.4">
      <c r="A606" s="1">
        <v>42974</v>
      </c>
      <c r="B606">
        <v>11</v>
      </c>
      <c r="C606">
        <v>12</v>
      </c>
      <c r="D606">
        <v>9</v>
      </c>
      <c r="E606">
        <v>17</v>
      </c>
    </row>
    <row r="607" spans="1:5" x14ac:dyDescent="0.4">
      <c r="A607" s="1">
        <v>42975</v>
      </c>
      <c r="B607">
        <v>7</v>
      </c>
      <c r="C607">
        <v>1</v>
      </c>
      <c r="D607">
        <v>11</v>
      </c>
      <c r="E607">
        <v>10</v>
      </c>
    </row>
    <row r="608" spans="1:5" x14ac:dyDescent="0.4">
      <c r="A608" s="1">
        <v>42976</v>
      </c>
      <c r="B608">
        <v>4</v>
      </c>
      <c r="C608">
        <v>19</v>
      </c>
      <c r="D608">
        <v>7</v>
      </c>
      <c r="E608">
        <v>0</v>
      </c>
    </row>
    <row r="609" spans="1:5" x14ac:dyDescent="0.4">
      <c r="A609" s="1">
        <v>42977</v>
      </c>
      <c r="B609">
        <v>11</v>
      </c>
      <c r="C609">
        <v>18</v>
      </c>
      <c r="D609">
        <v>7</v>
      </c>
      <c r="E609">
        <v>12</v>
      </c>
    </row>
    <row r="610" spans="1:5" x14ac:dyDescent="0.4">
      <c r="A610" s="1">
        <v>42978</v>
      </c>
      <c r="B610">
        <v>12</v>
      </c>
      <c r="C610">
        <v>17</v>
      </c>
      <c r="D610">
        <v>19</v>
      </c>
      <c r="E610">
        <v>8</v>
      </c>
    </row>
    <row r="611" spans="1:5" x14ac:dyDescent="0.4">
      <c r="A611" s="1">
        <v>42979</v>
      </c>
      <c r="B611">
        <v>2</v>
      </c>
      <c r="C611">
        <v>17</v>
      </c>
      <c r="D611">
        <v>12</v>
      </c>
      <c r="E611">
        <v>9</v>
      </c>
    </row>
    <row r="612" spans="1:5" x14ac:dyDescent="0.4">
      <c r="A612" s="1">
        <v>42980</v>
      </c>
      <c r="B612">
        <v>1</v>
      </c>
      <c r="C612">
        <v>18</v>
      </c>
      <c r="D612">
        <v>17</v>
      </c>
      <c r="E612">
        <v>7</v>
      </c>
    </row>
    <row r="613" spans="1:5" x14ac:dyDescent="0.4">
      <c r="A613" s="1">
        <v>42981</v>
      </c>
      <c r="B613">
        <v>12</v>
      </c>
      <c r="C613">
        <v>7</v>
      </c>
      <c r="D613">
        <v>4</v>
      </c>
      <c r="E613">
        <v>0</v>
      </c>
    </row>
    <row r="614" spans="1:5" x14ac:dyDescent="0.4">
      <c r="A614" s="1">
        <v>42982</v>
      </c>
      <c r="B614">
        <v>16</v>
      </c>
      <c r="C614">
        <v>16</v>
      </c>
      <c r="D614">
        <v>18</v>
      </c>
      <c r="E614">
        <v>0</v>
      </c>
    </row>
    <row r="615" spans="1:5" x14ac:dyDescent="0.4">
      <c r="A615" s="1">
        <v>42983</v>
      </c>
      <c r="B615">
        <v>12</v>
      </c>
      <c r="C615">
        <v>7</v>
      </c>
      <c r="D615">
        <v>15</v>
      </c>
      <c r="E615">
        <v>5</v>
      </c>
    </row>
    <row r="616" spans="1:5" x14ac:dyDescent="0.4">
      <c r="A616" s="1">
        <v>42984</v>
      </c>
      <c r="B616">
        <v>8</v>
      </c>
      <c r="C616">
        <v>9</v>
      </c>
      <c r="D616">
        <v>1</v>
      </c>
      <c r="E616">
        <v>8</v>
      </c>
    </row>
    <row r="617" spans="1:5" x14ac:dyDescent="0.4">
      <c r="A617" s="1">
        <v>42985</v>
      </c>
      <c r="B617">
        <v>3</v>
      </c>
      <c r="C617">
        <v>16</v>
      </c>
      <c r="D617">
        <v>3</v>
      </c>
      <c r="E617">
        <v>6</v>
      </c>
    </row>
    <row r="618" spans="1:5" x14ac:dyDescent="0.4">
      <c r="A618" s="1">
        <v>42986</v>
      </c>
      <c r="B618">
        <v>9</v>
      </c>
      <c r="C618">
        <v>16</v>
      </c>
      <c r="D618">
        <v>14</v>
      </c>
      <c r="E618">
        <v>7</v>
      </c>
    </row>
    <row r="619" spans="1:5" x14ac:dyDescent="0.4">
      <c r="A619" s="1">
        <v>42987</v>
      </c>
      <c r="B619">
        <v>19</v>
      </c>
      <c r="C619">
        <v>12</v>
      </c>
      <c r="D619">
        <v>11</v>
      </c>
      <c r="E619">
        <v>18</v>
      </c>
    </row>
    <row r="620" spans="1:5" x14ac:dyDescent="0.4">
      <c r="A620" s="1">
        <v>42988</v>
      </c>
      <c r="B620">
        <v>15</v>
      </c>
      <c r="C620">
        <v>8</v>
      </c>
      <c r="D620">
        <v>18</v>
      </c>
      <c r="E620">
        <v>11</v>
      </c>
    </row>
    <row r="621" spans="1:5" x14ac:dyDescent="0.4">
      <c r="A621" s="1">
        <v>42989</v>
      </c>
      <c r="B621">
        <v>7</v>
      </c>
      <c r="C621">
        <v>2</v>
      </c>
      <c r="D621">
        <v>0</v>
      </c>
      <c r="E621">
        <v>11</v>
      </c>
    </row>
    <row r="622" spans="1:5" x14ac:dyDescent="0.4">
      <c r="A622" s="1">
        <v>42990</v>
      </c>
      <c r="B622">
        <v>9</v>
      </c>
      <c r="C622">
        <v>13</v>
      </c>
      <c r="D622">
        <v>6</v>
      </c>
      <c r="E622">
        <v>7</v>
      </c>
    </row>
    <row r="623" spans="1:5" x14ac:dyDescent="0.4">
      <c r="A623" s="1">
        <v>42991</v>
      </c>
      <c r="B623">
        <v>10</v>
      </c>
      <c r="C623">
        <v>2</v>
      </c>
      <c r="D623">
        <v>11</v>
      </c>
      <c r="E623">
        <v>14</v>
      </c>
    </row>
    <row r="624" spans="1:5" x14ac:dyDescent="0.4">
      <c r="A624" s="1">
        <v>42992</v>
      </c>
      <c r="B624">
        <v>13</v>
      </c>
      <c r="C624">
        <v>0</v>
      </c>
      <c r="D624">
        <v>14</v>
      </c>
      <c r="E624">
        <v>19</v>
      </c>
    </row>
    <row r="625" spans="1:5" x14ac:dyDescent="0.4">
      <c r="A625" s="1">
        <v>42993</v>
      </c>
      <c r="B625">
        <v>0</v>
      </c>
      <c r="C625">
        <v>6</v>
      </c>
      <c r="D625">
        <v>7</v>
      </c>
      <c r="E625">
        <v>4</v>
      </c>
    </row>
    <row r="626" spans="1:5" x14ac:dyDescent="0.4">
      <c r="A626" s="1">
        <v>42994</v>
      </c>
      <c r="B626">
        <v>12</v>
      </c>
      <c r="C626">
        <v>11</v>
      </c>
      <c r="D626">
        <v>6</v>
      </c>
      <c r="E626">
        <v>3</v>
      </c>
    </row>
    <row r="627" spans="1:5" x14ac:dyDescent="0.4">
      <c r="A627" s="1">
        <v>42995</v>
      </c>
      <c r="B627">
        <v>17</v>
      </c>
      <c r="C627">
        <v>6</v>
      </c>
      <c r="D627">
        <v>19</v>
      </c>
      <c r="E627">
        <v>7</v>
      </c>
    </row>
    <row r="628" spans="1:5" x14ac:dyDescent="0.4">
      <c r="A628" s="1">
        <v>42996</v>
      </c>
      <c r="B628">
        <v>6</v>
      </c>
      <c r="C628">
        <v>13</v>
      </c>
      <c r="D628">
        <v>15</v>
      </c>
      <c r="E628">
        <v>4</v>
      </c>
    </row>
    <row r="629" spans="1:5" x14ac:dyDescent="0.4">
      <c r="A629" s="1">
        <v>42997</v>
      </c>
      <c r="B629">
        <v>2</v>
      </c>
      <c r="C629">
        <v>10</v>
      </c>
      <c r="D629">
        <v>18</v>
      </c>
      <c r="E629">
        <v>18</v>
      </c>
    </row>
    <row r="630" spans="1:5" x14ac:dyDescent="0.4">
      <c r="A630" s="1">
        <v>42998</v>
      </c>
      <c r="B630">
        <v>8</v>
      </c>
      <c r="C630">
        <v>5</v>
      </c>
      <c r="D630">
        <v>15</v>
      </c>
      <c r="E630">
        <v>2</v>
      </c>
    </row>
    <row r="631" spans="1:5" x14ac:dyDescent="0.4">
      <c r="A631" s="1">
        <v>42999</v>
      </c>
      <c r="B631">
        <v>15</v>
      </c>
      <c r="C631">
        <v>4</v>
      </c>
      <c r="D631">
        <v>13</v>
      </c>
      <c r="E631">
        <v>14</v>
      </c>
    </row>
    <row r="632" spans="1:5" x14ac:dyDescent="0.4">
      <c r="A632" s="1">
        <v>43000</v>
      </c>
      <c r="B632">
        <v>7</v>
      </c>
      <c r="C632">
        <v>8</v>
      </c>
      <c r="D632">
        <v>0</v>
      </c>
      <c r="E632">
        <v>16</v>
      </c>
    </row>
    <row r="633" spans="1:5" x14ac:dyDescent="0.4">
      <c r="A633" s="1">
        <v>43001</v>
      </c>
      <c r="B633">
        <v>8</v>
      </c>
      <c r="C633">
        <v>8</v>
      </c>
      <c r="D633">
        <v>7</v>
      </c>
      <c r="E633">
        <v>13</v>
      </c>
    </row>
    <row r="634" spans="1:5" x14ac:dyDescent="0.4">
      <c r="A634" s="1">
        <v>43002</v>
      </c>
      <c r="B634">
        <v>14</v>
      </c>
      <c r="C634">
        <v>7</v>
      </c>
      <c r="D634">
        <v>19</v>
      </c>
      <c r="E634">
        <v>8</v>
      </c>
    </row>
    <row r="635" spans="1:5" x14ac:dyDescent="0.4">
      <c r="A635" s="1">
        <v>43003</v>
      </c>
      <c r="B635">
        <v>8</v>
      </c>
      <c r="C635">
        <v>19</v>
      </c>
      <c r="D635">
        <v>14</v>
      </c>
      <c r="E635">
        <v>6</v>
      </c>
    </row>
    <row r="636" spans="1:5" x14ac:dyDescent="0.4">
      <c r="A636" s="1">
        <v>43004</v>
      </c>
      <c r="B636">
        <v>14</v>
      </c>
      <c r="C636">
        <v>6</v>
      </c>
      <c r="D636">
        <v>3</v>
      </c>
      <c r="E636">
        <v>13</v>
      </c>
    </row>
    <row r="637" spans="1:5" x14ac:dyDescent="0.4">
      <c r="A637" s="1">
        <v>43005</v>
      </c>
      <c r="B637">
        <v>10</v>
      </c>
      <c r="C637">
        <v>7</v>
      </c>
      <c r="D637">
        <v>3</v>
      </c>
      <c r="E637">
        <v>9</v>
      </c>
    </row>
    <row r="638" spans="1:5" x14ac:dyDescent="0.4">
      <c r="A638" s="1">
        <v>43006</v>
      </c>
      <c r="B638">
        <v>3</v>
      </c>
      <c r="C638">
        <v>19</v>
      </c>
      <c r="D638">
        <v>14</v>
      </c>
      <c r="E638">
        <v>11</v>
      </c>
    </row>
    <row r="639" spans="1:5" x14ac:dyDescent="0.4">
      <c r="A639" s="1">
        <v>43007</v>
      </c>
      <c r="B639">
        <v>5</v>
      </c>
      <c r="C639">
        <v>5</v>
      </c>
      <c r="D639">
        <v>16</v>
      </c>
      <c r="E639">
        <v>16</v>
      </c>
    </row>
    <row r="640" spans="1:5" x14ac:dyDescent="0.4">
      <c r="A640" s="1">
        <v>43008</v>
      </c>
      <c r="B640">
        <v>1</v>
      </c>
      <c r="C640">
        <v>5</v>
      </c>
      <c r="D640">
        <v>18</v>
      </c>
      <c r="E640">
        <v>14</v>
      </c>
    </row>
    <row r="641" spans="1:5" x14ac:dyDescent="0.4">
      <c r="A641" s="1">
        <v>43009</v>
      </c>
      <c r="B641">
        <v>19</v>
      </c>
      <c r="C641">
        <v>4</v>
      </c>
      <c r="D641">
        <v>0</v>
      </c>
      <c r="E641">
        <v>15</v>
      </c>
    </row>
    <row r="642" spans="1:5" x14ac:dyDescent="0.4">
      <c r="A642" s="1">
        <v>43010</v>
      </c>
      <c r="B642">
        <v>5</v>
      </c>
      <c r="C642">
        <v>13</v>
      </c>
      <c r="D642">
        <v>12</v>
      </c>
      <c r="E642">
        <v>5</v>
      </c>
    </row>
    <row r="643" spans="1:5" x14ac:dyDescent="0.4">
      <c r="A643" s="1">
        <v>43011</v>
      </c>
      <c r="B643">
        <v>12</v>
      </c>
      <c r="C643">
        <v>10</v>
      </c>
      <c r="D643">
        <v>4</v>
      </c>
      <c r="E643">
        <v>1</v>
      </c>
    </row>
    <row r="644" spans="1:5" x14ac:dyDescent="0.4">
      <c r="A644" s="1">
        <v>43012</v>
      </c>
      <c r="B644">
        <v>6</v>
      </c>
      <c r="C644">
        <v>18</v>
      </c>
      <c r="D644">
        <v>7</v>
      </c>
      <c r="E644">
        <v>4</v>
      </c>
    </row>
    <row r="645" spans="1:5" x14ac:dyDescent="0.4">
      <c r="A645" s="1">
        <v>43013</v>
      </c>
      <c r="B645">
        <v>17</v>
      </c>
      <c r="C645">
        <v>9</v>
      </c>
      <c r="D645">
        <v>17</v>
      </c>
      <c r="E645">
        <v>14</v>
      </c>
    </row>
    <row r="646" spans="1:5" x14ac:dyDescent="0.4">
      <c r="A646" s="1">
        <v>43014</v>
      </c>
      <c r="B646">
        <v>6</v>
      </c>
      <c r="C646">
        <v>11</v>
      </c>
      <c r="D646">
        <v>16</v>
      </c>
      <c r="E646">
        <v>11</v>
      </c>
    </row>
    <row r="647" spans="1:5" x14ac:dyDescent="0.4">
      <c r="A647" s="1">
        <v>43015</v>
      </c>
      <c r="B647">
        <v>15</v>
      </c>
      <c r="C647">
        <v>6</v>
      </c>
      <c r="D647">
        <v>15</v>
      </c>
      <c r="E647">
        <v>17</v>
      </c>
    </row>
    <row r="648" spans="1:5" x14ac:dyDescent="0.4">
      <c r="A648" s="1">
        <v>43016</v>
      </c>
      <c r="B648">
        <v>3</v>
      </c>
      <c r="C648">
        <v>3</v>
      </c>
      <c r="D648">
        <v>18</v>
      </c>
      <c r="E648">
        <v>13</v>
      </c>
    </row>
    <row r="649" spans="1:5" x14ac:dyDescent="0.4">
      <c r="A649" s="1">
        <v>43017</v>
      </c>
      <c r="B649">
        <v>6</v>
      </c>
      <c r="C649">
        <v>1</v>
      </c>
      <c r="D649">
        <v>0</v>
      </c>
      <c r="E649">
        <v>1</v>
      </c>
    </row>
    <row r="650" spans="1:5" x14ac:dyDescent="0.4">
      <c r="A650" s="1">
        <v>43018</v>
      </c>
      <c r="B650">
        <v>1</v>
      </c>
      <c r="C650">
        <v>16</v>
      </c>
      <c r="D650">
        <v>14</v>
      </c>
      <c r="E650">
        <v>9</v>
      </c>
    </row>
    <row r="651" spans="1:5" x14ac:dyDescent="0.4">
      <c r="A651" s="1">
        <v>43019</v>
      </c>
      <c r="B651">
        <v>9</v>
      </c>
      <c r="C651">
        <v>9</v>
      </c>
      <c r="D651">
        <v>0</v>
      </c>
      <c r="E651">
        <v>12</v>
      </c>
    </row>
    <row r="652" spans="1:5" x14ac:dyDescent="0.4">
      <c r="A652" s="1">
        <v>43020</v>
      </c>
      <c r="B652">
        <v>9</v>
      </c>
      <c r="C652">
        <v>9</v>
      </c>
      <c r="D652">
        <v>7</v>
      </c>
      <c r="E652">
        <v>12</v>
      </c>
    </row>
    <row r="653" spans="1:5" x14ac:dyDescent="0.4">
      <c r="A653" s="1">
        <v>43021</v>
      </c>
      <c r="B653">
        <v>11</v>
      </c>
      <c r="C653">
        <v>6</v>
      </c>
      <c r="D653">
        <v>19</v>
      </c>
      <c r="E653">
        <v>17</v>
      </c>
    </row>
    <row r="654" spans="1:5" x14ac:dyDescent="0.4">
      <c r="A654" s="1">
        <v>43022</v>
      </c>
      <c r="B654">
        <v>0</v>
      </c>
      <c r="C654">
        <v>0</v>
      </c>
      <c r="D654">
        <v>5</v>
      </c>
      <c r="E654">
        <v>3</v>
      </c>
    </row>
    <row r="655" spans="1:5" x14ac:dyDescent="0.4">
      <c r="A655" s="1">
        <v>43023</v>
      </c>
      <c r="B655">
        <v>6</v>
      </c>
      <c r="C655">
        <v>19</v>
      </c>
      <c r="D655">
        <v>6</v>
      </c>
      <c r="E655">
        <v>9</v>
      </c>
    </row>
    <row r="656" spans="1:5" x14ac:dyDescent="0.4">
      <c r="A656" s="1">
        <v>43024</v>
      </c>
      <c r="B656">
        <v>2</v>
      </c>
      <c r="C656">
        <v>11</v>
      </c>
      <c r="D656">
        <v>18</v>
      </c>
      <c r="E656">
        <v>6</v>
      </c>
    </row>
    <row r="657" spans="1:5" x14ac:dyDescent="0.4">
      <c r="A657" s="1">
        <v>43025</v>
      </c>
      <c r="B657">
        <v>6</v>
      </c>
      <c r="C657">
        <v>5</v>
      </c>
      <c r="D657">
        <v>10</v>
      </c>
      <c r="E657">
        <v>0</v>
      </c>
    </row>
    <row r="658" spans="1:5" x14ac:dyDescent="0.4">
      <c r="A658" s="1">
        <v>43026</v>
      </c>
      <c r="B658">
        <v>15</v>
      </c>
      <c r="C658">
        <v>9</v>
      </c>
      <c r="D658">
        <v>7</v>
      </c>
      <c r="E658">
        <v>5</v>
      </c>
    </row>
    <row r="659" spans="1:5" x14ac:dyDescent="0.4">
      <c r="A659" s="1">
        <v>43027</v>
      </c>
      <c r="B659">
        <v>12</v>
      </c>
      <c r="C659">
        <v>6</v>
      </c>
      <c r="D659">
        <v>1</v>
      </c>
      <c r="E659">
        <v>16</v>
      </c>
    </row>
    <row r="660" spans="1:5" x14ac:dyDescent="0.4">
      <c r="A660" s="1">
        <v>43028</v>
      </c>
      <c r="B660">
        <v>19</v>
      </c>
      <c r="C660">
        <v>16</v>
      </c>
      <c r="D660">
        <v>17</v>
      </c>
      <c r="E660">
        <v>13</v>
      </c>
    </row>
    <row r="661" spans="1:5" x14ac:dyDescent="0.4">
      <c r="A661" s="1">
        <v>43029</v>
      </c>
      <c r="B661">
        <v>16</v>
      </c>
      <c r="C661">
        <v>14</v>
      </c>
      <c r="D661">
        <v>6</v>
      </c>
      <c r="E661">
        <v>5</v>
      </c>
    </row>
    <row r="662" spans="1:5" x14ac:dyDescent="0.4">
      <c r="A662" s="1">
        <v>43030</v>
      </c>
      <c r="B662">
        <v>11</v>
      </c>
      <c r="C662">
        <v>17</v>
      </c>
      <c r="D662">
        <v>7</v>
      </c>
      <c r="E662">
        <v>16</v>
      </c>
    </row>
    <row r="663" spans="1:5" x14ac:dyDescent="0.4">
      <c r="A663" s="1">
        <v>43031</v>
      </c>
      <c r="B663">
        <v>12</v>
      </c>
      <c r="C663">
        <v>4</v>
      </c>
      <c r="D663">
        <v>4</v>
      </c>
      <c r="E663">
        <v>10</v>
      </c>
    </row>
    <row r="664" spans="1:5" x14ac:dyDescent="0.4">
      <c r="A664" s="1">
        <v>43032</v>
      </c>
      <c r="B664">
        <v>3</v>
      </c>
      <c r="C664">
        <v>2</v>
      </c>
      <c r="D664">
        <v>7</v>
      </c>
      <c r="E664">
        <v>12</v>
      </c>
    </row>
    <row r="665" spans="1:5" x14ac:dyDescent="0.4">
      <c r="A665" s="1">
        <v>43033</v>
      </c>
      <c r="B665">
        <v>18</v>
      </c>
      <c r="C665">
        <v>9</v>
      </c>
      <c r="D665">
        <v>10</v>
      </c>
      <c r="E665">
        <v>8</v>
      </c>
    </row>
    <row r="666" spans="1:5" x14ac:dyDescent="0.4">
      <c r="A666" s="1">
        <v>43034</v>
      </c>
      <c r="B666">
        <v>6</v>
      </c>
      <c r="C666">
        <v>2</v>
      </c>
      <c r="D666">
        <v>1</v>
      </c>
      <c r="E666">
        <v>13</v>
      </c>
    </row>
    <row r="667" spans="1:5" x14ac:dyDescent="0.4">
      <c r="A667" s="1">
        <v>43035</v>
      </c>
      <c r="B667">
        <v>12</v>
      </c>
      <c r="C667">
        <v>3</v>
      </c>
      <c r="D667">
        <v>6</v>
      </c>
      <c r="E667">
        <v>2</v>
      </c>
    </row>
    <row r="668" spans="1:5" x14ac:dyDescent="0.4">
      <c r="A668" s="1">
        <v>43036</v>
      </c>
      <c r="B668">
        <v>11</v>
      </c>
      <c r="C668">
        <v>9</v>
      </c>
      <c r="D668">
        <v>6</v>
      </c>
      <c r="E668">
        <v>11</v>
      </c>
    </row>
    <row r="669" spans="1:5" x14ac:dyDescent="0.4">
      <c r="A669" s="1">
        <v>43037</v>
      </c>
      <c r="B669">
        <v>15</v>
      </c>
      <c r="C669">
        <v>16</v>
      </c>
      <c r="D669">
        <v>15</v>
      </c>
      <c r="E669">
        <v>16</v>
      </c>
    </row>
    <row r="670" spans="1:5" x14ac:dyDescent="0.4">
      <c r="A670" s="1">
        <v>43038</v>
      </c>
      <c r="B670">
        <v>14</v>
      </c>
      <c r="C670">
        <v>13</v>
      </c>
      <c r="D670">
        <v>18</v>
      </c>
      <c r="E670">
        <v>4</v>
      </c>
    </row>
    <row r="671" spans="1:5" x14ac:dyDescent="0.4">
      <c r="A671" s="1">
        <v>43039</v>
      </c>
      <c r="B671">
        <v>13</v>
      </c>
      <c r="C671">
        <v>15</v>
      </c>
      <c r="D671">
        <v>6</v>
      </c>
      <c r="E671">
        <v>12</v>
      </c>
    </row>
    <row r="672" spans="1:5" x14ac:dyDescent="0.4">
      <c r="A672" s="1">
        <v>43040</v>
      </c>
      <c r="B672">
        <v>15</v>
      </c>
      <c r="C672">
        <v>1</v>
      </c>
      <c r="D672">
        <v>18</v>
      </c>
      <c r="E672">
        <v>2</v>
      </c>
    </row>
    <row r="673" spans="1:5" x14ac:dyDescent="0.4">
      <c r="A673" s="1">
        <v>43041</v>
      </c>
      <c r="B673">
        <v>5</v>
      </c>
      <c r="C673">
        <v>4</v>
      </c>
      <c r="D673">
        <v>7</v>
      </c>
      <c r="E673">
        <v>0</v>
      </c>
    </row>
    <row r="674" spans="1:5" x14ac:dyDescent="0.4">
      <c r="A674" s="1">
        <v>43042</v>
      </c>
      <c r="B674">
        <v>10</v>
      </c>
      <c r="C674">
        <v>11</v>
      </c>
      <c r="D674">
        <v>4</v>
      </c>
      <c r="E674">
        <v>1</v>
      </c>
    </row>
    <row r="675" spans="1:5" x14ac:dyDescent="0.4">
      <c r="A675" s="1">
        <v>43043</v>
      </c>
      <c r="B675">
        <v>10</v>
      </c>
      <c r="C675">
        <v>19</v>
      </c>
      <c r="D675">
        <v>5</v>
      </c>
      <c r="E675">
        <v>0</v>
      </c>
    </row>
    <row r="676" spans="1:5" x14ac:dyDescent="0.4">
      <c r="A676" s="1">
        <v>43044</v>
      </c>
      <c r="B676">
        <v>11</v>
      </c>
      <c r="C676">
        <v>15</v>
      </c>
      <c r="D676">
        <v>16</v>
      </c>
      <c r="E676">
        <v>6</v>
      </c>
    </row>
    <row r="677" spans="1:5" x14ac:dyDescent="0.4">
      <c r="A677" s="1">
        <v>43045</v>
      </c>
      <c r="B677">
        <v>5</v>
      </c>
      <c r="C677">
        <v>3</v>
      </c>
      <c r="D677">
        <v>16</v>
      </c>
      <c r="E677">
        <v>13</v>
      </c>
    </row>
    <row r="678" spans="1:5" x14ac:dyDescent="0.4">
      <c r="A678" s="1">
        <v>43046</v>
      </c>
      <c r="B678">
        <v>8</v>
      </c>
      <c r="C678">
        <v>12</v>
      </c>
      <c r="D678">
        <v>18</v>
      </c>
      <c r="E678">
        <v>10</v>
      </c>
    </row>
    <row r="679" spans="1:5" x14ac:dyDescent="0.4">
      <c r="A679" s="1">
        <v>43047</v>
      </c>
      <c r="B679">
        <v>7</v>
      </c>
      <c r="C679">
        <v>13</v>
      </c>
      <c r="D679">
        <v>8</v>
      </c>
      <c r="E679">
        <v>13</v>
      </c>
    </row>
    <row r="680" spans="1:5" x14ac:dyDescent="0.4">
      <c r="A680" s="1">
        <v>43048</v>
      </c>
      <c r="B680">
        <v>19</v>
      </c>
      <c r="C680">
        <v>18</v>
      </c>
      <c r="D680">
        <v>1</v>
      </c>
      <c r="E680">
        <v>13</v>
      </c>
    </row>
    <row r="681" spans="1:5" x14ac:dyDescent="0.4">
      <c r="A681" s="1">
        <v>43049</v>
      </c>
      <c r="B681">
        <v>10</v>
      </c>
      <c r="C681">
        <v>10</v>
      </c>
      <c r="D681">
        <v>7</v>
      </c>
      <c r="E681">
        <v>18</v>
      </c>
    </row>
    <row r="682" spans="1:5" x14ac:dyDescent="0.4">
      <c r="A682" s="1">
        <v>43050</v>
      </c>
      <c r="B682">
        <v>11</v>
      </c>
      <c r="C682">
        <v>10</v>
      </c>
      <c r="D682">
        <v>8</v>
      </c>
      <c r="E682">
        <v>11</v>
      </c>
    </row>
    <row r="683" spans="1:5" x14ac:dyDescent="0.4">
      <c r="A683" s="1">
        <v>43051</v>
      </c>
      <c r="B683">
        <v>9</v>
      </c>
      <c r="C683">
        <v>7</v>
      </c>
      <c r="D683">
        <v>9</v>
      </c>
      <c r="E683">
        <v>8</v>
      </c>
    </row>
    <row r="684" spans="1:5" x14ac:dyDescent="0.4">
      <c r="A684" s="1">
        <v>43052</v>
      </c>
      <c r="B684">
        <v>0</v>
      </c>
      <c r="C684">
        <v>9</v>
      </c>
      <c r="D684">
        <v>4</v>
      </c>
      <c r="E684">
        <v>12</v>
      </c>
    </row>
    <row r="685" spans="1:5" x14ac:dyDescent="0.4">
      <c r="A685" s="1">
        <v>43053</v>
      </c>
      <c r="B685">
        <v>7</v>
      </c>
      <c r="C685">
        <v>16</v>
      </c>
      <c r="D685">
        <v>3</v>
      </c>
      <c r="E685">
        <v>11</v>
      </c>
    </row>
    <row r="686" spans="1:5" x14ac:dyDescent="0.4">
      <c r="A686" s="1">
        <v>43054</v>
      </c>
      <c r="B686">
        <v>2</v>
      </c>
      <c r="C686">
        <v>18</v>
      </c>
      <c r="D686">
        <v>16</v>
      </c>
      <c r="E686">
        <v>19</v>
      </c>
    </row>
    <row r="687" spans="1:5" x14ac:dyDescent="0.4">
      <c r="A687" s="1">
        <v>43055</v>
      </c>
      <c r="B687">
        <v>13</v>
      </c>
      <c r="C687">
        <v>12</v>
      </c>
      <c r="D687">
        <v>7</v>
      </c>
      <c r="E687">
        <v>7</v>
      </c>
    </row>
    <row r="688" spans="1:5" x14ac:dyDescent="0.4">
      <c r="A688" s="1">
        <v>43056</v>
      </c>
      <c r="B688">
        <v>3</v>
      </c>
      <c r="C688">
        <v>19</v>
      </c>
      <c r="D688">
        <v>7</v>
      </c>
      <c r="E688">
        <v>13</v>
      </c>
    </row>
    <row r="689" spans="1:5" x14ac:dyDescent="0.4">
      <c r="A689" s="1">
        <v>43057</v>
      </c>
      <c r="B689">
        <v>3</v>
      </c>
      <c r="C689">
        <v>2</v>
      </c>
      <c r="D689">
        <v>4</v>
      </c>
      <c r="E689">
        <v>1</v>
      </c>
    </row>
    <row r="690" spans="1:5" x14ac:dyDescent="0.4">
      <c r="A690" s="1">
        <v>43058</v>
      </c>
      <c r="B690">
        <v>7</v>
      </c>
      <c r="C690">
        <v>17</v>
      </c>
      <c r="D690">
        <v>4</v>
      </c>
      <c r="E690">
        <v>15</v>
      </c>
    </row>
    <row r="691" spans="1:5" x14ac:dyDescent="0.4">
      <c r="A691" s="1">
        <v>43059</v>
      </c>
      <c r="B691">
        <v>1</v>
      </c>
      <c r="C691">
        <v>18</v>
      </c>
      <c r="D691">
        <v>18</v>
      </c>
      <c r="E691">
        <v>7</v>
      </c>
    </row>
    <row r="692" spans="1:5" x14ac:dyDescent="0.4">
      <c r="A692" s="1">
        <v>43060</v>
      </c>
      <c r="B692">
        <v>12</v>
      </c>
      <c r="C692">
        <v>7</v>
      </c>
      <c r="D692">
        <v>18</v>
      </c>
      <c r="E692">
        <v>0</v>
      </c>
    </row>
    <row r="693" spans="1:5" x14ac:dyDescent="0.4">
      <c r="A693" s="1">
        <v>43061</v>
      </c>
      <c r="B693">
        <v>14</v>
      </c>
      <c r="C693">
        <v>19</v>
      </c>
      <c r="D693">
        <v>1</v>
      </c>
      <c r="E693">
        <v>6</v>
      </c>
    </row>
    <row r="694" spans="1:5" x14ac:dyDescent="0.4">
      <c r="A694" s="1">
        <v>43062</v>
      </c>
      <c r="B694">
        <v>8</v>
      </c>
      <c r="C694">
        <v>8</v>
      </c>
      <c r="D694">
        <v>5</v>
      </c>
      <c r="E694">
        <v>10</v>
      </c>
    </row>
    <row r="695" spans="1:5" x14ac:dyDescent="0.4">
      <c r="A695" s="1">
        <v>43063</v>
      </c>
      <c r="B695">
        <v>8</v>
      </c>
      <c r="C695">
        <v>13</v>
      </c>
      <c r="D695">
        <v>0</v>
      </c>
      <c r="E695">
        <v>12</v>
      </c>
    </row>
    <row r="696" spans="1:5" x14ac:dyDescent="0.4">
      <c r="A696" s="1">
        <v>43064</v>
      </c>
      <c r="B696">
        <v>6</v>
      </c>
      <c r="C696">
        <v>11</v>
      </c>
      <c r="D696">
        <v>3</v>
      </c>
      <c r="E696">
        <v>18</v>
      </c>
    </row>
    <row r="697" spans="1:5" x14ac:dyDescent="0.4">
      <c r="A697" s="1">
        <v>43065</v>
      </c>
      <c r="B697">
        <v>14</v>
      </c>
      <c r="C697">
        <v>7</v>
      </c>
      <c r="D697">
        <v>8</v>
      </c>
      <c r="E697">
        <v>18</v>
      </c>
    </row>
    <row r="698" spans="1:5" x14ac:dyDescent="0.4">
      <c r="A698" s="1">
        <v>43066</v>
      </c>
      <c r="B698">
        <v>4</v>
      </c>
      <c r="C698">
        <v>9</v>
      </c>
      <c r="D698">
        <v>7</v>
      </c>
      <c r="E698">
        <v>17</v>
      </c>
    </row>
    <row r="699" spans="1:5" x14ac:dyDescent="0.4">
      <c r="A699" s="1">
        <v>43067</v>
      </c>
      <c r="B699">
        <v>0</v>
      </c>
      <c r="C699">
        <v>14</v>
      </c>
      <c r="D699">
        <v>14</v>
      </c>
      <c r="E699">
        <v>7</v>
      </c>
    </row>
    <row r="700" spans="1:5" x14ac:dyDescent="0.4">
      <c r="A700" s="1">
        <v>43068</v>
      </c>
      <c r="B700">
        <v>17</v>
      </c>
      <c r="C700">
        <v>13</v>
      </c>
      <c r="D700">
        <v>7</v>
      </c>
      <c r="E700">
        <v>8</v>
      </c>
    </row>
    <row r="701" spans="1:5" x14ac:dyDescent="0.4">
      <c r="A701" s="1">
        <v>43069</v>
      </c>
      <c r="B701">
        <v>0</v>
      </c>
      <c r="C701">
        <v>10</v>
      </c>
      <c r="D701">
        <v>0</v>
      </c>
      <c r="E701">
        <v>11</v>
      </c>
    </row>
    <row r="702" spans="1:5" x14ac:dyDescent="0.4">
      <c r="A702" s="1">
        <v>43070</v>
      </c>
      <c r="B702">
        <v>9</v>
      </c>
      <c r="C702">
        <v>0</v>
      </c>
      <c r="D702">
        <v>8</v>
      </c>
      <c r="E702">
        <v>0</v>
      </c>
    </row>
    <row r="703" spans="1:5" x14ac:dyDescent="0.4">
      <c r="A703" s="1">
        <v>43071</v>
      </c>
      <c r="B703">
        <v>14</v>
      </c>
      <c r="C703">
        <v>12</v>
      </c>
      <c r="D703">
        <v>4</v>
      </c>
      <c r="E703">
        <v>2</v>
      </c>
    </row>
    <row r="704" spans="1:5" x14ac:dyDescent="0.4">
      <c r="A704" s="1">
        <v>43072</v>
      </c>
      <c r="B704">
        <v>15</v>
      </c>
      <c r="C704">
        <v>17</v>
      </c>
      <c r="D704">
        <v>19</v>
      </c>
      <c r="E704">
        <v>16</v>
      </c>
    </row>
    <row r="705" spans="1:5" x14ac:dyDescent="0.4">
      <c r="A705" s="1">
        <v>43073</v>
      </c>
      <c r="B705">
        <v>16</v>
      </c>
      <c r="C705">
        <v>6</v>
      </c>
      <c r="D705">
        <v>18</v>
      </c>
      <c r="E705">
        <v>15</v>
      </c>
    </row>
    <row r="706" spans="1:5" x14ac:dyDescent="0.4">
      <c r="A706" s="1">
        <v>43074</v>
      </c>
      <c r="B706">
        <v>4</v>
      </c>
      <c r="C706">
        <v>9</v>
      </c>
      <c r="D706">
        <v>10</v>
      </c>
      <c r="E706">
        <v>13</v>
      </c>
    </row>
    <row r="707" spans="1:5" x14ac:dyDescent="0.4">
      <c r="A707" s="1">
        <v>43075</v>
      </c>
      <c r="B707">
        <v>9</v>
      </c>
      <c r="C707">
        <v>18</v>
      </c>
      <c r="D707">
        <v>8</v>
      </c>
      <c r="E707">
        <v>17</v>
      </c>
    </row>
    <row r="708" spans="1:5" x14ac:dyDescent="0.4">
      <c r="A708" s="1">
        <v>43076</v>
      </c>
      <c r="B708">
        <v>17</v>
      </c>
      <c r="C708">
        <v>10</v>
      </c>
      <c r="D708">
        <v>5</v>
      </c>
      <c r="E708">
        <v>16</v>
      </c>
    </row>
    <row r="709" spans="1:5" x14ac:dyDescent="0.4">
      <c r="A709" s="1">
        <v>43077</v>
      </c>
      <c r="B709">
        <v>16</v>
      </c>
      <c r="C709">
        <v>9</v>
      </c>
      <c r="D709">
        <v>1</v>
      </c>
      <c r="E709">
        <v>17</v>
      </c>
    </row>
    <row r="710" spans="1:5" x14ac:dyDescent="0.4">
      <c r="A710" s="1">
        <v>43078</v>
      </c>
      <c r="B710">
        <v>8</v>
      </c>
      <c r="C710">
        <v>3</v>
      </c>
      <c r="D710">
        <v>10</v>
      </c>
      <c r="E710">
        <v>1</v>
      </c>
    </row>
    <row r="711" spans="1:5" x14ac:dyDescent="0.4">
      <c r="A711" s="1">
        <v>43079</v>
      </c>
      <c r="B711">
        <v>9</v>
      </c>
      <c r="C711">
        <v>11</v>
      </c>
      <c r="D711">
        <v>17</v>
      </c>
      <c r="E711">
        <v>16</v>
      </c>
    </row>
    <row r="712" spans="1:5" x14ac:dyDescent="0.4">
      <c r="A712" s="1">
        <v>43080</v>
      </c>
      <c r="B712">
        <v>6</v>
      </c>
      <c r="C712">
        <v>4</v>
      </c>
      <c r="D712">
        <v>19</v>
      </c>
      <c r="E712">
        <v>18</v>
      </c>
    </row>
    <row r="713" spans="1:5" x14ac:dyDescent="0.4">
      <c r="A713" s="1">
        <v>43081</v>
      </c>
      <c r="B713">
        <v>4</v>
      </c>
      <c r="C713">
        <v>10</v>
      </c>
      <c r="D713">
        <v>12</v>
      </c>
      <c r="E713">
        <v>4</v>
      </c>
    </row>
    <row r="714" spans="1:5" x14ac:dyDescent="0.4">
      <c r="A714" s="1">
        <v>43082</v>
      </c>
      <c r="B714">
        <v>16</v>
      </c>
      <c r="C714">
        <v>14</v>
      </c>
      <c r="D714">
        <v>14</v>
      </c>
      <c r="E714">
        <v>11</v>
      </c>
    </row>
    <row r="715" spans="1:5" x14ac:dyDescent="0.4">
      <c r="A715" s="1">
        <v>43083</v>
      </c>
      <c r="B715">
        <v>10</v>
      </c>
      <c r="C715">
        <v>1</v>
      </c>
      <c r="D715">
        <v>10</v>
      </c>
      <c r="E715">
        <v>19</v>
      </c>
    </row>
    <row r="716" spans="1:5" x14ac:dyDescent="0.4">
      <c r="A716" s="1">
        <v>43084</v>
      </c>
      <c r="B716">
        <v>10</v>
      </c>
      <c r="C716">
        <v>11</v>
      </c>
      <c r="D716">
        <v>8</v>
      </c>
      <c r="E716">
        <v>12</v>
      </c>
    </row>
    <row r="717" spans="1:5" x14ac:dyDescent="0.4">
      <c r="A717" s="1">
        <v>43085</v>
      </c>
      <c r="B717">
        <v>12</v>
      </c>
      <c r="C717">
        <v>8</v>
      </c>
      <c r="D717">
        <v>8</v>
      </c>
      <c r="E717">
        <v>11</v>
      </c>
    </row>
    <row r="718" spans="1:5" x14ac:dyDescent="0.4">
      <c r="A718" s="1">
        <v>43086</v>
      </c>
      <c r="B718">
        <v>1</v>
      </c>
      <c r="C718">
        <v>10</v>
      </c>
      <c r="D718">
        <v>6</v>
      </c>
      <c r="E718">
        <v>3</v>
      </c>
    </row>
    <row r="719" spans="1:5" x14ac:dyDescent="0.4">
      <c r="A719" s="1">
        <v>43087</v>
      </c>
      <c r="B719">
        <v>14</v>
      </c>
      <c r="C719">
        <v>5</v>
      </c>
      <c r="D719">
        <v>18</v>
      </c>
      <c r="E719">
        <v>9</v>
      </c>
    </row>
    <row r="720" spans="1:5" x14ac:dyDescent="0.4">
      <c r="A720" s="1">
        <v>43088</v>
      </c>
      <c r="B720">
        <v>5</v>
      </c>
      <c r="C720">
        <v>12</v>
      </c>
      <c r="D720">
        <v>12</v>
      </c>
      <c r="E720">
        <v>11</v>
      </c>
    </row>
    <row r="721" spans="1:5" x14ac:dyDescent="0.4">
      <c r="A721" s="1">
        <v>43089</v>
      </c>
      <c r="B721">
        <v>1</v>
      </c>
      <c r="C721">
        <v>6</v>
      </c>
      <c r="D721">
        <v>15</v>
      </c>
      <c r="E721">
        <v>16</v>
      </c>
    </row>
    <row r="722" spans="1:5" x14ac:dyDescent="0.4">
      <c r="A722" s="1">
        <v>43090</v>
      </c>
      <c r="B722">
        <v>5</v>
      </c>
      <c r="C722">
        <v>12</v>
      </c>
      <c r="D722">
        <v>13</v>
      </c>
      <c r="E722">
        <v>7</v>
      </c>
    </row>
    <row r="723" spans="1:5" x14ac:dyDescent="0.4">
      <c r="A723" s="1">
        <v>43091</v>
      </c>
      <c r="B723">
        <v>19</v>
      </c>
      <c r="C723">
        <v>16</v>
      </c>
      <c r="D723">
        <v>4</v>
      </c>
      <c r="E723">
        <v>14</v>
      </c>
    </row>
    <row r="724" spans="1:5" x14ac:dyDescent="0.4">
      <c r="A724" s="1">
        <v>43092</v>
      </c>
      <c r="B724">
        <v>6</v>
      </c>
      <c r="C724">
        <v>6</v>
      </c>
      <c r="D724">
        <v>0</v>
      </c>
      <c r="E724">
        <v>3</v>
      </c>
    </row>
    <row r="725" spans="1:5" x14ac:dyDescent="0.4">
      <c r="A725" s="1">
        <v>43093</v>
      </c>
      <c r="B725">
        <v>12</v>
      </c>
      <c r="C725">
        <v>5</v>
      </c>
      <c r="D725">
        <v>0</v>
      </c>
      <c r="E725">
        <v>1</v>
      </c>
    </row>
    <row r="726" spans="1:5" x14ac:dyDescent="0.4">
      <c r="A726" s="1">
        <v>43094</v>
      </c>
      <c r="B726">
        <v>7</v>
      </c>
      <c r="C726">
        <v>2</v>
      </c>
      <c r="D726">
        <v>16</v>
      </c>
      <c r="E726">
        <v>10</v>
      </c>
    </row>
    <row r="727" spans="1:5" x14ac:dyDescent="0.4">
      <c r="A727" s="1">
        <v>43095</v>
      </c>
      <c r="B727">
        <v>7</v>
      </c>
      <c r="C727">
        <v>16</v>
      </c>
      <c r="D727">
        <v>3</v>
      </c>
      <c r="E727">
        <v>1</v>
      </c>
    </row>
    <row r="728" spans="1:5" x14ac:dyDescent="0.4">
      <c r="A728" s="1">
        <v>43096</v>
      </c>
      <c r="B728">
        <v>6</v>
      </c>
      <c r="C728">
        <v>7</v>
      </c>
      <c r="D728">
        <v>1</v>
      </c>
      <c r="E728">
        <v>5</v>
      </c>
    </row>
    <row r="729" spans="1:5" x14ac:dyDescent="0.4">
      <c r="A729" s="1">
        <v>43097</v>
      </c>
      <c r="B729">
        <v>4</v>
      </c>
      <c r="C729">
        <v>11</v>
      </c>
      <c r="D729">
        <v>7</v>
      </c>
      <c r="E729">
        <v>12</v>
      </c>
    </row>
    <row r="730" spans="1:5" x14ac:dyDescent="0.4">
      <c r="A730" s="1">
        <v>43098</v>
      </c>
      <c r="B730">
        <v>4</v>
      </c>
      <c r="C730">
        <v>5</v>
      </c>
      <c r="D730">
        <v>11</v>
      </c>
      <c r="E730">
        <v>16</v>
      </c>
    </row>
    <row r="731" spans="1:5" x14ac:dyDescent="0.4">
      <c r="A731" s="1">
        <v>43099</v>
      </c>
      <c r="B731">
        <v>8</v>
      </c>
      <c r="C731">
        <v>7</v>
      </c>
      <c r="D731">
        <v>11</v>
      </c>
      <c r="E731">
        <v>13</v>
      </c>
    </row>
    <row r="732" spans="1:5" x14ac:dyDescent="0.4">
      <c r="A732" s="1">
        <v>43100</v>
      </c>
      <c r="B732">
        <v>12</v>
      </c>
      <c r="C732">
        <v>17</v>
      </c>
      <c r="D732">
        <v>5</v>
      </c>
      <c r="E732">
        <v>5</v>
      </c>
    </row>
    <row r="733" spans="1:5" x14ac:dyDescent="0.4">
      <c r="A733" s="1">
        <v>43101</v>
      </c>
      <c r="B733">
        <v>4</v>
      </c>
      <c r="C733">
        <v>6</v>
      </c>
      <c r="D733">
        <v>16</v>
      </c>
      <c r="E733">
        <v>10</v>
      </c>
    </row>
    <row r="734" spans="1:5" x14ac:dyDescent="0.4">
      <c r="A734" s="1">
        <v>43102</v>
      </c>
      <c r="B734">
        <v>13</v>
      </c>
      <c r="C734">
        <v>4</v>
      </c>
      <c r="D734">
        <v>9</v>
      </c>
      <c r="E734">
        <v>7</v>
      </c>
    </row>
    <row r="735" spans="1:5" x14ac:dyDescent="0.4">
      <c r="A735" s="1">
        <v>43103</v>
      </c>
      <c r="B735">
        <v>11</v>
      </c>
      <c r="C735">
        <v>1</v>
      </c>
      <c r="D735">
        <v>14</v>
      </c>
      <c r="E735">
        <v>7</v>
      </c>
    </row>
    <row r="736" spans="1:5" x14ac:dyDescent="0.4">
      <c r="A736" s="1">
        <v>43104</v>
      </c>
      <c r="B736">
        <v>12</v>
      </c>
      <c r="C736">
        <v>6</v>
      </c>
      <c r="D736">
        <v>11</v>
      </c>
      <c r="E736">
        <v>5</v>
      </c>
    </row>
    <row r="737" spans="1:5" x14ac:dyDescent="0.4">
      <c r="A737" s="1">
        <v>43105</v>
      </c>
      <c r="B737">
        <v>1</v>
      </c>
      <c r="C737">
        <v>18</v>
      </c>
      <c r="D737">
        <v>1</v>
      </c>
      <c r="E737">
        <v>7</v>
      </c>
    </row>
    <row r="738" spans="1:5" x14ac:dyDescent="0.4">
      <c r="A738" s="1">
        <v>43106</v>
      </c>
      <c r="B738">
        <v>0</v>
      </c>
      <c r="C738">
        <v>0</v>
      </c>
      <c r="D738">
        <v>7</v>
      </c>
      <c r="E738">
        <v>15</v>
      </c>
    </row>
    <row r="739" spans="1:5" x14ac:dyDescent="0.4">
      <c r="A739" s="1">
        <v>43107</v>
      </c>
      <c r="B739">
        <v>3</v>
      </c>
      <c r="C739">
        <v>18</v>
      </c>
      <c r="D739">
        <v>5</v>
      </c>
      <c r="E739">
        <v>7</v>
      </c>
    </row>
    <row r="740" spans="1:5" x14ac:dyDescent="0.4">
      <c r="A740" s="1">
        <v>43108</v>
      </c>
      <c r="B740">
        <v>4</v>
      </c>
      <c r="C740">
        <v>3</v>
      </c>
      <c r="D740">
        <v>14</v>
      </c>
      <c r="E740">
        <v>14</v>
      </c>
    </row>
    <row r="741" spans="1:5" x14ac:dyDescent="0.4">
      <c r="A741" s="1">
        <v>43109</v>
      </c>
      <c r="B741">
        <v>7</v>
      </c>
      <c r="C741">
        <v>4</v>
      </c>
      <c r="D741">
        <v>8</v>
      </c>
      <c r="E741">
        <v>2</v>
      </c>
    </row>
    <row r="742" spans="1:5" x14ac:dyDescent="0.4">
      <c r="A742" s="1">
        <v>43110</v>
      </c>
      <c r="B742">
        <v>11</v>
      </c>
      <c r="C742">
        <v>12</v>
      </c>
      <c r="D742">
        <v>16</v>
      </c>
      <c r="E742">
        <v>10</v>
      </c>
    </row>
    <row r="743" spans="1:5" x14ac:dyDescent="0.4">
      <c r="A743" s="1">
        <v>43111</v>
      </c>
      <c r="B743">
        <v>5</v>
      </c>
      <c r="C743">
        <v>3</v>
      </c>
      <c r="D743">
        <v>6</v>
      </c>
      <c r="E743">
        <v>8</v>
      </c>
    </row>
    <row r="744" spans="1:5" x14ac:dyDescent="0.4">
      <c r="A744" s="1">
        <v>43112</v>
      </c>
      <c r="B744">
        <v>16</v>
      </c>
      <c r="C744">
        <v>12</v>
      </c>
      <c r="D744">
        <v>4</v>
      </c>
      <c r="E744">
        <v>18</v>
      </c>
    </row>
    <row r="745" spans="1:5" x14ac:dyDescent="0.4">
      <c r="A745" s="1">
        <v>43113</v>
      </c>
      <c r="B745">
        <v>17</v>
      </c>
      <c r="C745">
        <v>10</v>
      </c>
      <c r="D745">
        <v>4</v>
      </c>
      <c r="E745">
        <v>7</v>
      </c>
    </row>
    <row r="746" spans="1:5" x14ac:dyDescent="0.4">
      <c r="A746" s="1">
        <v>43114</v>
      </c>
      <c r="B746">
        <v>10</v>
      </c>
      <c r="C746">
        <v>4</v>
      </c>
      <c r="D746">
        <v>6</v>
      </c>
      <c r="E746">
        <v>2</v>
      </c>
    </row>
    <row r="747" spans="1:5" x14ac:dyDescent="0.4">
      <c r="A747" s="1">
        <v>43115</v>
      </c>
      <c r="B747">
        <v>7</v>
      </c>
      <c r="C747">
        <v>2</v>
      </c>
      <c r="D747">
        <v>17</v>
      </c>
      <c r="E747">
        <v>19</v>
      </c>
    </row>
    <row r="748" spans="1:5" x14ac:dyDescent="0.4">
      <c r="A748" s="1">
        <v>43116</v>
      </c>
      <c r="B748">
        <v>0</v>
      </c>
      <c r="C748">
        <v>13</v>
      </c>
      <c r="D748">
        <v>0</v>
      </c>
      <c r="E748">
        <v>12</v>
      </c>
    </row>
    <row r="749" spans="1:5" x14ac:dyDescent="0.4">
      <c r="A749" s="1">
        <v>43117</v>
      </c>
      <c r="B749">
        <v>5</v>
      </c>
      <c r="C749">
        <v>3</v>
      </c>
      <c r="D749">
        <v>14</v>
      </c>
      <c r="E749">
        <v>15</v>
      </c>
    </row>
    <row r="750" spans="1:5" x14ac:dyDescent="0.4">
      <c r="A750" s="1">
        <v>43118</v>
      </c>
      <c r="B750">
        <v>3</v>
      </c>
      <c r="C750">
        <v>3</v>
      </c>
      <c r="D750">
        <v>0</v>
      </c>
      <c r="E750">
        <v>18</v>
      </c>
    </row>
    <row r="751" spans="1:5" x14ac:dyDescent="0.4">
      <c r="A751" s="1">
        <v>43119</v>
      </c>
      <c r="B751">
        <v>12</v>
      </c>
      <c r="C751">
        <v>0</v>
      </c>
      <c r="D751">
        <v>2</v>
      </c>
      <c r="E751">
        <v>19</v>
      </c>
    </row>
    <row r="752" spans="1:5" x14ac:dyDescent="0.4">
      <c r="A752" s="1">
        <v>43120</v>
      </c>
      <c r="B752">
        <v>19</v>
      </c>
      <c r="C752">
        <v>3</v>
      </c>
      <c r="D752">
        <v>4</v>
      </c>
      <c r="E752">
        <v>9</v>
      </c>
    </row>
    <row r="753" spans="1:5" x14ac:dyDescent="0.4">
      <c r="A753" s="1">
        <v>43121</v>
      </c>
      <c r="B753">
        <v>6</v>
      </c>
      <c r="C753">
        <v>4</v>
      </c>
      <c r="D753">
        <v>11</v>
      </c>
      <c r="E753">
        <v>14</v>
      </c>
    </row>
    <row r="754" spans="1:5" x14ac:dyDescent="0.4">
      <c r="A754" s="1">
        <v>43122</v>
      </c>
      <c r="B754">
        <v>4</v>
      </c>
      <c r="C754">
        <v>9</v>
      </c>
      <c r="D754">
        <v>10</v>
      </c>
      <c r="E754">
        <v>19</v>
      </c>
    </row>
    <row r="755" spans="1:5" x14ac:dyDescent="0.4">
      <c r="A755" s="1">
        <v>43123</v>
      </c>
      <c r="B755">
        <v>17</v>
      </c>
      <c r="C755">
        <v>13</v>
      </c>
      <c r="D755">
        <v>11</v>
      </c>
      <c r="E755">
        <v>10</v>
      </c>
    </row>
    <row r="756" spans="1:5" x14ac:dyDescent="0.4">
      <c r="A756" s="1">
        <v>43124</v>
      </c>
      <c r="B756">
        <v>2</v>
      </c>
      <c r="C756">
        <v>14</v>
      </c>
      <c r="D756">
        <v>3</v>
      </c>
      <c r="E756">
        <v>5</v>
      </c>
    </row>
    <row r="757" spans="1:5" x14ac:dyDescent="0.4">
      <c r="A757" s="1">
        <v>43125</v>
      </c>
      <c r="B757">
        <v>11</v>
      </c>
      <c r="C757">
        <v>9</v>
      </c>
      <c r="D757">
        <v>1</v>
      </c>
      <c r="E757">
        <v>7</v>
      </c>
    </row>
    <row r="758" spans="1:5" x14ac:dyDescent="0.4">
      <c r="A758" s="1">
        <v>43126</v>
      </c>
      <c r="B758">
        <v>12</v>
      </c>
      <c r="C758">
        <v>6</v>
      </c>
      <c r="D758">
        <v>5</v>
      </c>
      <c r="E758">
        <v>0</v>
      </c>
    </row>
    <row r="759" spans="1:5" x14ac:dyDescent="0.4">
      <c r="A759" s="1">
        <v>43127</v>
      </c>
      <c r="B759">
        <v>12</v>
      </c>
      <c r="C759">
        <v>14</v>
      </c>
      <c r="D759">
        <v>19</v>
      </c>
      <c r="E759">
        <v>2</v>
      </c>
    </row>
    <row r="760" spans="1:5" x14ac:dyDescent="0.4">
      <c r="A760" s="1">
        <v>43128</v>
      </c>
      <c r="B760">
        <v>13</v>
      </c>
      <c r="C760">
        <v>19</v>
      </c>
      <c r="D760">
        <v>10</v>
      </c>
      <c r="E760">
        <v>3</v>
      </c>
    </row>
    <row r="761" spans="1:5" x14ac:dyDescent="0.4">
      <c r="A761" s="1">
        <v>43129</v>
      </c>
      <c r="B761">
        <v>17</v>
      </c>
      <c r="C761">
        <v>9</v>
      </c>
      <c r="D761">
        <v>17</v>
      </c>
      <c r="E761">
        <v>17</v>
      </c>
    </row>
    <row r="762" spans="1:5" x14ac:dyDescent="0.4">
      <c r="A762" s="1">
        <v>43130</v>
      </c>
      <c r="B762">
        <v>1</v>
      </c>
      <c r="C762">
        <v>3</v>
      </c>
      <c r="D762">
        <v>10</v>
      </c>
      <c r="E762">
        <v>4</v>
      </c>
    </row>
    <row r="763" spans="1:5" x14ac:dyDescent="0.4">
      <c r="A763" s="1">
        <v>43131</v>
      </c>
      <c r="B763">
        <v>7</v>
      </c>
      <c r="C763">
        <v>15</v>
      </c>
      <c r="D763">
        <v>11</v>
      </c>
      <c r="E763">
        <v>14</v>
      </c>
    </row>
    <row r="764" spans="1:5" x14ac:dyDescent="0.4">
      <c r="A764" s="1">
        <v>43132</v>
      </c>
      <c r="B764">
        <v>16</v>
      </c>
      <c r="C764">
        <v>3</v>
      </c>
      <c r="D764">
        <v>1</v>
      </c>
      <c r="E764">
        <v>3</v>
      </c>
    </row>
    <row r="765" spans="1:5" x14ac:dyDescent="0.4">
      <c r="A765" s="1">
        <v>43133</v>
      </c>
      <c r="B765">
        <v>5</v>
      </c>
      <c r="C765">
        <v>3</v>
      </c>
      <c r="D765">
        <v>1</v>
      </c>
      <c r="E765">
        <v>13</v>
      </c>
    </row>
    <row r="766" spans="1:5" x14ac:dyDescent="0.4">
      <c r="A766" s="1">
        <v>43134</v>
      </c>
      <c r="B766">
        <v>13</v>
      </c>
      <c r="C766">
        <v>12</v>
      </c>
      <c r="D766">
        <v>7</v>
      </c>
      <c r="E766">
        <v>8</v>
      </c>
    </row>
    <row r="767" spans="1:5" x14ac:dyDescent="0.4">
      <c r="A767" s="1">
        <v>43135</v>
      </c>
      <c r="B767">
        <v>7</v>
      </c>
      <c r="C767">
        <v>4</v>
      </c>
      <c r="D767">
        <v>18</v>
      </c>
      <c r="E767">
        <v>13</v>
      </c>
    </row>
    <row r="768" spans="1:5" x14ac:dyDescent="0.4">
      <c r="A768" s="1">
        <v>43136</v>
      </c>
      <c r="B768">
        <v>16</v>
      </c>
      <c r="C768">
        <v>16</v>
      </c>
      <c r="D768">
        <v>5</v>
      </c>
      <c r="E768">
        <v>0</v>
      </c>
    </row>
    <row r="769" spans="1:5" x14ac:dyDescent="0.4">
      <c r="A769" s="1">
        <v>43137</v>
      </c>
      <c r="B769">
        <v>8</v>
      </c>
      <c r="C769">
        <v>9</v>
      </c>
      <c r="D769">
        <v>4</v>
      </c>
      <c r="E769">
        <v>6</v>
      </c>
    </row>
    <row r="770" spans="1:5" x14ac:dyDescent="0.4">
      <c r="A770" s="1">
        <v>43138</v>
      </c>
      <c r="B770">
        <v>16</v>
      </c>
      <c r="C770">
        <v>2</v>
      </c>
      <c r="D770">
        <v>9</v>
      </c>
      <c r="E770">
        <v>4</v>
      </c>
    </row>
    <row r="771" spans="1:5" x14ac:dyDescent="0.4">
      <c r="A771" s="1">
        <v>43139</v>
      </c>
      <c r="B771">
        <v>4</v>
      </c>
      <c r="C771">
        <v>14</v>
      </c>
      <c r="D771">
        <v>10</v>
      </c>
      <c r="E771">
        <v>3</v>
      </c>
    </row>
    <row r="772" spans="1:5" x14ac:dyDescent="0.4">
      <c r="A772" s="1">
        <v>43140</v>
      </c>
      <c r="B772">
        <v>14</v>
      </c>
      <c r="C772">
        <v>16</v>
      </c>
      <c r="D772">
        <v>5</v>
      </c>
      <c r="E772">
        <v>19</v>
      </c>
    </row>
    <row r="773" spans="1:5" x14ac:dyDescent="0.4">
      <c r="A773" s="1">
        <v>43141</v>
      </c>
      <c r="B773">
        <v>17</v>
      </c>
      <c r="C773">
        <v>7</v>
      </c>
      <c r="D773">
        <v>18</v>
      </c>
      <c r="E773">
        <v>8</v>
      </c>
    </row>
    <row r="774" spans="1:5" x14ac:dyDescent="0.4">
      <c r="A774" s="1">
        <v>43142</v>
      </c>
      <c r="B774">
        <v>4</v>
      </c>
      <c r="C774">
        <v>3</v>
      </c>
      <c r="D774">
        <v>4</v>
      </c>
      <c r="E774">
        <v>4</v>
      </c>
    </row>
    <row r="775" spans="1:5" x14ac:dyDescent="0.4">
      <c r="A775" s="1">
        <v>43143</v>
      </c>
      <c r="B775">
        <v>19</v>
      </c>
      <c r="C775">
        <v>13</v>
      </c>
      <c r="D775">
        <v>18</v>
      </c>
      <c r="E775">
        <v>13</v>
      </c>
    </row>
    <row r="776" spans="1:5" x14ac:dyDescent="0.4">
      <c r="A776" s="1">
        <v>43144</v>
      </c>
      <c r="B776">
        <v>19</v>
      </c>
      <c r="C776">
        <v>12</v>
      </c>
      <c r="D776">
        <v>5</v>
      </c>
      <c r="E776">
        <v>6</v>
      </c>
    </row>
    <row r="777" spans="1:5" x14ac:dyDescent="0.4">
      <c r="A777" s="1">
        <v>43145</v>
      </c>
      <c r="B777">
        <v>17</v>
      </c>
      <c r="C777">
        <v>17</v>
      </c>
      <c r="D777">
        <v>9</v>
      </c>
      <c r="E777">
        <v>16</v>
      </c>
    </row>
    <row r="778" spans="1:5" x14ac:dyDescent="0.4">
      <c r="A778" s="1">
        <v>43146</v>
      </c>
      <c r="B778">
        <v>10</v>
      </c>
      <c r="C778">
        <v>16</v>
      </c>
      <c r="D778">
        <v>0</v>
      </c>
      <c r="E778">
        <v>1</v>
      </c>
    </row>
    <row r="779" spans="1:5" x14ac:dyDescent="0.4">
      <c r="A779" s="1">
        <v>43147</v>
      </c>
      <c r="B779">
        <v>13</v>
      </c>
      <c r="C779">
        <v>4</v>
      </c>
      <c r="D779">
        <v>2</v>
      </c>
      <c r="E779">
        <v>0</v>
      </c>
    </row>
    <row r="780" spans="1:5" x14ac:dyDescent="0.4">
      <c r="A780" s="1">
        <v>43148</v>
      </c>
      <c r="B780">
        <v>9</v>
      </c>
      <c r="C780">
        <v>17</v>
      </c>
      <c r="D780">
        <v>1</v>
      </c>
      <c r="E780">
        <v>13</v>
      </c>
    </row>
    <row r="781" spans="1:5" x14ac:dyDescent="0.4">
      <c r="A781" s="1">
        <v>43149</v>
      </c>
      <c r="B781">
        <v>3</v>
      </c>
      <c r="C781">
        <v>16</v>
      </c>
      <c r="D781">
        <v>18</v>
      </c>
      <c r="E781">
        <v>1</v>
      </c>
    </row>
    <row r="782" spans="1:5" x14ac:dyDescent="0.4">
      <c r="A782" s="1">
        <v>43150</v>
      </c>
      <c r="B782">
        <v>12</v>
      </c>
      <c r="C782">
        <v>2</v>
      </c>
      <c r="D782">
        <v>4</v>
      </c>
      <c r="E782">
        <v>12</v>
      </c>
    </row>
    <row r="783" spans="1:5" x14ac:dyDescent="0.4">
      <c r="A783" s="1">
        <v>43151</v>
      </c>
      <c r="B783">
        <v>12</v>
      </c>
      <c r="C783">
        <v>1</v>
      </c>
      <c r="D783">
        <v>2</v>
      </c>
      <c r="E783">
        <v>1</v>
      </c>
    </row>
    <row r="784" spans="1:5" x14ac:dyDescent="0.4">
      <c r="A784" s="1">
        <v>43152</v>
      </c>
      <c r="B784">
        <v>17</v>
      </c>
      <c r="C784">
        <v>1</v>
      </c>
      <c r="D784">
        <v>12</v>
      </c>
      <c r="E784">
        <v>19</v>
      </c>
    </row>
    <row r="785" spans="1:5" x14ac:dyDescent="0.4">
      <c r="A785" s="1">
        <v>43153</v>
      </c>
      <c r="B785">
        <v>7</v>
      </c>
      <c r="C785">
        <v>4</v>
      </c>
      <c r="D785">
        <v>2</v>
      </c>
      <c r="E785">
        <v>1</v>
      </c>
    </row>
    <row r="786" spans="1:5" x14ac:dyDescent="0.4">
      <c r="A786" s="1">
        <v>43154</v>
      </c>
      <c r="B786">
        <v>1</v>
      </c>
      <c r="C786">
        <v>4</v>
      </c>
      <c r="D786">
        <v>11</v>
      </c>
      <c r="E786">
        <v>4</v>
      </c>
    </row>
    <row r="787" spans="1:5" x14ac:dyDescent="0.4">
      <c r="A787" s="1">
        <v>43155</v>
      </c>
      <c r="B787">
        <v>10</v>
      </c>
      <c r="C787">
        <v>1</v>
      </c>
      <c r="D787">
        <v>13</v>
      </c>
      <c r="E787">
        <v>9</v>
      </c>
    </row>
    <row r="788" spans="1:5" x14ac:dyDescent="0.4">
      <c r="A788" s="1">
        <v>43156</v>
      </c>
      <c r="B788">
        <v>1</v>
      </c>
      <c r="C788">
        <v>11</v>
      </c>
      <c r="D788">
        <v>7</v>
      </c>
      <c r="E788">
        <v>5</v>
      </c>
    </row>
    <row r="789" spans="1:5" x14ac:dyDescent="0.4">
      <c r="A789" s="1">
        <v>43157</v>
      </c>
      <c r="B789">
        <v>7</v>
      </c>
      <c r="C789">
        <v>9</v>
      </c>
      <c r="D789">
        <v>3</v>
      </c>
      <c r="E789">
        <v>3</v>
      </c>
    </row>
    <row r="790" spans="1:5" x14ac:dyDescent="0.4">
      <c r="A790" s="1">
        <v>43158</v>
      </c>
      <c r="B790">
        <v>9</v>
      </c>
      <c r="C790">
        <v>5</v>
      </c>
      <c r="D790">
        <v>18</v>
      </c>
      <c r="E790">
        <v>8</v>
      </c>
    </row>
    <row r="791" spans="1:5" x14ac:dyDescent="0.4">
      <c r="A791" s="1">
        <v>43159</v>
      </c>
      <c r="B791">
        <v>5</v>
      </c>
      <c r="C791">
        <v>12</v>
      </c>
      <c r="D791">
        <v>8</v>
      </c>
      <c r="E791">
        <v>18</v>
      </c>
    </row>
    <row r="792" spans="1:5" x14ac:dyDescent="0.4">
      <c r="A792" s="1">
        <v>43160</v>
      </c>
      <c r="B792">
        <v>19</v>
      </c>
      <c r="C792">
        <v>0</v>
      </c>
      <c r="D792">
        <v>1</v>
      </c>
      <c r="E792">
        <v>2</v>
      </c>
    </row>
    <row r="793" spans="1:5" x14ac:dyDescent="0.4">
      <c r="A793" s="1">
        <v>43161</v>
      </c>
      <c r="B793">
        <v>0</v>
      </c>
      <c r="C793">
        <v>9</v>
      </c>
      <c r="D793">
        <v>6</v>
      </c>
      <c r="E793">
        <v>3</v>
      </c>
    </row>
    <row r="794" spans="1:5" x14ac:dyDescent="0.4">
      <c r="A794" s="1">
        <v>43162</v>
      </c>
      <c r="B794">
        <v>13</v>
      </c>
      <c r="C794">
        <v>1</v>
      </c>
      <c r="D794">
        <v>18</v>
      </c>
      <c r="E794">
        <v>18</v>
      </c>
    </row>
    <row r="795" spans="1:5" x14ac:dyDescent="0.4">
      <c r="A795" s="1">
        <v>43163</v>
      </c>
      <c r="B795">
        <v>12</v>
      </c>
      <c r="C795">
        <v>10</v>
      </c>
      <c r="D795">
        <v>5</v>
      </c>
      <c r="E795">
        <v>3</v>
      </c>
    </row>
    <row r="796" spans="1:5" x14ac:dyDescent="0.4">
      <c r="A796" s="1">
        <v>43164</v>
      </c>
      <c r="B796">
        <v>10</v>
      </c>
      <c r="C796">
        <v>11</v>
      </c>
      <c r="D796">
        <v>17</v>
      </c>
      <c r="E796">
        <v>2</v>
      </c>
    </row>
    <row r="797" spans="1:5" x14ac:dyDescent="0.4">
      <c r="A797" s="1">
        <v>43165</v>
      </c>
      <c r="B797">
        <v>0</v>
      </c>
      <c r="C797">
        <v>18</v>
      </c>
      <c r="D797">
        <v>14</v>
      </c>
      <c r="E797">
        <v>18</v>
      </c>
    </row>
    <row r="798" spans="1:5" x14ac:dyDescent="0.4">
      <c r="A798" s="1">
        <v>43166</v>
      </c>
      <c r="B798">
        <v>14</v>
      </c>
      <c r="C798">
        <v>9</v>
      </c>
      <c r="D798">
        <v>8</v>
      </c>
      <c r="E798">
        <v>10</v>
      </c>
    </row>
    <row r="799" spans="1:5" x14ac:dyDescent="0.4">
      <c r="A799" s="1">
        <v>43167</v>
      </c>
      <c r="B799">
        <v>6</v>
      </c>
      <c r="C799">
        <v>4</v>
      </c>
      <c r="D799">
        <v>19</v>
      </c>
      <c r="E799">
        <v>1</v>
      </c>
    </row>
    <row r="800" spans="1:5" x14ac:dyDescent="0.4">
      <c r="A800" s="1">
        <v>43168</v>
      </c>
      <c r="B800">
        <v>19</v>
      </c>
      <c r="C800">
        <v>19</v>
      </c>
      <c r="D800">
        <v>11</v>
      </c>
      <c r="E800">
        <v>12</v>
      </c>
    </row>
    <row r="801" spans="1:5" x14ac:dyDescent="0.4">
      <c r="A801" s="1">
        <v>43169</v>
      </c>
      <c r="B801">
        <v>5</v>
      </c>
      <c r="C801">
        <v>6</v>
      </c>
      <c r="D801">
        <v>14</v>
      </c>
      <c r="E801">
        <v>0</v>
      </c>
    </row>
    <row r="802" spans="1:5" x14ac:dyDescent="0.4">
      <c r="A802" s="1">
        <v>43170</v>
      </c>
      <c r="B802">
        <v>7</v>
      </c>
      <c r="C802">
        <v>9</v>
      </c>
      <c r="D802">
        <v>12</v>
      </c>
      <c r="E802">
        <v>15</v>
      </c>
    </row>
    <row r="803" spans="1:5" x14ac:dyDescent="0.4">
      <c r="A803" s="1">
        <v>43171</v>
      </c>
      <c r="B803">
        <v>6</v>
      </c>
      <c r="C803">
        <v>18</v>
      </c>
      <c r="D803">
        <v>16</v>
      </c>
      <c r="E803">
        <v>17</v>
      </c>
    </row>
    <row r="804" spans="1:5" x14ac:dyDescent="0.4">
      <c r="A804" s="1">
        <v>43172</v>
      </c>
      <c r="B804">
        <v>7</v>
      </c>
      <c r="C804">
        <v>8</v>
      </c>
      <c r="D804">
        <v>18</v>
      </c>
      <c r="E804">
        <v>14</v>
      </c>
    </row>
    <row r="805" spans="1:5" x14ac:dyDescent="0.4">
      <c r="A805" s="1">
        <v>43173</v>
      </c>
      <c r="B805">
        <v>4</v>
      </c>
      <c r="C805">
        <v>15</v>
      </c>
      <c r="D805">
        <v>6</v>
      </c>
      <c r="E805">
        <v>13</v>
      </c>
    </row>
    <row r="806" spans="1:5" x14ac:dyDescent="0.4">
      <c r="A806" s="1">
        <v>43174</v>
      </c>
      <c r="B806">
        <v>11</v>
      </c>
      <c r="C806">
        <v>2</v>
      </c>
      <c r="D806">
        <v>18</v>
      </c>
      <c r="E806">
        <v>7</v>
      </c>
    </row>
    <row r="807" spans="1:5" x14ac:dyDescent="0.4">
      <c r="A807" s="1">
        <v>43175</v>
      </c>
      <c r="B807">
        <v>14</v>
      </c>
      <c r="C807">
        <v>4</v>
      </c>
      <c r="D807">
        <v>16</v>
      </c>
      <c r="E807">
        <v>15</v>
      </c>
    </row>
    <row r="808" spans="1:5" x14ac:dyDescent="0.4">
      <c r="A808" s="1">
        <v>43176</v>
      </c>
      <c r="B808">
        <v>5</v>
      </c>
      <c r="C808">
        <v>16</v>
      </c>
      <c r="D808">
        <v>14</v>
      </c>
      <c r="E808">
        <v>10</v>
      </c>
    </row>
    <row r="809" spans="1:5" x14ac:dyDescent="0.4">
      <c r="A809" s="1">
        <v>43177</v>
      </c>
      <c r="B809">
        <v>11</v>
      </c>
      <c r="C809">
        <v>1</v>
      </c>
      <c r="D809">
        <v>17</v>
      </c>
      <c r="E809">
        <v>19</v>
      </c>
    </row>
    <row r="810" spans="1:5" x14ac:dyDescent="0.4">
      <c r="A810" s="1">
        <v>43178</v>
      </c>
      <c r="B810">
        <v>11</v>
      </c>
      <c r="C810">
        <v>4</v>
      </c>
      <c r="D810">
        <v>12</v>
      </c>
      <c r="E810">
        <v>4</v>
      </c>
    </row>
    <row r="811" spans="1:5" x14ac:dyDescent="0.4">
      <c r="A811" s="1">
        <v>43179</v>
      </c>
      <c r="B811">
        <v>19</v>
      </c>
      <c r="C811">
        <v>0</v>
      </c>
      <c r="D811">
        <v>0</v>
      </c>
      <c r="E811">
        <v>15</v>
      </c>
    </row>
    <row r="812" spans="1:5" x14ac:dyDescent="0.4">
      <c r="A812" s="1">
        <v>43180</v>
      </c>
      <c r="B812">
        <v>18</v>
      </c>
      <c r="C812">
        <v>4</v>
      </c>
      <c r="D812">
        <v>12</v>
      </c>
      <c r="E812">
        <v>16</v>
      </c>
    </row>
    <row r="813" spans="1:5" x14ac:dyDescent="0.4">
      <c r="A813" s="1">
        <v>43181</v>
      </c>
      <c r="B813">
        <v>4</v>
      </c>
      <c r="C813">
        <v>7</v>
      </c>
      <c r="D813">
        <v>19</v>
      </c>
      <c r="E813">
        <v>8</v>
      </c>
    </row>
    <row r="814" spans="1:5" x14ac:dyDescent="0.4">
      <c r="A814" s="1">
        <v>43182</v>
      </c>
      <c r="B814">
        <v>16</v>
      </c>
      <c r="C814">
        <v>14</v>
      </c>
      <c r="D814">
        <v>3</v>
      </c>
      <c r="E814">
        <v>9</v>
      </c>
    </row>
    <row r="815" spans="1:5" x14ac:dyDescent="0.4">
      <c r="A815" s="1">
        <v>43183</v>
      </c>
      <c r="B815">
        <v>15</v>
      </c>
      <c r="C815">
        <v>11</v>
      </c>
      <c r="D815">
        <v>1</v>
      </c>
      <c r="E815">
        <v>17</v>
      </c>
    </row>
    <row r="816" spans="1:5" x14ac:dyDescent="0.4">
      <c r="A816" s="1">
        <v>43184</v>
      </c>
      <c r="B816">
        <v>8</v>
      </c>
      <c r="C816">
        <v>17</v>
      </c>
      <c r="D816">
        <v>8</v>
      </c>
      <c r="E816">
        <v>11</v>
      </c>
    </row>
    <row r="817" spans="1:5" x14ac:dyDescent="0.4">
      <c r="A817" s="1">
        <v>43185</v>
      </c>
      <c r="B817">
        <v>12</v>
      </c>
      <c r="C817">
        <v>15</v>
      </c>
      <c r="D817">
        <v>14</v>
      </c>
      <c r="E817">
        <v>7</v>
      </c>
    </row>
    <row r="818" spans="1:5" x14ac:dyDescent="0.4">
      <c r="A818" s="1">
        <v>43186</v>
      </c>
      <c r="B818">
        <v>9</v>
      </c>
      <c r="C818">
        <v>12</v>
      </c>
      <c r="D818">
        <v>11</v>
      </c>
      <c r="E818">
        <v>0</v>
      </c>
    </row>
    <row r="819" spans="1:5" x14ac:dyDescent="0.4">
      <c r="A819" s="1">
        <v>43187</v>
      </c>
      <c r="B819">
        <v>9</v>
      </c>
      <c r="C819">
        <v>14</v>
      </c>
      <c r="D819">
        <v>2</v>
      </c>
      <c r="E819">
        <v>2</v>
      </c>
    </row>
    <row r="820" spans="1:5" x14ac:dyDescent="0.4">
      <c r="A820" s="1">
        <v>43188</v>
      </c>
      <c r="B820">
        <v>2</v>
      </c>
      <c r="C820">
        <v>19</v>
      </c>
      <c r="D820">
        <v>13</v>
      </c>
      <c r="E820">
        <v>4</v>
      </c>
    </row>
    <row r="821" spans="1:5" x14ac:dyDescent="0.4">
      <c r="A821" s="1">
        <v>43189</v>
      </c>
      <c r="B821">
        <v>19</v>
      </c>
      <c r="C821">
        <v>5</v>
      </c>
      <c r="D821">
        <v>3</v>
      </c>
      <c r="E821">
        <v>6</v>
      </c>
    </row>
    <row r="822" spans="1:5" x14ac:dyDescent="0.4">
      <c r="A822" s="1">
        <v>43190</v>
      </c>
      <c r="B822">
        <v>3</v>
      </c>
      <c r="C822">
        <v>6</v>
      </c>
      <c r="D822">
        <v>0</v>
      </c>
      <c r="E822">
        <v>18</v>
      </c>
    </row>
    <row r="823" spans="1:5" x14ac:dyDescent="0.4">
      <c r="A823" s="1">
        <v>43191</v>
      </c>
      <c r="B823">
        <v>11</v>
      </c>
      <c r="C823">
        <v>11</v>
      </c>
      <c r="D823">
        <v>15</v>
      </c>
      <c r="E823">
        <v>10</v>
      </c>
    </row>
    <row r="824" spans="1:5" x14ac:dyDescent="0.4">
      <c r="A824" s="1">
        <v>43192</v>
      </c>
      <c r="B824">
        <v>13</v>
      </c>
      <c r="C824">
        <v>19</v>
      </c>
      <c r="D824">
        <v>5</v>
      </c>
      <c r="E824">
        <v>14</v>
      </c>
    </row>
    <row r="825" spans="1:5" x14ac:dyDescent="0.4">
      <c r="A825" s="1">
        <v>43193</v>
      </c>
      <c r="B825">
        <v>2</v>
      </c>
      <c r="C825">
        <v>18</v>
      </c>
      <c r="D825">
        <v>0</v>
      </c>
      <c r="E825">
        <v>16</v>
      </c>
    </row>
    <row r="826" spans="1:5" x14ac:dyDescent="0.4">
      <c r="A826" s="1">
        <v>43194</v>
      </c>
      <c r="B826">
        <v>13</v>
      </c>
      <c r="C826">
        <v>14</v>
      </c>
      <c r="D826">
        <v>12</v>
      </c>
      <c r="E826">
        <v>14</v>
      </c>
    </row>
    <row r="827" spans="1:5" x14ac:dyDescent="0.4">
      <c r="A827" s="1">
        <v>43195</v>
      </c>
      <c r="B827">
        <v>14</v>
      </c>
      <c r="C827">
        <v>6</v>
      </c>
      <c r="D827">
        <v>9</v>
      </c>
      <c r="E827">
        <v>13</v>
      </c>
    </row>
    <row r="828" spans="1:5" x14ac:dyDescent="0.4">
      <c r="A828" s="1">
        <v>43196</v>
      </c>
      <c r="B828">
        <v>15</v>
      </c>
      <c r="C828">
        <v>2</v>
      </c>
      <c r="D828">
        <v>13</v>
      </c>
      <c r="E828">
        <v>3</v>
      </c>
    </row>
    <row r="829" spans="1:5" x14ac:dyDescent="0.4">
      <c r="A829" s="1">
        <v>43197</v>
      </c>
      <c r="B829">
        <v>8</v>
      </c>
      <c r="C829">
        <v>10</v>
      </c>
      <c r="D829">
        <v>12</v>
      </c>
      <c r="E829">
        <v>2</v>
      </c>
    </row>
    <row r="830" spans="1:5" x14ac:dyDescent="0.4">
      <c r="A830" s="1">
        <v>43198</v>
      </c>
      <c r="B830">
        <v>1</v>
      </c>
      <c r="C830">
        <v>1</v>
      </c>
      <c r="D830">
        <v>17</v>
      </c>
      <c r="E830">
        <v>18</v>
      </c>
    </row>
    <row r="831" spans="1:5" x14ac:dyDescent="0.4">
      <c r="A831" s="1">
        <v>43199</v>
      </c>
      <c r="B831">
        <v>9</v>
      </c>
      <c r="C831">
        <v>5</v>
      </c>
      <c r="D831">
        <v>2</v>
      </c>
      <c r="E831">
        <v>15</v>
      </c>
    </row>
    <row r="832" spans="1:5" x14ac:dyDescent="0.4">
      <c r="A832" s="1">
        <v>43200</v>
      </c>
      <c r="B832">
        <v>11</v>
      </c>
      <c r="C832">
        <v>6</v>
      </c>
      <c r="D832">
        <v>0</v>
      </c>
      <c r="E832">
        <v>12</v>
      </c>
    </row>
    <row r="833" spans="1:5" x14ac:dyDescent="0.4">
      <c r="A833" s="1">
        <v>43201</v>
      </c>
      <c r="B833">
        <v>1</v>
      </c>
      <c r="C833">
        <v>18</v>
      </c>
      <c r="D833">
        <v>0</v>
      </c>
      <c r="E833">
        <v>15</v>
      </c>
    </row>
    <row r="834" spans="1:5" x14ac:dyDescent="0.4">
      <c r="A834" s="1">
        <v>43202</v>
      </c>
      <c r="B834">
        <v>8</v>
      </c>
      <c r="C834">
        <v>17</v>
      </c>
      <c r="D834">
        <v>12</v>
      </c>
      <c r="E834">
        <v>4</v>
      </c>
    </row>
    <row r="835" spans="1:5" x14ac:dyDescent="0.4">
      <c r="A835" s="1">
        <v>43203</v>
      </c>
      <c r="B835">
        <v>2</v>
      </c>
      <c r="C835">
        <v>4</v>
      </c>
      <c r="D835">
        <v>16</v>
      </c>
      <c r="E835">
        <v>3</v>
      </c>
    </row>
    <row r="836" spans="1:5" x14ac:dyDescent="0.4">
      <c r="A836" s="1">
        <v>43204</v>
      </c>
      <c r="B836">
        <v>2</v>
      </c>
      <c r="C836">
        <v>1</v>
      </c>
      <c r="D836">
        <v>13</v>
      </c>
      <c r="E836">
        <v>18</v>
      </c>
    </row>
    <row r="837" spans="1:5" x14ac:dyDescent="0.4">
      <c r="A837" s="1">
        <v>43205</v>
      </c>
      <c r="B837">
        <v>6</v>
      </c>
      <c r="C837">
        <v>7</v>
      </c>
      <c r="D837">
        <v>13</v>
      </c>
      <c r="E837">
        <v>14</v>
      </c>
    </row>
    <row r="838" spans="1:5" x14ac:dyDescent="0.4">
      <c r="A838" s="1">
        <v>43206</v>
      </c>
      <c r="B838">
        <v>19</v>
      </c>
      <c r="C838">
        <v>15</v>
      </c>
      <c r="D838">
        <v>4</v>
      </c>
      <c r="E838">
        <v>5</v>
      </c>
    </row>
    <row r="839" spans="1:5" x14ac:dyDescent="0.4">
      <c r="A839" s="1">
        <v>43207</v>
      </c>
      <c r="B839">
        <v>12</v>
      </c>
      <c r="C839">
        <v>19</v>
      </c>
      <c r="D839">
        <v>2</v>
      </c>
      <c r="E839">
        <v>15</v>
      </c>
    </row>
    <row r="840" spans="1:5" x14ac:dyDescent="0.4">
      <c r="A840" s="1">
        <v>43208</v>
      </c>
      <c r="B840">
        <v>5</v>
      </c>
      <c r="C840">
        <v>12</v>
      </c>
      <c r="D840">
        <v>1</v>
      </c>
      <c r="E840">
        <v>2</v>
      </c>
    </row>
    <row r="841" spans="1:5" x14ac:dyDescent="0.4">
      <c r="A841" s="1">
        <v>43209</v>
      </c>
      <c r="B841">
        <v>8</v>
      </c>
      <c r="C841">
        <v>9</v>
      </c>
      <c r="D841">
        <v>16</v>
      </c>
      <c r="E841">
        <v>4</v>
      </c>
    </row>
    <row r="842" spans="1:5" x14ac:dyDescent="0.4">
      <c r="A842" s="1">
        <v>43210</v>
      </c>
      <c r="B842">
        <v>9</v>
      </c>
      <c r="C842">
        <v>5</v>
      </c>
      <c r="D842">
        <v>17</v>
      </c>
      <c r="E842">
        <v>6</v>
      </c>
    </row>
    <row r="843" spans="1:5" x14ac:dyDescent="0.4">
      <c r="A843" s="1">
        <v>43211</v>
      </c>
      <c r="B843">
        <v>1</v>
      </c>
      <c r="C843">
        <v>4</v>
      </c>
      <c r="D843">
        <v>2</v>
      </c>
      <c r="E843">
        <v>18</v>
      </c>
    </row>
    <row r="844" spans="1:5" x14ac:dyDescent="0.4">
      <c r="A844" s="1">
        <v>43212</v>
      </c>
      <c r="B844">
        <v>9</v>
      </c>
      <c r="C844">
        <v>14</v>
      </c>
      <c r="D844">
        <v>13</v>
      </c>
      <c r="E844">
        <v>0</v>
      </c>
    </row>
    <row r="845" spans="1:5" x14ac:dyDescent="0.4">
      <c r="A845" s="1">
        <v>43213</v>
      </c>
      <c r="B845">
        <v>8</v>
      </c>
      <c r="C845">
        <v>14</v>
      </c>
      <c r="D845">
        <v>15</v>
      </c>
      <c r="E845">
        <v>13</v>
      </c>
    </row>
    <row r="846" spans="1:5" x14ac:dyDescent="0.4">
      <c r="A846" s="1">
        <v>43214</v>
      </c>
      <c r="B846">
        <v>18</v>
      </c>
      <c r="C846">
        <v>3</v>
      </c>
      <c r="D846">
        <v>3</v>
      </c>
      <c r="E846">
        <v>15</v>
      </c>
    </row>
    <row r="847" spans="1:5" x14ac:dyDescent="0.4">
      <c r="A847" s="1">
        <v>43215</v>
      </c>
      <c r="B847">
        <v>5</v>
      </c>
      <c r="C847">
        <v>14</v>
      </c>
      <c r="D847">
        <v>2</v>
      </c>
      <c r="E847">
        <v>10</v>
      </c>
    </row>
    <row r="848" spans="1:5" x14ac:dyDescent="0.4">
      <c r="A848" s="1">
        <v>43216</v>
      </c>
      <c r="B848">
        <v>3</v>
      </c>
      <c r="C848">
        <v>2</v>
      </c>
      <c r="D848">
        <v>3</v>
      </c>
      <c r="E848">
        <v>16</v>
      </c>
    </row>
    <row r="849" spans="1:5" x14ac:dyDescent="0.4">
      <c r="A849" s="1">
        <v>43217</v>
      </c>
      <c r="B849">
        <v>10</v>
      </c>
      <c r="C849">
        <v>5</v>
      </c>
      <c r="D849">
        <v>17</v>
      </c>
      <c r="E849">
        <v>0</v>
      </c>
    </row>
    <row r="850" spans="1:5" x14ac:dyDescent="0.4">
      <c r="A850" s="1">
        <v>43218</v>
      </c>
      <c r="B850">
        <v>6</v>
      </c>
      <c r="C850">
        <v>9</v>
      </c>
      <c r="D850">
        <v>6</v>
      </c>
      <c r="E850">
        <v>1</v>
      </c>
    </row>
    <row r="851" spans="1:5" x14ac:dyDescent="0.4">
      <c r="A851" s="1">
        <v>43219</v>
      </c>
      <c r="B851">
        <v>10</v>
      </c>
      <c r="C851">
        <v>6</v>
      </c>
      <c r="D851">
        <v>12</v>
      </c>
      <c r="E851">
        <v>4</v>
      </c>
    </row>
    <row r="852" spans="1:5" x14ac:dyDescent="0.4">
      <c r="A852" s="1">
        <v>43220</v>
      </c>
      <c r="B852">
        <v>7</v>
      </c>
      <c r="C852">
        <v>17</v>
      </c>
      <c r="D852">
        <v>2</v>
      </c>
      <c r="E852">
        <v>3</v>
      </c>
    </row>
    <row r="853" spans="1:5" x14ac:dyDescent="0.4">
      <c r="A853" s="1">
        <v>43221</v>
      </c>
      <c r="B853">
        <v>5</v>
      </c>
      <c r="C853">
        <v>13</v>
      </c>
      <c r="D853">
        <v>0</v>
      </c>
      <c r="E853">
        <v>14</v>
      </c>
    </row>
    <row r="854" spans="1:5" x14ac:dyDescent="0.4">
      <c r="A854" s="1">
        <v>43222</v>
      </c>
      <c r="B854">
        <v>1</v>
      </c>
      <c r="C854">
        <v>13</v>
      </c>
      <c r="D854">
        <v>16</v>
      </c>
      <c r="E854">
        <v>16</v>
      </c>
    </row>
    <row r="855" spans="1:5" x14ac:dyDescent="0.4">
      <c r="A855" s="1">
        <v>43223</v>
      </c>
      <c r="B855">
        <v>12</v>
      </c>
      <c r="C855">
        <v>17</v>
      </c>
      <c r="D855">
        <v>2</v>
      </c>
      <c r="E855">
        <v>4</v>
      </c>
    </row>
    <row r="856" spans="1:5" x14ac:dyDescent="0.4">
      <c r="A856" s="1">
        <v>43224</v>
      </c>
      <c r="B856">
        <v>7</v>
      </c>
      <c r="C856">
        <v>6</v>
      </c>
      <c r="D856">
        <v>13</v>
      </c>
      <c r="E856">
        <v>9</v>
      </c>
    </row>
    <row r="857" spans="1:5" x14ac:dyDescent="0.4">
      <c r="A857" s="1">
        <v>43225</v>
      </c>
      <c r="B857">
        <v>10</v>
      </c>
      <c r="C857">
        <v>6</v>
      </c>
      <c r="D857">
        <v>10</v>
      </c>
      <c r="E857">
        <v>5</v>
      </c>
    </row>
    <row r="858" spans="1:5" x14ac:dyDescent="0.4">
      <c r="A858" s="1">
        <v>43226</v>
      </c>
      <c r="B858">
        <v>17</v>
      </c>
      <c r="C858">
        <v>17</v>
      </c>
      <c r="D858">
        <v>7</v>
      </c>
      <c r="E858">
        <v>6</v>
      </c>
    </row>
    <row r="859" spans="1:5" x14ac:dyDescent="0.4">
      <c r="A859" s="1">
        <v>43227</v>
      </c>
      <c r="B859">
        <v>8</v>
      </c>
      <c r="C859">
        <v>16</v>
      </c>
      <c r="D859">
        <v>13</v>
      </c>
      <c r="E859">
        <v>17</v>
      </c>
    </row>
    <row r="860" spans="1:5" x14ac:dyDescent="0.4">
      <c r="A860" s="1">
        <v>43228</v>
      </c>
      <c r="B860">
        <v>11</v>
      </c>
      <c r="C860">
        <v>16</v>
      </c>
      <c r="D860">
        <v>9</v>
      </c>
      <c r="E860">
        <v>6</v>
      </c>
    </row>
    <row r="861" spans="1:5" x14ac:dyDescent="0.4">
      <c r="A861" s="1">
        <v>43229</v>
      </c>
      <c r="B861">
        <v>7</v>
      </c>
      <c r="C861">
        <v>16</v>
      </c>
      <c r="D861">
        <v>14</v>
      </c>
      <c r="E861">
        <v>3</v>
      </c>
    </row>
    <row r="862" spans="1:5" x14ac:dyDescent="0.4">
      <c r="A862" s="1">
        <v>43230</v>
      </c>
      <c r="B862">
        <v>1</v>
      </c>
      <c r="C862">
        <v>14</v>
      </c>
      <c r="D862">
        <v>19</v>
      </c>
      <c r="E862">
        <v>19</v>
      </c>
    </row>
    <row r="863" spans="1:5" x14ac:dyDescent="0.4">
      <c r="A863" s="1">
        <v>43231</v>
      </c>
      <c r="B863">
        <v>2</v>
      </c>
      <c r="C863">
        <v>10</v>
      </c>
      <c r="D863">
        <v>8</v>
      </c>
      <c r="E863">
        <v>18</v>
      </c>
    </row>
    <row r="864" spans="1:5" x14ac:dyDescent="0.4">
      <c r="A864" s="1">
        <v>43232</v>
      </c>
      <c r="B864">
        <v>2</v>
      </c>
      <c r="C864">
        <v>7</v>
      </c>
      <c r="D864">
        <v>2</v>
      </c>
      <c r="E864">
        <v>10</v>
      </c>
    </row>
    <row r="865" spans="1:5" x14ac:dyDescent="0.4">
      <c r="A865" s="1">
        <v>43233</v>
      </c>
      <c r="B865">
        <v>2</v>
      </c>
      <c r="C865">
        <v>12</v>
      </c>
      <c r="D865">
        <v>11</v>
      </c>
      <c r="E865">
        <v>1</v>
      </c>
    </row>
    <row r="866" spans="1:5" x14ac:dyDescent="0.4">
      <c r="A866" s="1">
        <v>43234</v>
      </c>
      <c r="B866">
        <v>15</v>
      </c>
      <c r="C866">
        <v>2</v>
      </c>
      <c r="D866">
        <v>5</v>
      </c>
      <c r="E866">
        <v>6</v>
      </c>
    </row>
    <row r="867" spans="1:5" x14ac:dyDescent="0.4">
      <c r="A867" s="1">
        <v>43235</v>
      </c>
      <c r="B867">
        <v>5</v>
      </c>
      <c r="C867">
        <v>4</v>
      </c>
      <c r="D867">
        <v>4</v>
      </c>
      <c r="E867">
        <v>14</v>
      </c>
    </row>
    <row r="868" spans="1:5" x14ac:dyDescent="0.4">
      <c r="A868" s="1">
        <v>43236</v>
      </c>
      <c r="B868">
        <v>2</v>
      </c>
      <c r="C868">
        <v>15</v>
      </c>
      <c r="D868">
        <v>11</v>
      </c>
      <c r="E868">
        <v>12</v>
      </c>
    </row>
    <row r="869" spans="1:5" x14ac:dyDescent="0.4">
      <c r="A869" s="1">
        <v>43237</v>
      </c>
      <c r="B869">
        <v>0</v>
      </c>
      <c r="C869">
        <v>1</v>
      </c>
      <c r="D869">
        <v>15</v>
      </c>
      <c r="E869">
        <v>9</v>
      </c>
    </row>
    <row r="870" spans="1:5" x14ac:dyDescent="0.4">
      <c r="A870" s="1">
        <v>43238</v>
      </c>
      <c r="B870">
        <v>13</v>
      </c>
      <c r="C870">
        <v>7</v>
      </c>
      <c r="D870">
        <v>7</v>
      </c>
      <c r="E870">
        <v>4</v>
      </c>
    </row>
    <row r="871" spans="1:5" x14ac:dyDescent="0.4">
      <c r="A871" s="1">
        <v>43239</v>
      </c>
      <c r="B871">
        <v>16</v>
      </c>
      <c r="C871">
        <v>0</v>
      </c>
      <c r="D871">
        <v>1</v>
      </c>
      <c r="E871">
        <v>18</v>
      </c>
    </row>
    <row r="872" spans="1:5" x14ac:dyDescent="0.4">
      <c r="A872" s="1">
        <v>43240</v>
      </c>
      <c r="B872">
        <v>10</v>
      </c>
      <c r="C872">
        <v>14</v>
      </c>
      <c r="D872">
        <v>17</v>
      </c>
      <c r="E872">
        <v>12</v>
      </c>
    </row>
    <row r="873" spans="1:5" x14ac:dyDescent="0.4">
      <c r="A873" s="1">
        <v>43241</v>
      </c>
      <c r="B873">
        <v>16</v>
      </c>
      <c r="C873">
        <v>9</v>
      </c>
      <c r="D873">
        <v>13</v>
      </c>
      <c r="E873">
        <v>0</v>
      </c>
    </row>
    <row r="874" spans="1:5" x14ac:dyDescent="0.4">
      <c r="A874" s="1">
        <v>43242</v>
      </c>
      <c r="B874">
        <v>19</v>
      </c>
      <c r="C874">
        <v>14</v>
      </c>
      <c r="D874">
        <v>11</v>
      </c>
      <c r="E874">
        <v>3</v>
      </c>
    </row>
    <row r="875" spans="1:5" x14ac:dyDescent="0.4">
      <c r="A875" s="1">
        <v>43243</v>
      </c>
      <c r="B875">
        <v>10</v>
      </c>
      <c r="C875">
        <v>8</v>
      </c>
      <c r="D875">
        <v>2</v>
      </c>
      <c r="E875">
        <v>2</v>
      </c>
    </row>
    <row r="876" spans="1:5" x14ac:dyDescent="0.4">
      <c r="A876" s="1">
        <v>43244</v>
      </c>
      <c r="B876">
        <v>1</v>
      </c>
      <c r="C876">
        <v>8</v>
      </c>
      <c r="D876">
        <v>4</v>
      </c>
      <c r="E876">
        <v>7</v>
      </c>
    </row>
    <row r="877" spans="1:5" x14ac:dyDescent="0.4">
      <c r="A877" s="1">
        <v>43245</v>
      </c>
      <c r="B877">
        <v>12</v>
      </c>
      <c r="C877">
        <v>15</v>
      </c>
      <c r="D877">
        <v>3</v>
      </c>
      <c r="E877">
        <v>16</v>
      </c>
    </row>
    <row r="878" spans="1:5" x14ac:dyDescent="0.4">
      <c r="A878" s="1">
        <v>43246</v>
      </c>
      <c r="B878">
        <v>6</v>
      </c>
      <c r="C878">
        <v>15</v>
      </c>
      <c r="D878">
        <v>9</v>
      </c>
      <c r="E878">
        <v>16</v>
      </c>
    </row>
    <row r="879" spans="1:5" x14ac:dyDescent="0.4">
      <c r="A879" s="1">
        <v>43247</v>
      </c>
      <c r="B879">
        <v>5</v>
      </c>
      <c r="C879">
        <v>11</v>
      </c>
      <c r="D879">
        <v>9</v>
      </c>
      <c r="E879">
        <v>3</v>
      </c>
    </row>
    <row r="880" spans="1:5" x14ac:dyDescent="0.4">
      <c r="A880" s="1">
        <v>43248</v>
      </c>
      <c r="B880">
        <v>13</v>
      </c>
      <c r="C880">
        <v>7</v>
      </c>
      <c r="D880">
        <v>6</v>
      </c>
      <c r="E880">
        <v>4</v>
      </c>
    </row>
    <row r="881" spans="1:5" x14ac:dyDescent="0.4">
      <c r="A881" s="1">
        <v>43249</v>
      </c>
      <c r="B881">
        <v>8</v>
      </c>
      <c r="C881">
        <v>1</v>
      </c>
      <c r="D881">
        <v>17</v>
      </c>
      <c r="E881">
        <v>7</v>
      </c>
    </row>
    <row r="882" spans="1:5" x14ac:dyDescent="0.4">
      <c r="A882" s="1">
        <v>43250</v>
      </c>
      <c r="B882">
        <v>7</v>
      </c>
      <c r="C882">
        <v>11</v>
      </c>
      <c r="D882">
        <v>11</v>
      </c>
      <c r="E882">
        <v>3</v>
      </c>
    </row>
    <row r="883" spans="1:5" x14ac:dyDescent="0.4">
      <c r="A883" s="1">
        <v>43251</v>
      </c>
      <c r="B883">
        <v>4</v>
      </c>
      <c r="C883">
        <v>8</v>
      </c>
      <c r="D883">
        <v>15</v>
      </c>
      <c r="E883">
        <v>8</v>
      </c>
    </row>
    <row r="884" spans="1:5" x14ac:dyDescent="0.4">
      <c r="A884" s="1">
        <v>43252</v>
      </c>
      <c r="B884">
        <v>17</v>
      </c>
      <c r="C884">
        <v>7</v>
      </c>
      <c r="D884">
        <v>15</v>
      </c>
      <c r="E884">
        <v>2</v>
      </c>
    </row>
    <row r="885" spans="1:5" x14ac:dyDescent="0.4">
      <c r="A885" s="1">
        <v>43253</v>
      </c>
      <c r="B885">
        <v>3</v>
      </c>
      <c r="C885">
        <v>12</v>
      </c>
      <c r="D885">
        <v>12</v>
      </c>
      <c r="E885">
        <v>7</v>
      </c>
    </row>
    <row r="886" spans="1:5" x14ac:dyDescent="0.4">
      <c r="A886" s="1">
        <v>43254</v>
      </c>
      <c r="B886">
        <v>8</v>
      </c>
      <c r="C886">
        <v>12</v>
      </c>
      <c r="D886">
        <v>13</v>
      </c>
      <c r="E886">
        <v>8</v>
      </c>
    </row>
    <row r="887" spans="1:5" x14ac:dyDescent="0.4">
      <c r="A887" s="1">
        <v>43255</v>
      </c>
      <c r="B887">
        <v>12</v>
      </c>
      <c r="C887">
        <v>10</v>
      </c>
      <c r="D887">
        <v>13</v>
      </c>
      <c r="E887">
        <v>1</v>
      </c>
    </row>
    <row r="888" spans="1:5" x14ac:dyDescent="0.4">
      <c r="A888" s="1">
        <v>43256</v>
      </c>
      <c r="B888">
        <v>10</v>
      </c>
      <c r="C888">
        <v>13</v>
      </c>
      <c r="D888">
        <v>14</v>
      </c>
      <c r="E888">
        <v>17</v>
      </c>
    </row>
    <row r="889" spans="1:5" x14ac:dyDescent="0.4">
      <c r="A889" s="1">
        <v>43257</v>
      </c>
      <c r="B889">
        <v>14</v>
      </c>
      <c r="C889">
        <v>1</v>
      </c>
      <c r="D889">
        <v>2</v>
      </c>
      <c r="E889">
        <v>18</v>
      </c>
    </row>
    <row r="890" spans="1:5" x14ac:dyDescent="0.4">
      <c r="A890" s="1">
        <v>43258</v>
      </c>
      <c r="B890">
        <v>2</v>
      </c>
      <c r="C890">
        <v>6</v>
      </c>
      <c r="D890">
        <v>19</v>
      </c>
      <c r="E890">
        <v>11</v>
      </c>
    </row>
    <row r="891" spans="1:5" x14ac:dyDescent="0.4">
      <c r="A891" s="1">
        <v>43259</v>
      </c>
      <c r="B891">
        <v>6</v>
      </c>
      <c r="C891">
        <v>13</v>
      </c>
      <c r="D891">
        <v>12</v>
      </c>
      <c r="E891">
        <v>9</v>
      </c>
    </row>
    <row r="892" spans="1:5" x14ac:dyDescent="0.4">
      <c r="A892" s="1">
        <v>43260</v>
      </c>
      <c r="B892">
        <v>0</v>
      </c>
      <c r="C892">
        <v>14</v>
      </c>
      <c r="D892">
        <v>6</v>
      </c>
      <c r="E892">
        <v>13</v>
      </c>
    </row>
    <row r="893" spans="1:5" x14ac:dyDescent="0.4">
      <c r="A893" s="1">
        <v>43261</v>
      </c>
      <c r="B893">
        <v>15</v>
      </c>
      <c r="C893">
        <v>16</v>
      </c>
      <c r="D893">
        <v>18</v>
      </c>
      <c r="E893">
        <v>0</v>
      </c>
    </row>
    <row r="894" spans="1:5" x14ac:dyDescent="0.4">
      <c r="A894" s="1">
        <v>43262</v>
      </c>
      <c r="B894">
        <v>18</v>
      </c>
      <c r="C894">
        <v>12</v>
      </c>
      <c r="D894">
        <v>1</v>
      </c>
      <c r="E894">
        <v>17</v>
      </c>
    </row>
    <row r="895" spans="1:5" x14ac:dyDescent="0.4">
      <c r="A895" s="1">
        <v>43263</v>
      </c>
      <c r="B895">
        <v>5</v>
      </c>
      <c r="C895">
        <v>1</v>
      </c>
      <c r="D895">
        <v>0</v>
      </c>
      <c r="E895">
        <v>13</v>
      </c>
    </row>
    <row r="896" spans="1:5" x14ac:dyDescent="0.4">
      <c r="A896" s="1">
        <v>43264</v>
      </c>
      <c r="B896">
        <v>4</v>
      </c>
      <c r="C896">
        <v>13</v>
      </c>
      <c r="D896">
        <v>9</v>
      </c>
      <c r="E896">
        <v>16</v>
      </c>
    </row>
    <row r="897" spans="1:5" x14ac:dyDescent="0.4">
      <c r="A897" s="1">
        <v>43265</v>
      </c>
      <c r="B897">
        <v>19</v>
      </c>
      <c r="C897">
        <v>18</v>
      </c>
      <c r="D897">
        <v>14</v>
      </c>
      <c r="E897">
        <v>6</v>
      </c>
    </row>
    <row r="898" spans="1:5" x14ac:dyDescent="0.4">
      <c r="A898" s="1">
        <v>43266</v>
      </c>
      <c r="B898">
        <v>3</v>
      </c>
      <c r="C898">
        <v>19</v>
      </c>
      <c r="D898">
        <v>6</v>
      </c>
      <c r="E898">
        <v>17</v>
      </c>
    </row>
    <row r="899" spans="1:5" x14ac:dyDescent="0.4">
      <c r="A899" s="1">
        <v>43267</v>
      </c>
      <c r="B899">
        <v>8</v>
      </c>
      <c r="C899">
        <v>12</v>
      </c>
      <c r="D899">
        <v>12</v>
      </c>
      <c r="E899">
        <v>3</v>
      </c>
    </row>
    <row r="900" spans="1:5" x14ac:dyDescent="0.4">
      <c r="A900" s="1">
        <v>43268</v>
      </c>
      <c r="B900">
        <v>7</v>
      </c>
      <c r="C900">
        <v>10</v>
      </c>
      <c r="D900">
        <v>13</v>
      </c>
      <c r="E900">
        <v>16</v>
      </c>
    </row>
    <row r="901" spans="1:5" x14ac:dyDescent="0.4">
      <c r="A901" s="1">
        <v>43269</v>
      </c>
      <c r="B901">
        <v>6</v>
      </c>
      <c r="C901">
        <v>15</v>
      </c>
      <c r="D901">
        <v>11</v>
      </c>
      <c r="E901">
        <v>18</v>
      </c>
    </row>
    <row r="902" spans="1:5" x14ac:dyDescent="0.4">
      <c r="A902" s="1">
        <v>43270</v>
      </c>
      <c r="B902">
        <v>19</v>
      </c>
      <c r="C902">
        <v>4</v>
      </c>
      <c r="D902">
        <v>14</v>
      </c>
      <c r="E902">
        <v>10</v>
      </c>
    </row>
    <row r="903" spans="1:5" x14ac:dyDescent="0.4">
      <c r="A903" s="1">
        <v>43271</v>
      </c>
      <c r="B903">
        <v>11</v>
      </c>
      <c r="C903">
        <v>12</v>
      </c>
      <c r="D903">
        <v>15</v>
      </c>
      <c r="E903">
        <v>6</v>
      </c>
    </row>
    <row r="904" spans="1:5" x14ac:dyDescent="0.4">
      <c r="A904" s="1">
        <v>43272</v>
      </c>
      <c r="B904">
        <v>10</v>
      </c>
      <c r="C904">
        <v>9</v>
      </c>
      <c r="D904">
        <v>12</v>
      </c>
      <c r="E904">
        <v>11</v>
      </c>
    </row>
    <row r="905" spans="1:5" x14ac:dyDescent="0.4">
      <c r="A905" s="1">
        <v>43273</v>
      </c>
      <c r="B905">
        <v>2</v>
      </c>
      <c r="C905">
        <v>10</v>
      </c>
      <c r="D905">
        <v>17</v>
      </c>
      <c r="E905">
        <v>13</v>
      </c>
    </row>
    <row r="906" spans="1:5" x14ac:dyDescent="0.4">
      <c r="A906" s="1">
        <v>43274</v>
      </c>
      <c r="B906">
        <v>17</v>
      </c>
      <c r="C906">
        <v>7</v>
      </c>
      <c r="D906">
        <v>9</v>
      </c>
      <c r="E906">
        <v>10</v>
      </c>
    </row>
    <row r="907" spans="1:5" x14ac:dyDescent="0.4">
      <c r="A907" s="1">
        <v>43275</v>
      </c>
      <c r="B907">
        <v>0</v>
      </c>
      <c r="C907">
        <v>6</v>
      </c>
      <c r="D907">
        <v>14</v>
      </c>
      <c r="E907">
        <v>0</v>
      </c>
    </row>
    <row r="908" spans="1:5" x14ac:dyDescent="0.4">
      <c r="A908" s="1">
        <v>43276</v>
      </c>
      <c r="B908">
        <v>15</v>
      </c>
      <c r="C908">
        <v>5</v>
      </c>
      <c r="D908">
        <v>7</v>
      </c>
      <c r="E908">
        <v>18</v>
      </c>
    </row>
    <row r="909" spans="1:5" x14ac:dyDescent="0.4">
      <c r="A909" s="1">
        <v>43277</v>
      </c>
      <c r="B909">
        <v>14</v>
      </c>
      <c r="C909">
        <v>8</v>
      </c>
      <c r="D909">
        <v>2</v>
      </c>
      <c r="E909">
        <v>13</v>
      </c>
    </row>
    <row r="910" spans="1:5" x14ac:dyDescent="0.4">
      <c r="A910" s="1">
        <v>43278</v>
      </c>
      <c r="B910">
        <v>4</v>
      </c>
      <c r="C910">
        <v>16</v>
      </c>
      <c r="D910">
        <v>8</v>
      </c>
      <c r="E910">
        <v>18</v>
      </c>
    </row>
    <row r="911" spans="1:5" x14ac:dyDescent="0.4">
      <c r="A911" s="1">
        <v>43279</v>
      </c>
      <c r="B911">
        <v>18</v>
      </c>
      <c r="C911">
        <v>7</v>
      </c>
      <c r="D911">
        <v>4</v>
      </c>
      <c r="E911">
        <v>1</v>
      </c>
    </row>
    <row r="912" spans="1:5" x14ac:dyDescent="0.4">
      <c r="A912" s="1">
        <v>43280</v>
      </c>
      <c r="B912">
        <v>9</v>
      </c>
      <c r="C912">
        <v>1</v>
      </c>
      <c r="D912">
        <v>9</v>
      </c>
      <c r="E912">
        <v>7</v>
      </c>
    </row>
    <row r="913" spans="1:5" x14ac:dyDescent="0.4">
      <c r="A913" s="1">
        <v>43281</v>
      </c>
      <c r="B913">
        <v>14</v>
      </c>
      <c r="C913">
        <v>13</v>
      </c>
      <c r="D913">
        <v>4</v>
      </c>
      <c r="E913">
        <v>16</v>
      </c>
    </row>
    <row r="914" spans="1:5" x14ac:dyDescent="0.4">
      <c r="A914" s="1">
        <v>43282</v>
      </c>
      <c r="B914">
        <v>7</v>
      </c>
      <c r="C914">
        <v>13</v>
      </c>
      <c r="D914">
        <v>2</v>
      </c>
      <c r="E914">
        <v>2</v>
      </c>
    </row>
    <row r="915" spans="1:5" x14ac:dyDescent="0.4">
      <c r="A915" s="1">
        <v>43283</v>
      </c>
      <c r="B915">
        <v>4</v>
      </c>
      <c r="C915">
        <v>15</v>
      </c>
      <c r="D915">
        <v>6</v>
      </c>
      <c r="E915">
        <v>6</v>
      </c>
    </row>
    <row r="916" spans="1:5" x14ac:dyDescent="0.4">
      <c r="A916" s="1">
        <v>43284</v>
      </c>
      <c r="B916">
        <v>12</v>
      </c>
      <c r="C916">
        <v>8</v>
      </c>
      <c r="D916">
        <v>11</v>
      </c>
      <c r="E916">
        <v>2</v>
      </c>
    </row>
    <row r="917" spans="1:5" x14ac:dyDescent="0.4">
      <c r="A917" s="1">
        <v>43285</v>
      </c>
      <c r="B917">
        <v>11</v>
      </c>
      <c r="C917">
        <v>0</v>
      </c>
      <c r="D917">
        <v>17</v>
      </c>
      <c r="E917">
        <v>1</v>
      </c>
    </row>
    <row r="918" spans="1:5" x14ac:dyDescent="0.4">
      <c r="A918" s="1">
        <v>43286</v>
      </c>
      <c r="B918">
        <v>9</v>
      </c>
      <c r="C918">
        <v>8</v>
      </c>
      <c r="D918">
        <v>16</v>
      </c>
      <c r="E918">
        <v>19</v>
      </c>
    </row>
    <row r="919" spans="1:5" x14ac:dyDescent="0.4">
      <c r="A919" s="1">
        <v>43287</v>
      </c>
      <c r="B919">
        <v>12</v>
      </c>
      <c r="C919">
        <v>15</v>
      </c>
      <c r="D919">
        <v>10</v>
      </c>
      <c r="E919">
        <v>6</v>
      </c>
    </row>
    <row r="920" spans="1:5" x14ac:dyDescent="0.4">
      <c r="A920" s="1">
        <v>43288</v>
      </c>
      <c r="B920">
        <v>15</v>
      </c>
      <c r="C920">
        <v>11</v>
      </c>
      <c r="D920">
        <v>1</v>
      </c>
      <c r="E920">
        <v>10</v>
      </c>
    </row>
    <row r="921" spans="1:5" x14ac:dyDescent="0.4">
      <c r="A921" s="1">
        <v>43289</v>
      </c>
      <c r="B921">
        <v>1</v>
      </c>
      <c r="C921">
        <v>10</v>
      </c>
      <c r="D921">
        <v>5</v>
      </c>
      <c r="E921">
        <v>3</v>
      </c>
    </row>
    <row r="922" spans="1:5" x14ac:dyDescent="0.4">
      <c r="A922" s="1">
        <v>43290</v>
      </c>
      <c r="B922">
        <v>3</v>
      </c>
      <c r="C922">
        <v>16</v>
      </c>
      <c r="D922">
        <v>4</v>
      </c>
      <c r="E922">
        <v>4</v>
      </c>
    </row>
    <row r="923" spans="1:5" x14ac:dyDescent="0.4">
      <c r="A923" s="1">
        <v>43291</v>
      </c>
      <c r="B923">
        <v>2</v>
      </c>
      <c r="C923">
        <v>10</v>
      </c>
      <c r="D923">
        <v>19</v>
      </c>
      <c r="E923">
        <v>1</v>
      </c>
    </row>
    <row r="924" spans="1:5" x14ac:dyDescent="0.4">
      <c r="A924" s="1">
        <v>43292</v>
      </c>
      <c r="B924">
        <v>1</v>
      </c>
      <c r="C924">
        <v>17</v>
      </c>
      <c r="D924">
        <v>5</v>
      </c>
      <c r="E924">
        <v>3</v>
      </c>
    </row>
    <row r="925" spans="1:5" x14ac:dyDescent="0.4">
      <c r="A925" s="1">
        <v>43293</v>
      </c>
      <c r="B925">
        <v>10</v>
      </c>
      <c r="C925">
        <v>7</v>
      </c>
      <c r="D925">
        <v>2</v>
      </c>
      <c r="E925">
        <v>12</v>
      </c>
    </row>
    <row r="926" spans="1:5" x14ac:dyDescent="0.4">
      <c r="A926" s="1">
        <v>43294</v>
      </c>
      <c r="B926">
        <v>19</v>
      </c>
      <c r="C926">
        <v>3</v>
      </c>
      <c r="D926">
        <v>7</v>
      </c>
      <c r="E926">
        <v>18</v>
      </c>
    </row>
    <row r="927" spans="1:5" x14ac:dyDescent="0.4">
      <c r="A927" s="1">
        <v>43295</v>
      </c>
      <c r="B927">
        <v>4</v>
      </c>
      <c r="C927">
        <v>2</v>
      </c>
      <c r="D927">
        <v>3</v>
      </c>
      <c r="E927">
        <v>3</v>
      </c>
    </row>
    <row r="928" spans="1:5" x14ac:dyDescent="0.4">
      <c r="A928" s="1">
        <v>43296</v>
      </c>
      <c r="B928">
        <v>6</v>
      </c>
      <c r="C928">
        <v>14</v>
      </c>
      <c r="D928">
        <v>11</v>
      </c>
      <c r="E928">
        <v>2</v>
      </c>
    </row>
    <row r="929" spans="1:5" x14ac:dyDescent="0.4">
      <c r="A929" s="1">
        <v>43297</v>
      </c>
      <c r="B929">
        <v>17</v>
      </c>
      <c r="C929">
        <v>2</v>
      </c>
      <c r="D929">
        <v>17</v>
      </c>
      <c r="E929">
        <v>18</v>
      </c>
    </row>
    <row r="930" spans="1:5" x14ac:dyDescent="0.4">
      <c r="A930" s="1">
        <v>43298</v>
      </c>
      <c r="B930">
        <v>9</v>
      </c>
      <c r="C930">
        <v>4</v>
      </c>
      <c r="D930">
        <v>11</v>
      </c>
      <c r="E930">
        <v>13</v>
      </c>
    </row>
    <row r="931" spans="1:5" x14ac:dyDescent="0.4">
      <c r="A931" s="1">
        <v>43299</v>
      </c>
      <c r="B931">
        <v>4</v>
      </c>
      <c r="C931">
        <v>1</v>
      </c>
      <c r="D931">
        <v>14</v>
      </c>
      <c r="E931">
        <v>4</v>
      </c>
    </row>
    <row r="932" spans="1:5" x14ac:dyDescent="0.4">
      <c r="A932" s="1">
        <v>43300</v>
      </c>
      <c r="B932">
        <v>16</v>
      </c>
      <c r="C932">
        <v>8</v>
      </c>
      <c r="D932">
        <v>19</v>
      </c>
      <c r="E932">
        <v>13</v>
      </c>
    </row>
    <row r="933" spans="1:5" x14ac:dyDescent="0.4">
      <c r="A933" s="1">
        <v>43301</v>
      </c>
      <c r="B933">
        <v>1</v>
      </c>
      <c r="C933">
        <v>7</v>
      </c>
      <c r="D933">
        <v>19</v>
      </c>
      <c r="E933">
        <v>17</v>
      </c>
    </row>
    <row r="934" spans="1:5" x14ac:dyDescent="0.4">
      <c r="A934" s="1">
        <v>43302</v>
      </c>
      <c r="B934">
        <v>2</v>
      </c>
      <c r="C934">
        <v>12</v>
      </c>
      <c r="D934">
        <v>10</v>
      </c>
      <c r="E934">
        <v>8</v>
      </c>
    </row>
    <row r="935" spans="1:5" x14ac:dyDescent="0.4">
      <c r="A935" s="1">
        <v>43303</v>
      </c>
      <c r="B935">
        <v>19</v>
      </c>
      <c r="C935">
        <v>16</v>
      </c>
      <c r="D935">
        <v>7</v>
      </c>
      <c r="E935">
        <v>2</v>
      </c>
    </row>
    <row r="936" spans="1:5" x14ac:dyDescent="0.4">
      <c r="A936" s="1">
        <v>43304</v>
      </c>
      <c r="B936">
        <v>16</v>
      </c>
      <c r="C936">
        <v>11</v>
      </c>
      <c r="D936">
        <v>17</v>
      </c>
      <c r="E936">
        <v>10</v>
      </c>
    </row>
    <row r="937" spans="1:5" x14ac:dyDescent="0.4">
      <c r="A937" s="1">
        <v>43305</v>
      </c>
      <c r="B937">
        <v>16</v>
      </c>
      <c r="C937">
        <v>19</v>
      </c>
      <c r="D937">
        <v>16</v>
      </c>
      <c r="E937">
        <v>13</v>
      </c>
    </row>
    <row r="938" spans="1:5" x14ac:dyDescent="0.4">
      <c r="A938" s="1">
        <v>43306</v>
      </c>
      <c r="B938">
        <v>19</v>
      </c>
      <c r="C938">
        <v>19</v>
      </c>
      <c r="D938">
        <v>8</v>
      </c>
      <c r="E938">
        <v>3</v>
      </c>
    </row>
    <row r="939" spans="1:5" x14ac:dyDescent="0.4">
      <c r="A939" s="1">
        <v>43307</v>
      </c>
      <c r="B939">
        <v>4</v>
      </c>
      <c r="C939">
        <v>11</v>
      </c>
      <c r="D939">
        <v>9</v>
      </c>
      <c r="E939">
        <v>4</v>
      </c>
    </row>
    <row r="940" spans="1:5" x14ac:dyDescent="0.4">
      <c r="A940" s="1">
        <v>43308</v>
      </c>
      <c r="B940">
        <v>13</v>
      </c>
      <c r="C940">
        <v>8</v>
      </c>
      <c r="D940">
        <v>2</v>
      </c>
      <c r="E940">
        <v>13</v>
      </c>
    </row>
    <row r="941" spans="1:5" x14ac:dyDescent="0.4">
      <c r="A941" s="1">
        <v>43309</v>
      </c>
      <c r="B941">
        <v>12</v>
      </c>
      <c r="C941">
        <v>12</v>
      </c>
      <c r="D941">
        <v>11</v>
      </c>
      <c r="E941">
        <v>3</v>
      </c>
    </row>
    <row r="942" spans="1:5" x14ac:dyDescent="0.4">
      <c r="A942" s="1">
        <v>43310</v>
      </c>
      <c r="B942">
        <v>19</v>
      </c>
      <c r="C942">
        <v>12</v>
      </c>
      <c r="D942">
        <v>4</v>
      </c>
      <c r="E942">
        <v>5</v>
      </c>
    </row>
    <row r="943" spans="1:5" x14ac:dyDescent="0.4">
      <c r="A943" s="1">
        <v>43311</v>
      </c>
      <c r="B943">
        <v>8</v>
      </c>
      <c r="C943">
        <v>4</v>
      </c>
      <c r="D943">
        <v>10</v>
      </c>
      <c r="E943">
        <v>5</v>
      </c>
    </row>
    <row r="944" spans="1:5" x14ac:dyDescent="0.4">
      <c r="A944" s="1">
        <v>43312</v>
      </c>
      <c r="B944">
        <v>1</v>
      </c>
      <c r="C944">
        <v>17</v>
      </c>
      <c r="D944">
        <v>2</v>
      </c>
      <c r="E944">
        <v>14</v>
      </c>
    </row>
    <row r="945" spans="1:5" x14ac:dyDescent="0.4">
      <c r="A945" s="1">
        <v>43313</v>
      </c>
      <c r="B945">
        <v>17</v>
      </c>
      <c r="C945">
        <v>7</v>
      </c>
      <c r="D945">
        <v>6</v>
      </c>
      <c r="E945">
        <v>17</v>
      </c>
    </row>
    <row r="946" spans="1:5" x14ac:dyDescent="0.4">
      <c r="A946" s="1">
        <v>43314</v>
      </c>
      <c r="B946">
        <v>3</v>
      </c>
      <c r="C946">
        <v>10</v>
      </c>
      <c r="D946">
        <v>14</v>
      </c>
      <c r="E946">
        <v>13</v>
      </c>
    </row>
    <row r="947" spans="1:5" x14ac:dyDescent="0.4">
      <c r="A947" s="1">
        <v>43315</v>
      </c>
      <c r="B947">
        <v>4</v>
      </c>
      <c r="C947">
        <v>0</v>
      </c>
      <c r="D947">
        <v>17</v>
      </c>
      <c r="E947">
        <v>12</v>
      </c>
    </row>
    <row r="948" spans="1:5" x14ac:dyDescent="0.4">
      <c r="A948" s="1">
        <v>43316</v>
      </c>
      <c r="B948">
        <v>12</v>
      </c>
      <c r="C948">
        <v>2</v>
      </c>
      <c r="D948">
        <v>12</v>
      </c>
      <c r="E948">
        <v>4</v>
      </c>
    </row>
    <row r="949" spans="1:5" x14ac:dyDescent="0.4">
      <c r="A949" s="1">
        <v>43317</v>
      </c>
      <c r="B949">
        <v>7</v>
      </c>
      <c r="C949">
        <v>16</v>
      </c>
      <c r="D949">
        <v>13</v>
      </c>
      <c r="E949">
        <v>15</v>
      </c>
    </row>
    <row r="950" spans="1:5" x14ac:dyDescent="0.4">
      <c r="A950" s="1">
        <v>43318</v>
      </c>
      <c r="B950">
        <v>10</v>
      </c>
      <c r="C950">
        <v>9</v>
      </c>
      <c r="D950">
        <v>11</v>
      </c>
      <c r="E950">
        <v>16</v>
      </c>
    </row>
    <row r="951" spans="1:5" x14ac:dyDescent="0.4">
      <c r="A951" s="1">
        <v>43319</v>
      </c>
      <c r="B951">
        <v>18</v>
      </c>
      <c r="C951">
        <v>15</v>
      </c>
      <c r="D951">
        <v>18</v>
      </c>
      <c r="E951">
        <v>0</v>
      </c>
    </row>
    <row r="952" spans="1:5" x14ac:dyDescent="0.4">
      <c r="A952" s="1">
        <v>43320</v>
      </c>
      <c r="B952">
        <v>10</v>
      </c>
      <c r="C952">
        <v>9</v>
      </c>
      <c r="D952">
        <v>3</v>
      </c>
      <c r="E952">
        <v>17</v>
      </c>
    </row>
    <row r="953" spans="1:5" x14ac:dyDescent="0.4">
      <c r="A953" s="1">
        <v>43321</v>
      </c>
      <c r="B953">
        <v>19</v>
      </c>
      <c r="C953">
        <v>1</v>
      </c>
      <c r="D953">
        <v>7</v>
      </c>
      <c r="E953">
        <v>9</v>
      </c>
    </row>
    <row r="954" spans="1:5" x14ac:dyDescent="0.4">
      <c r="A954" s="1">
        <v>43322</v>
      </c>
      <c r="B954">
        <v>15</v>
      </c>
      <c r="C954">
        <v>4</v>
      </c>
      <c r="D954">
        <v>16</v>
      </c>
      <c r="E954">
        <v>1</v>
      </c>
    </row>
    <row r="955" spans="1:5" x14ac:dyDescent="0.4">
      <c r="A955" s="1">
        <v>43323</v>
      </c>
      <c r="B955">
        <v>8</v>
      </c>
      <c r="C955">
        <v>0</v>
      </c>
      <c r="D955">
        <v>7</v>
      </c>
      <c r="E955">
        <v>6</v>
      </c>
    </row>
    <row r="956" spans="1:5" x14ac:dyDescent="0.4">
      <c r="A956" s="1">
        <v>43324</v>
      </c>
      <c r="B956">
        <v>15</v>
      </c>
      <c r="C956">
        <v>5</v>
      </c>
      <c r="D956">
        <v>6</v>
      </c>
      <c r="E956">
        <v>17</v>
      </c>
    </row>
    <row r="957" spans="1:5" x14ac:dyDescent="0.4">
      <c r="A957" s="1">
        <v>43325</v>
      </c>
      <c r="B957">
        <v>11</v>
      </c>
      <c r="C957">
        <v>7</v>
      </c>
      <c r="D957">
        <v>5</v>
      </c>
      <c r="E957">
        <v>15</v>
      </c>
    </row>
    <row r="958" spans="1:5" x14ac:dyDescent="0.4">
      <c r="A958" s="1">
        <v>43326</v>
      </c>
      <c r="B958">
        <v>8</v>
      </c>
      <c r="C958">
        <v>10</v>
      </c>
      <c r="D958">
        <v>5</v>
      </c>
      <c r="E958">
        <v>9</v>
      </c>
    </row>
    <row r="959" spans="1:5" x14ac:dyDescent="0.4">
      <c r="A959" s="1">
        <v>43327</v>
      </c>
      <c r="B959">
        <v>0</v>
      </c>
      <c r="C959">
        <v>16</v>
      </c>
      <c r="D959">
        <v>19</v>
      </c>
      <c r="E959">
        <v>12</v>
      </c>
    </row>
    <row r="960" spans="1:5" x14ac:dyDescent="0.4">
      <c r="A960" s="1">
        <v>43328</v>
      </c>
      <c r="B960">
        <v>0</v>
      </c>
      <c r="C960">
        <v>1</v>
      </c>
      <c r="D960">
        <v>18</v>
      </c>
      <c r="E960">
        <v>18</v>
      </c>
    </row>
    <row r="961" spans="1:5" x14ac:dyDescent="0.4">
      <c r="A961" s="1">
        <v>43329</v>
      </c>
      <c r="B961">
        <v>7</v>
      </c>
      <c r="C961">
        <v>13</v>
      </c>
      <c r="D961">
        <v>9</v>
      </c>
      <c r="E961">
        <v>5</v>
      </c>
    </row>
    <row r="962" spans="1:5" x14ac:dyDescent="0.4">
      <c r="A962" s="1">
        <v>43330</v>
      </c>
      <c r="B962">
        <v>8</v>
      </c>
      <c r="C962">
        <v>13</v>
      </c>
      <c r="D962">
        <v>16</v>
      </c>
      <c r="E962">
        <v>9</v>
      </c>
    </row>
    <row r="963" spans="1:5" x14ac:dyDescent="0.4">
      <c r="A963" s="1">
        <v>43331</v>
      </c>
      <c r="B963">
        <v>7</v>
      </c>
      <c r="C963">
        <v>4</v>
      </c>
      <c r="D963">
        <v>2</v>
      </c>
      <c r="E963">
        <v>9</v>
      </c>
    </row>
    <row r="964" spans="1:5" x14ac:dyDescent="0.4">
      <c r="A964" s="1">
        <v>43332</v>
      </c>
      <c r="B964">
        <v>12</v>
      </c>
      <c r="C964">
        <v>9</v>
      </c>
      <c r="D964">
        <v>10</v>
      </c>
      <c r="E964">
        <v>1</v>
      </c>
    </row>
    <row r="965" spans="1:5" x14ac:dyDescent="0.4">
      <c r="A965" s="1">
        <v>43333</v>
      </c>
      <c r="B965">
        <v>3</v>
      </c>
      <c r="C965">
        <v>15</v>
      </c>
      <c r="D965">
        <v>18</v>
      </c>
      <c r="E965">
        <v>6</v>
      </c>
    </row>
    <row r="966" spans="1:5" x14ac:dyDescent="0.4">
      <c r="A966" s="1">
        <v>43334</v>
      </c>
      <c r="B966">
        <v>8</v>
      </c>
      <c r="C966">
        <v>16</v>
      </c>
      <c r="D966">
        <v>0</v>
      </c>
      <c r="E966">
        <v>4</v>
      </c>
    </row>
    <row r="967" spans="1:5" x14ac:dyDescent="0.4">
      <c r="A967" s="1">
        <v>43335</v>
      </c>
      <c r="B967">
        <v>3</v>
      </c>
      <c r="C967">
        <v>17</v>
      </c>
      <c r="D967">
        <v>1</v>
      </c>
      <c r="E967">
        <v>10</v>
      </c>
    </row>
    <row r="968" spans="1:5" x14ac:dyDescent="0.4">
      <c r="A968" s="1">
        <v>43336</v>
      </c>
      <c r="B968">
        <v>19</v>
      </c>
      <c r="C968">
        <v>9</v>
      </c>
      <c r="D968">
        <v>3</v>
      </c>
      <c r="E968">
        <v>19</v>
      </c>
    </row>
    <row r="969" spans="1:5" x14ac:dyDescent="0.4">
      <c r="A969" s="1">
        <v>43337</v>
      </c>
      <c r="B969">
        <v>5</v>
      </c>
      <c r="C969">
        <v>5</v>
      </c>
      <c r="D969">
        <v>18</v>
      </c>
      <c r="E969">
        <v>7</v>
      </c>
    </row>
    <row r="970" spans="1:5" x14ac:dyDescent="0.4">
      <c r="A970" s="1">
        <v>43338</v>
      </c>
      <c r="B970">
        <v>1</v>
      </c>
      <c r="C970">
        <v>6</v>
      </c>
      <c r="D970">
        <v>3</v>
      </c>
      <c r="E970">
        <v>17</v>
      </c>
    </row>
    <row r="971" spans="1:5" x14ac:dyDescent="0.4">
      <c r="A971" s="1">
        <v>43339</v>
      </c>
      <c r="B971">
        <v>16</v>
      </c>
      <c r="C971">
        <v>15</v>
      </c>
      <c r="D971">
        <v>3</v>
      </c>
      <c r="E971">
        <v>9</v>
      </c>
    </row>
    <row r="972" spans="1:5" x14ac:dyDescent="0.4">
      <c r="A972" s="1">
        <v>43340</v>
      </c>
      <c r="B972">
        <v>14</v>
      </c>
      <c r="C972">
        <v>17</v>
      </c>
      <c r="D972">
        <v>9</v>
      </c>
      <c r="E972">
        <v>12</v>
      </c>
    </row>
    <row r="973" spans="1:5" x14ac:dyDescent="0.4">
      <c r="A973" s="1">
        <v>43341</v>
      </c>
      <c r="B973">
        <v>5</v>
      </c>
      <c r="C973">
        <v>3</v>
      </c>
      <c r="D973">
        <v>6</v>
      </c>
      <c r="E973">
        <v>4</v>
      </c>
    </row>
    <row r="974" spans="1:5" x14ac:dyDescent="0.4">
      <c r="A974" s="1">
        <v>43342</v>
      </c>
      <c r="B974">
        <v>15</v>
      </c>
      <c r="C974">
        <v>8</v>
      </c>
      <c r="D974">
        <v>4</v>
      </c>
      <c r="E974">
        <v>5</v>
      </c>
    </row>
    <row r="975" spans="1:5" x14ac:dyDescent="0.4">
      <c r="A975" s="1">
        <v>43343</v>
      </c>
      <c r="B975">
        <v>17</v>
      </c>
      <c r="C975">
        <v>6</v>
      </c>
      <c r="D975">
        <v>12</v>
      </c>
      <c r="E975">
        <v>19</v>
      </c>
    </row>
    <row r="976" spans="1:5" x14ac:dyDescent="0.4">
      <c r="A976" s="1">
        <v>43344</v>
      </c>
      <c r="B976">
        <v>19</v>
      </c>
      <c r="C976">
        <v>3</v>
      </c>
      <c r="D976">
        <v>16</v>
      </c>
      <c r="E976">
        <v>16</v>
      </c>
    </row>
    <row r="977" spans="1:5" x14ac:dyDescent="0.4">
      <c r="A977" s="1">
        <v>43345</v>
      </c>
      <c r="B977">
        <v>5</v>
      </c>
      <c r="C977">
        <v>13</v>
      </c>
      <c r="D977">
        <v>10</v>
      </c>
      <c r="E977">
        <v>17</v>
      </c>
    </row>
    <row r="978" spans="1:5" x14ac:dyDescent="0.4">
      <c r="A978" s="1">
        <v>43346</v>
      </c>
      <c r="B978">
        <v>9</v>
      </c>
      <c r="C978">
        <v>0</v>
      </c>
      <c r="D978">
        <v>4</v>
      </c>
      <c r="E978">
        <v>13</v>
      </c>
    </row>
    <row r="979" spans="1:5" x14ac:dyDescent="0.4">
      <c r="A979" s="1">
        <v>43347</v>
      </c>
      <c r="B979">
        <v>18</v>
      </c>
      <c r="C979">
        <v>15</v>
      </c>
      <c r="D979">
        <v>1</v>
      </c>
      <c r="E979">
        <v>19</v>
      </c>
    </row>
    <row r="980" spans="1:5" x14ac:dyDescent="0.4">
      <c r="A980" s="1">
        <v>43348</v>
      </c>
      <c r="B980">
        <v>18</v>
      </c>
      <c r="C980">
        <v>10</v>
      </c>
      <c r="D980">
        <v>18</v>
      </c>
      <c r="E980">
        <v>9</v>
      </c>
    </row>
    <row r="981" spans="1:5" x14ac:dyDescent="0.4">
      <c r="A981" s="1">
        <v>43349</v>
      </c>
      <c r="B981">
        <v>10</v>
      </c>
      <c r="C981">
        <v>17</v>
      </c>
      <c r="D981">
        <v>18</v>
      </c>
      <c r="E981">
        <v>7</v>
      </c>
    </row>
    <row r="982" spans="1:5" x14ac:dyDescent="0.4">
      <c r="A982" s="1">
        <v>43350</v>
      </c>
      <c r="B982">
        <v>17</v>
      </c>
      <c r="C982">
        <v>18</v>
      </c>
      <c r="D982">
        <v>3</v>
      </c>
      <c r="E982">
        <v>3</v>
      </c>
    </row>
    <row r="983" spans="1:5" x14ac:dyDescent="0.4">
      <c r="A983" s="1">
        <v>43351</v>
      </c>
      <c r="B983">
        <v>11</v>
      </c>
      <c r="C983">
        <v>13</v>
      </c>
      <c r="D983">
        <v>18</v>
      </c>
      <c r="E983">
        <v>7</v>
      </c>
    </row>
    <row r="984" spans="1:5" x14ac:dyDescent="0.4">
      <c r="A984" s="1">
        <v>43352</v>
      </c>
      <c r="B984">
        <v>8</v>
      </c>
      <c r="C984">
        <v>19</v>
      </c>
      <c r="D984">
        <v>10</v>
      </c>
      <c r="E984">
        <v>10</v>
      </c>
    </row>
    <row r="985" spans="1:5" x14ac:dyDescent="0.4">
      <c r="A985" s="1">
        <v>43353</v>
      </c>
      <c r="B985">
        <v>16</v>
      </c>
      <c r="C985">
        <v>3</v>
      </c>
      <c r="D985">
        <v>16</v>
      </c>
      <c r="E985">
        <v>4</v>
      </c>
    </row>
    <row r="986" spans="1:5" x14ac:dyDescent="0.4">
      <c r="A986" s="1">
        <v>43354</v>
      </c>
      <c r="B986">
        <v>14</v>
      </c>
      <c r="C986">
        <v>5</v>
      </c>
      <c r="D986">
        <v>12</v>
      </c>
      <c r="E986">
        <v>17</v>
      </c>
    </row>
    <row r="987" spans="1:5" x14ac:dyDescent="0.4">
      <c r="A987" s="1">
        <v>43355</v>
      </c>
      <c r="B987">
        <v>17</v>
      </c>
      <c r="C987">
        <v>17</v>
      </c>
      <c r="D987">
        <v>9</v>
      </c>
      <c r="E987">
        <v>19</v>
      </c>
    </row>
    <row r="988" spans="1:5" x14ac:dyDescent="0.4">
      <c r="A988" s="1">
        <v>43356</v>
      </c>
      <c r="B988">
        <v>3</v>
      </c>
      <c r="C988">
        <v>19</v>
      </c>
      <c r="D988">
        <v>10</v>
      </c>
      <c r="E988">
        <v>17</v>
      </c>
    </row>
    <row r="989" spans="1:5" x14ac:dyDescent="0.4">
      <c r="A989" s="1">
        <v>43357</v>
      </c>
      <c r="B989">
        <v>15</v>
      </c>
      <c r="C989">
        <v>14</v>
      </c>
      <c r="D989">
        <v>3</v>
      </c>
      <c r="E989">
        <v>9</v>
      </c>
    </row>
    <row r="990" spans="1:5" x14ac:dyDescent="0.4">
      <c r="A990" s="1">
        <v>43358</v>
      </c>
      <c r="B990">
        <v>13</v>
      </c>
      <c r="C990">
        <v>1</v>
      </c>
      <c r="D990">
        <v>18</v>
      </c>
      <c r="E990">
        <v>13</v>
      </c>
    </row>
    <row r="991" spans="1:5" x14ac:dyDescent="0.4">
      <c r="A991" s="1">
        <v>43359</v>
      </c>
      <c r="B991">
        <v>18</v>
      </c>
      <c r="C991">
        <v>6</v>
      </c>
      <c r="D991">
        <v>12</v>
      </c>
      <c r="E991">
        <v>2</v>
      </c>
    </row>
    <row r="992" spans="1:5" x14ac:dyDescent="0.4">
      <c r="A992" s="1">
        <v>43360</v>
      </c>
      <c r="B992">
        <v>16</v>
      </c>
      <c r="C992">
        <v>4</v>
      </c>
      <c r="D992">
        <v>1</v>
      </c>
      <c r="E992">
        <v>15</v>
      </c>
    </row>
    <row r="993" spans="1:5" x14ac:dyDescent="0.4">
      <c r="A993" s="1">
        <v>43361</v>
      </c>
      <c r="B993">
        <v>15</v>
      </c>
      <c r="C993">
        <v>0</v>
      </c>
      <c r="D993">
        <v>17</v>
      </c>
      <c r="E993">
        <v>14</v>
      </c>
    </row>
    <row r="994" spans="1:5" x14ac:dyDescent="0.4">
      <c r="A994" s="1">
        <v>43362</v>
      </c>
      <c r="B994">
        <v>15</v>
      </c>
      <c r="C994">
        <v>1</v>
      </c>
      <c r="D994">
        <v>15</v>
      </c>
      <c r="E994">
        <v>1</v>
      </c>
    </row>
    <row r="995" spans="1:5" x14ac:dyDescent="0.4">
      <c r="A995" s="1">
        <v>43363</v>
      </c>
      <c r="B995">
        <v>9</v>
      </c>
      <c r="C995">
        <v>15</v>
      </c>
      <c r="D995">
        <v>10</v>
      </c>
      <c r="E995">
        <v>11</v>
      </c>
    </row>
    <row r="996" spans="1:5" x14ac:dyDescent="0.4">
      <c r="A996" s="1">
        <v>43364</v>
      </c>
      <c r="B996">
        <v>14</v>
      </c>
      <c r="C996">
        <v>13</v>
      </c>
      <c r="D996">
        <v>7</v>
      </c>
      <c r="E996">
        <v>1</v>
      </c>
    </row>
    <row r="997" spans="1:5" x14ac:dyDescent="0.4">
      <c r="A997" s="1">
        <v>43365</v>
      </c>
      <c r="B997">
        <v>11</v>
      </c>
      <c r="C997">
        <v>18</v>
      </c>
      <c r="D997">
        <v>4</v>
      </c>
      <c r="E997">
        <v>2</v>
      </c>
    </row>
    <row r="998" spans="1:5" x14ac:dyDescent="0.4">
      <c r="A998" s="1">
        <v>43366</v>
      </c>
      <c r="B998">
        <v>3</v>
      </c>
      <c r="C998">
        <v>2</v>
      </c>
      <c r="D998">
        <v>11</v>
      </c>
      <c r="E998">
        <v>4</v>
      </c>
    </row>
    <row r="999" spans="1:5" x14ac:dyDescent="0.4">
      <c r="A999" s="1">
        <v>43367</v>
      </c>
      <c r="B999">
        <v>6</v>
      </c>
      <c r="C999">
        <v>18</v>
      </c>
      <c r="D999">
        <v>19</v>
      </c>
      <c r="E999">
        <v>13</v>
      </c>
    </row>
    <row r="1000" spans="1:5" x14ac:dyDescent="0.4">
      <c r="A1000" s="1">
        <v>43368</v>
      </c>
      <c r="B1000">
        <v>9</v>
      </c>
      <c r="C1000">
        <v>13</v>
      </c>
      <c r="D1000">
        <v>0</v>
      </c>
      <c r="E1000">
        <v>9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H9"/>
  <sheetViews>
    <sheetView workbookViewId="0">
      <selection activeCell="H9" sqref="H9"/>
    </sheetView>
  </sheetViews>
  <sheetFormatPr defaultRowHeight="17.399999999999999" x14ac:dyDescent="0.4"/>
  <sheetData>
    <row r="9" spans="8:8" x14ac:dyDescent="0.4">
      <c r="H9" s="4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dashboard</vt:lpstr>
      <vt:lpstr>kau_total</vt:lpstr>
      <vt:lpstr>KCU15_실적</vt:lpstr>
      <vt:lpstr>KCU16_실적</vt:lpstr>
      <vt:lpstr>KCU17_실적</vt:lpstr>
      <vt:lpstr>KOC_실적</vt:lpstr>
      <vt:lpstr>Sheet1</vt:lpstr>
      <vt:lpstr>db1</vt:lpstr>
      <vt:lpstr>db2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김경록</dc:creator>
  <cp:lastModifiedBy>kyeongrok</cp:lastModifiedBy>
  <dcterms:created xsi:type="dcterms:W3CDTF">2017-09-22T06:38:58Z</dcterms:created>
  <dcterms:modified xsi:type="dcterms:W3CDTF">2017-09-28T11:54:51Z</dcterms:modified>
</cp:coreProperties>
</file>